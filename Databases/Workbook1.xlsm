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5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ddie/Documents/Side_Projects/"/>
    </mc:Choice>
  </mc:AlternateContent>
  <bookViews>
    <workbookView xWindow="0" yWindow="440" windowWidth="25600" windowHeight="14340" tabRatio="500" activeTab="1"/>
  </bookViews>
  <sheets>
    <sheet name="E-waste" sheetId="7" r:id="rId1"/>
    <sheet name="(RAW)-Ewaste" sheetId="6" r:id="rId2"/>
    <sheet name="Batteries" sheetId="4" r:id="rId3"/>
    <sheet name="Sheet4" sheetId="5" r:id="rId4"/>
    <sheet name="Sheet2" sheetId="2" r:id="rId5"/>
    <sheet name="Sheet3" sheetId="3" r:id="rId6"/>
  </sheets>
  <definedNames>
    <definedName name="_xlnm._FilterDatabase" localSheetId="1" hidden="1">'(RAW)-Ewaste'!$B$1:$B$1014</definedName>
    <definedName name="_xlnm._FilterDatabase" localSheetId="5" hidden="1">Sheet3!$A$1:$A$1235</definedName>
    <definedName name="_xlnm._FilterDatabase" localSheetId="3" hidden="1">Sheet4!$A$1:$A$632</definedName>
  </definedName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14" i="6" l="1"/>
  <c r="C1014" i="6"/>
  <c r="D1014" i="6"/>
  <c r="E1014" i="6"/>
  <c r="F1014" i="6"/>
  <c r="G1014" i="6"/>
  <c r="B1013" i="6"/>
  <c r="C1013" i="6"/>
  <c r="D1013" i="6"/>
  <c r="E1013" i="6"/>
  <c r="F1013" i="6"/>
  <c r="G1013" i="6"/>
  <c r="B1012" i="6"/>
  <c r="C1012" i="6"/>
  <c r="D1012" i="6"/>
  <c r="E1012" i="6"/>
  <c r="F1012" i="6"/>
  <c r="G1012" i="6"/>
  <c r="B1011" i="6"/>
  <c r="C1011" i="6"/>
  <c r="D1011" i="6"/>
  <c r="E1011" i="6"/>
  <c r="F1011" i="6"/>
  <c r="G1011" i="6"/>
  <c r="B1010" i="6"/>
  <c r="C1010" i="6"/>
  <c r="D1010" i="6"/>
  <c r="E1010" i="6"/>
  <c r="F1010" i="6"/>
  <c r="G1010" i="6"/>
  <c r="B1009" i="6"/>
  <c r="C1009" i="6"/>
  <c r="D1009" i="6"/>
  <c r="E1009" i="6"/>
  <c r="F1009" i="6"/>
  <c r="G1009" i="6"/>
  <c r="B1008" i="6"/>
  <c r="C1008" i="6"/>
  <c r="D1008" i="6"/>
  <c r="E1008" i="6"/>
  <c r="F1008" i="6"/>
  <c r="G1008" i="6"/>
  <c r="B1007" i="6"/>
  <c r="C1007" i="6"/>
  <c r="D1007" i="6"/>
  <c r="E1007" i="6"/>
  <c r="F1007" i="6"/>
  <c r="G1007" i="6"/>
  <c r="B1006" i="6"/>
  <c r="C1006" i="6"/>
  <c r="D1006" i="6"/>
  <c r="E1006" i="6"/>
  <c r="F1006" i="6"/>
  <c r="G1006" i="6"/>
  <c r="B1005" i="6"/>
  <c r="C1005" i="6"/>
  <c r="D1005" i="6"/>
  <c r="E1005" i="6"/>
  <c r="F1005" i="6"/>
  <c r="G1005" i="6"/>
  <c r="B1004" i="6"/>
  <c r="C1004" i="6"/>
  <c r="D1004" i="6"/>
  <c r="E1004" i="6"/>
  <c r="F1004" i="6"/>
  <c r="G1004" i="6"/>
  <c r="B1003" i="6"/>
  <c r="C1003" i="6"/>
  <c r="D1003" i="6"/>
  <c r="E1003" i="6"/>
  <c r="F1003" i="6"/>
  <c r="G1003" i="6"/>
  <c r="B1002" i="6"/>
  <c r="C1002" i="6"/>
  <c r="D1002" i="6"/>
  <c r="E1002" i="6"/>
  <c r="F1002" i="6"/>
  <c r="G1002" i="6"/>
  <c r="B1001" i="6"/>
  <c r="C1001" i="6"/>
  <c r="D1001" i="6"/>
  <c r="E1001" i="6"/>
  <c r="F1001" i="6"/>
  <c r="G1001" i="6"/>
  <c r="B1000" i="6"/>
  <c r="C1000" i="6"/>
  <c r="D1000" i="6"/>
  <c r="E1000" i="6"/>
  <c r="F1000" i="6"/>
  <c r="G1000" i="6"/>
  <c r="B999" i="6"/>
  <c r="C999" i="6"/>
  <c r="D999" i="6"/>
  <c r="E999" i="6"/>
  <c r="F999" i="6"/>
  <c r="G999" i="6"/>
  <c r="B998" i="6"/>
  <c r="C998" i="6"/>
  <c r="D998" i="6"/>
  <c r="E998" i="6"/>
  <c r="F998" i="6"/>
  <c r="G998" i="6"/>
  <c r="B997" i="6"/>
  <c r="C997" i="6"/>
  <c r="D997" i="6"/>
  <c r="E997" i="6"/>
  <c r="F997" i="6"/>
  <c r="G997" i="6"/>
  <c r="B996" i="6"/>
  <c r="C996" i="6"/>
  <c r="D996" i="6"/>
  <c r="E996" i="6"/>
  <c r="F996" i="6"/>
  <c r="G996" i="6"/>
  <c r="B995" i="6"/>
  <c r="C995" i="6"/>
  <c r="D995" i="6"/>
  <c r="E995" i="6"/>
  <c r="F995" i="6"/>
  <c r="G995" i="6"/>
  <c r="B994" i="6"/>
  <c r="C994" i="6"/>
  <c r="D994" i="6"/>
  <c r="E994" i="6"/>
  <c r="F994" i="6"/>
  <c r="G994" i="6"/>
  <c r="B993" i="6"/>
  <c r="C993" i="6"/>
  <c r="D993" i="6"/>
  <c r="E993" i="6"/>
  <c r="F993" i="6"/>
  <c r="G993" i="6"/>
  <c r="B992" i="6"/>
  <c r="C992" i="6"/>
  <c r="D992" i="6"/>
  <c r="E992" i="6"/>
  <c r="F992" i="6"/>
  <c r="G992" i="6"/>
  <c r="B991" i="6"/>
  <c r="C991" i="6"/>
  <c r="D991" i="6"/>
  <c r="E991" i="6"/>
  <c r="F991" i="6"/>
  <c r="G991" i="6"/>
  <c r="B990" i="6"/>
  <c r="C990" i="6"/>
  <c r="D990" i="6"/>
  <c r="E990" i="6"/>
  <c r="F990" i="6"/>
  <c r="G990" i="6"/>
  <c r="B989" i="6"/>
  <c r="C989" i="6"/>
  <c r="D989" i="6"/>
  <c r="E989" i="6"/>
  <c r="F989" i="6"/>
  <c r="G989" i="6"/>
  <c r="B988" i="6"/>
  <c r="C988" i="6"/>
  <c r="D988" i="6"/>
  <c r="E988" i="6"/>
  <c r="F988" i="6"/>
  <c r="G988" i="6"/>
  <c r="B987" i="6"/>
  <c r="C987" i="6"/>
  <c r="D987" i="6"/>
  <c r="E987" i="6"/>
  <c r="F987" i="6"/>
  <c r="G987" i="6"/>
  <c r="B986" i="6"/>
  <c r="C986" i="6"/>
  <c r="D986" i="6"/>
  <c r="E986" i="6"/>
  <c r="F986" i="6"/>
  <c r="G986" i="6"/>
  <c r="B985" i="6"/>
  <c r="C985" i="6"/>
  <c r="D985" i="6"/>
  <c r="E985" i="6"/>
  <c r="F985" i="6"/>
  <c r="G985" i="6"/>
  <c r="B984" i="6"/>
  <c r="C984" i="6"/>
  <c r="D984" i="6"/>
  <c r="E984" i="6"/>
  <c r="F984" i="6"/>
  <c r="G984" i="6"/>
  <c r="B983" i="6"/>
  <c r="C983" i="6"/>
  <c r="D983" i="6"/>
  <c r="E983" i="6"/>
  <c r="F983" i="6"/>
  <c r="G983" i="6"/>
  <c r="B982" i="6"/>
  <c r="C982" i="6"/>
  <c r="D982" i="6"/>
  <c r="E982" i="6"/>
  <c r="F982" i="6"/>
  <c r="G982" i="6"/>
  <c r="B981" i="6"/>
  <c r="C981" i="6"/>
  <c r="D981" i="6"/>
  <c r="E981" i="6"/>
  <c r="F981" i="6"/>
  <c r="G981" i="6"/>
  <c r="B980" i="6"/>
  <c r="C980" i="6"/>
  <c r="D980" i="6"/>
  <c r="E980" i="6"/>
  <c r="F980" i="6"/>
  <c r="G980" i="6"/>
  <c r="B979" i="6"/>
  <c r="C979" i="6"/>
  <c r="D979" i="6"/>
  <c r="E979" i="6"/>
  <c r="F979" i="6"/>
  <c r="G979" i="6"/>
  <c r="B978" i="6"/>
  <c r="C978" i="6"/>
  <c r="D978" i="6"/>
  <c r="E978" i="6"/>
  <c r="F978" i="6"/>
  <c r="G978" i="6"/>
  <c r="B977" i="6"/>
  <c r="C977" i="6"/>
  <c r="D977" i="6"/>
  <c r="E977" i="6"/>
  <c r="F977" i="6"/>
  <c r="G977" i="6"/>
  <c r="B976" i="6"/>
  <c r="C976" i="6"/>
  <c r="D976" i="6"/>
  <c r="E976" i="6"/>
  <c r="F976" i="6"/>
  <c r="G976" i="6"/>
  <c r="B975" i="6"/>
  <c r="C975" i="6"/>
  <c r="D975" i="6"/>
  <c r="E975" i="6"/>
  <c r="F975" i="6"/>
  <c r="G975" i="6"/>
  <c r="B974" i="6"/>
  <c r="C974" i="6"/>
  <c r="D974" i="6"/>
  <c r="E974" i="6"/>
  <c r="F974" i="6"/>
  <c r="G974" i="6"/>
  <c r="B973" i="6"/>
  <c r="C973" i="6"/>
  <c r="D973" i="6"/>
  <c r="E973" i="6"/>
  <c r="F973" i="6"/>
  <c r="G973" i="6"/>
  <c r="B972" i="6"/>
  <c r="C972" i="6"/>
  <c r="D972" i="6"/>
  <c r="E972" i="6"/>
  <c r="F972" i="6"/>
  <c r="G972" i="6"/>
  <c r="B971" i="6"/>
  <c r="C971" i="6"/>
  <c r="D971" i="6"/>
  <c r="E971" i="6"/>
  <c r="F971" i="6"/>
  <c r="G971" i="6"/>
  <c r="B970" i="6"/>
  <c r="C970" i="6"/>
  <c r="D970" i="6"/>
  <c r="E970" i="6"/>
  <c r="F970" i="6"/>
  <c r="G970" i="6"/>
  <c r="B969" i="6"/>
  <c r="C969" i="6"/>
  <c r="D969" i="6"/>
  <c r="E969" i="6"/>
  <c r="F969" i="6"/>
  <c r="G969" i="6"/>
  <c r="B968" i="6"/>
  <c r="C968" i="6"/>
  <c r="D968" i="6"/>
  <c r="E968" i="6"/>
  <c r="F968" i="6"/>
  <c r="G968" i="6"/>
  <c r="B967" i="6"/>
  <c r="C967" i="6"/>
  <c r="D967" i="6"/>
  <c r="E967" i="6"/>
  <c r="F967" i="6"/>
  <c r="G967" i="6"/>
  <c r="B966" i="6"/>
  <c r="C966" i="6"/>
  <c r="D966" i="6"/>
  <c r="E966" i="6"/>
  <c r="F966" i="6"/>
  <c r="G966" i="6"/>
  <c r="B965" i="6"/>
  <c r="C965" i="6"/>
  <c r="D965" i="6"/>
  <c r="E965" i="6"/>
  <c r="F965" i="6"/>
  <c r="G965" i="6"/>
  <c r="B964" i="6"/>
  <c r="C964" i="6"/>
  <c r="D964" i="6"/>
  <c r="E964" i="6"/>
  <c r="F964" i="6"/>
  <c r="G964" i="6"/>
  <c r="B963" i="6"/>
  <c r="C963" i="6"/>
  <c r="D963" i="6"/>
  <c r="E963" i="6"/>
  <c r="F963" i="6"/>
  <c r="G963" i="6"/>
  <c r="B962" i="6"/>
  <c r="C962" i="6"/>
  <c r="D962" i="6"/>
  <c r="E962" i="6"/>
  <c r="F962" i="6"/>
  <c r="G962" i="6"/>
  <c r="B961" i="6"/>
  <c r="C961" i="6"/>
  <c r="D961" i="6"/>
  <c r="E961" i="6"/>
  <c r="F961" i="6"/>
  <c r="G961" i="6"/>
  <c r="B960" i="6"/>
  <c r="C960" i="6"/>
  <c r="D960" i="6"/>
  <c r="E960" i="6"/>
  <c r="F960" i="6"/>
  <c r="G960" i="6"/>
  <c r="B959" i="6"/>
  <c r="C959" i="6"/>
  <c r="D959" i="6"/>
  <c r="E959" i="6"/>
  <c r="F959" i="6"/>
  <c r="G959" i="6"/>
  <c r="B958" i="6"/>
  <c r="C958" i="6"/>
  <c r="D958" i="6"/>
  <c r="E958" i="6"/>
  <c r="F958" i="6"/>
  <c r="G958" i="6"/>
  <c r="B957" i="6"/>
  <c r="C957" i="6"/>
  <c r="D957" i="6"/>
  <c r="E957" i="6"/>
  <c r="F957" i="6"/>
  <c r="G957" i="6"/>
  <c r="B956" i="6"/>
  <c r="C956" i="6"/>
  <c r="D956" i="6"/>
  <c r="E956" i="6"/>
  <c r="F956" i="6"/>
  <c r="G956" i="6"/>
  <c r="B955" i="6"/>
  <c r="C955" i="6"/>
  <c r="D955" i="6"/>
  <c r="E955" i="6"/>
  <c r="F955" i="6"/>
  <c r="G955" i="6"/>
  <c r="B954" i="6"/>
  <c r="C954" i="6"/>
  <c r="D954" i="6"/>
  <c r="E954" i="6"/>
  <c r="F954" i="6"/>
  <c r="G954" i="6"/>
  <c r="B953" i="6"/>
  <c r="C953" i="6"/>
  <c r="D953" i="6"/>
  <c r="E953" i="6"/>
  <c r="F953" i="6"/>
  <c r="G953" i="6"/>
  <c r="B952" i="6"/>
  <c r="C952" i="6"/>
  <c r="D952" i="6"/>
  <c r="E952" i="6"/>
  <c r="F952" i="6"/>
  <c r="G952" i="6"/>
  <c r="B951" i="6"/>
  <c r="C951" i="6"/>
  <c r="D951" i="6"/>
  <c r="E951" i="6"/>
  <c r="F951" i="6"/>
  <c r="G951" i="6"/>
  <c r="B950" i="6"/>
  <c r="C950" i="6"/>
  <c r="D950" i="6"/>
  <c r="E950" i="6"/>
  <c r="F950" i="6"/>
  <c r="G950" i="6"/>
  <c r="B949" i="6"/>
  <c r="C949" i="6"/>
  <c r="D949" i="6"/>
  <c r="E949" i="6"/>
  <c r="F949" i="6"/>
  <c r="G949" i="6"/>
  <c r="B948" i="6"/>
  <c r="C948" i="6"/>
  <c r="D948" i="6"/>
  <c r="E948" i="6"/>
  <c r="F948" i="6"/>
  <c r="G948" i="6"/>
  <c r="B947" i="6"/>
  <c r="C947" i="6"/>
  <c r="D947" i="6"/>
  <c r="E947" i="6"/>
  <c r="F947" i="6"/>
  <c r="G947" i="6"/>
  <c r="B946" i="6"/>
  <c r="C946" i="6"/>
  <c r="D946" i="6"/>
  <c r="E946" i="6"/>
  <c r="F946" i="6"/>
  <c r="G946" i="6"/>
  <c r="B945" i="6"/>
  <c r="C945" i="6"/>
  <c r="D945" i="6"/>
  <c r="E945" i="6"/>
  <c r="F945" i="6"/>
  <c r="G945" i="6"/>
  <c r="B944" i="6"/>
  <c r="C944" i="6"/>
  <c r="D944" i="6"/>
  <c r="E944" i="6"/>
  <c r="F944" i="6"/>
  <c r="G944" i="6"/>
  <c r="B943" i="6"/>
  <c r="C943" i="6"/>
  <c r="D943" i="6"/>
  <c r="E943" i="6"/>
  <c r="F943" i="6"/>
  <c r="G943" i="6"/>
  <c r="B942" i="6"/>
  <c r="C942" i="6"/>
  <c r="D942" i="6"/>
  <c r="E942" i="6"/>
  <c r="F942" i="6"/>
  <c r="G942" i="6"/>
  <c r="B941" i="6"/>
  <c r="C941" i="6"/>
  <c r="D941" i="6"/>
  <c r="E941" i="6"/>
  <c r="F941" i="6"/>
  <c r="G941" i="6"/>
  <c r="B940" i="6"/>
  <c r="C940" i="6"/>
  <c r="D940" i="6"/>
  <c r="E940" i="6"/>
  <c r="F940" i="6"/>
  <c r="G940" i="6"/>
  <c r="B939" i="6"/>
  <c r="C939" i="6"/>
  <c r="D939" i="6"/>
  <c r="E939" i="6"/>
  <c r="F939" i="6"/>
  <c r="G939" i="6"/>
  <c r="B938" i="6"/>
  <c r="C938" i="6"/>
  <c r="D938" i="6"/>
  <c r="E938" i="6"/>
  <c r="F938" i="6"/>
  <c r="G938" i="6"/>
  <c r="B937" i="6"/>
  <c r="C937" i="6"/>
  <c r="D937" i="6"/>
  <c r="E937" i="6"/>
  <c r="F937" i="6"/>
  <c r="G937" i="6"/>
  <c r="B936" i="6"/>
  <c r="C936" i="6"/>
  <c r="D936" i="6"/>
  <c r="E936" i="6"/>
  <c r="F936" i="6"/>
  <c r="G936" i="6"/>
  <c r="B935" i="6"/>
  <c r="C935" i="6"/>
  <c r="D935" i="6"/>
  <c r="E935" i="6"/>
  <c r="F935" i="6"/>
  <c r="G935" i="6"/>
  <c r="B934" i="6"/>
  <c r="C934" i="6"/>
  <c r="D934" i="6"/>
  <c r="E934" i="6"/>
  <c r="F934" i="6"/>
  <c r="G934" i="6"/>
  <c r="B933" i="6"/>
  <c r="C933" i="6"/>
  <c r="D933" i="6"/>
  <c r="E933" i="6"/>
  <c r="F933" i="6"/>
  <c r="G933" i="6"/>
  <c r="B932" i="6"/>
  <c r="C932" i="6"/>
  <c r="D932" i="6"/>
  <c r="E932" i="6"/>
  <c r="F932" i="6"/>
  <c r="G932" i="6"/>
  <c r="B931" i="6"/>
  <c r="C931" i="6"/>
  <c r="D931" i="6"/>
  <c r="E931" i="6"/>
  <c r="F931" i="6"/>
  <c r="G931" i="6"/>
  <c r="B930" i="6"/>
  <c r="C930" i="6"/>
  <c r="D930" i="6"/>
  <c r="E930" i="6"/>
  <c r="F930" i="6"/>
  <c r="G930" i="6"/>
  <c r="B929" i="6"/>
  <c r="C929" i="6"/>
  <c r="D929" i="6"/>
  <c r="E929" i="6"/>
  <c r="F929" i="6"/>
  <c r="G929" i="6"/>
  <c r="B928" i="6"/>
  <c r="C928" i="6"/>
  <c r="D928" i="6"/>
  <c r="E928" i="6"/>
  <c r="F928" i="6"/>
  <c r="G928" i="6"/>
  <c r="B927" i="6"/>
  <c r="C927" i="6"/>
  <c r="D927" i="6"/>
  <c r="E927" i="6"/>
  <c r="F927" i="6"/>
  <c r="G927" i="6"/>
  <c r="B926" i="6"/>
  <c r="C926" i="6"/>
  <c r="D926" i="6"/>
  <c r="E926" i="6"/>
  <c r="F926" i="6"/>
  <c r="G926" i="6"/>
  <c r="B925" i="6"/>
  <c r="C925" i="6"/>
  <c r="D925" i="6"/>
  <c r="E925" i="6"/>
  <c r="F925" i="6"/>
  <c r="G925" i="6"/>
  <c r="B924" i="6"/>
  <c r="C924" i="6"/>
  <c r="D924" i="6"/>
  <c r="E924" i="6"/>
  <c r="F924" i="6"/>
  <c r="G924" i="6"/>
  <c r="B923" i="6"/>
  <c r="C923" i="6"/>
  <c r="D923" i="6"/>
  <c r="E923" i="6"/>
  <c r="F923" i="6"/>
  <c r="G923" i="6"/>
  <c r="B922" i="6"/>
  <c r="C922" i="6"/>
  <c r="D922" i="6"/>
  <c r="E922" i="6"/>
  <c r="F922" i="6"/>
  <c r="G922" i="6"/>
  <c r="B921" i="6"/>
  <c r="C921" i="6"/>
  <c r="D921" i="6"/>
  <c r="E921" i="6"/>
  <c r="F921" i="6"/>
  <c r="G921" i="6"/>
  <c r="B920" i="6"/>
  <c r="C920" i="6"/>
  <c r="D920" i="6"/>
  <c r="E920" i="6"/>
  <c r="F920" i="6"/>
  <c r="G920" i="6"/>
  <c r="B919" i="6"/>
  <c r="C919" i="6"/>
  <c r="D919" i="6"/>
  <c r="E919" i="6"/>
  <c r="F919" i="6"/>
  <c r="G919" i="6"/>
  <c r="B918" i="6"/>
  <c r="C918" i="6"/>
  <c r="D918" i="6"/>
  <c r="E918" i="6"/>
  <c r="F918" i="6"/>
  <c r="G918" i="6"/>
  <c r="B917" i="6"/>
  <c r="C917" i="6"/>
  <c r="D917" i="6"/>
  <c r="E917" i="6"/>
  <c r="F917" i="6"/>
  <c r="G917" i="6"/>
  <c r="B916" i="6"/>
  <c r="C916" i="6"/>
  <c r="D916" i="6"/>
  <c r="E916" i="6"/>
  <c r="F916" i="6"/>
  <c r="G916" i="6"/>
  <c r="B915" i="6"/>
  <c r="C915" i="6"/>
  <c r="D915" i="6"/>
  <c r="E915" i="6"/>
  <c r="F915" i="6"/>
  <c r="G915" i="6"/>
  <c r="B914" i="6"/>
  <c r="C914" i="6"/>
  <c r="D914" i="6"/>
  <c r="E914" i="6"/>
  <c r="F914" i="6"/>
  <c r="G914" i="6"/>
  <c r="B913" i="6"/>
  <c r="C913" i="6"/>
  <c r="D913" i="6"/>
  <c r="E913" i="6"/>
  <c r="F913" i="6"/>
  <c r="G913" i="6"/>
  <c r="B912" i="6"/>
  <c r="C912" i="6"/>
  <c r="D912" i="6"/>
  <c r="E912" i="6"/>
  <c r="F912" i="6"/>
  <c r="G912" i="6"/>
  <c r="B911" i="6"/>
  <c r="C911" i="6"/>
  <c r="D911" i="6"/>
  <c r="E911" i="6"/>
  <c r="F911" i="6"/>
  <c r="G911" i="6"/>
  <c r="B910" i="6"/>
  <c r="C910" i="6"/>
  <c r="D910" i="6"/>
  <c r="E910" i="6"/>
  <c r="F910" i="6"/>
  <c r="G910" i="6"/>
  <c r="B909" i="6"/>
  <c r="C909" i="6"/>
  <c r="D909" i="6"/>
  <c r="E909" i="6"/>
  <c r="F909" i="6"/>
  <c r="G909" i="6"/>
  <c r="B908" i="6"/>
  <c r="C908" i="6"/>
  <c r="D908" i="6"/>
  <c r="E908" i="6"/>
  <c r="F908" i="6"/>
  <c r="G908" i="6"/>
  <c r="B907" i="6"/>
  <c r="C907" i="6"/>
  <c r="D907" i="6"/>
  <c r="E907" i="6"/>
  <c r="F907" i="6"/>
  <c r="G907" i="6"/>
  <c r="B906" i="6"/>
  <c r="C906" i="6"/>
  <c r="D906" i="6"/>
  <c r="E906" i="6"/>
  <c r="F906" i="6"/>
  <c r="G906" i="6"/>
  <c r="B905" i="6"/>
  <c r="C905" i="6"/>
  <c r="D905" i="6"/>
  <c r="E905" i="6"/>
  <c r="F905" i="6"/>
  <c r="G905" i="6"/>
  <c r="B904" i="6"/>
  <c r="C904" i="6"/>
  <c r="D904" i="6"/>
  <c r="E904" i="6"/>
  <c r="F904" i="6"/>
  <c r="G904" i="6"/>
  <c r="B903" i="6"/>
  <c r="C903" i="6"/>
  <c r="D903" i="6"/>
  <c r="E903" i="6"/>
  <c r="F903" i="6"/>
  <c r="G903" i="6"/>
  <c r="B902" i="6"/>
  <c r="C902" i="6"/>
  <c r="D902" i="6"/>
  <c r="E902" i="6"/>
  <c r="F902" i="6"/>
  <c r="G902" i="6"/>
  <c r="B901" i="6"/>
  <c r="C901" i="6"/>
  <c r="D901" i="6"/>
  <c r="E901" i="6"/>
  <c r="F901" i="6"/>
  <c r="G901" i="6"/>
  <c r="B900" i="6"/>
  <c r="C900" i="6"/>
  <c r="D900" i="6"/>
  <c r="E900" i="6"/>
  <c r="F900" i="6"/>
  <c r="G900" i="6"/>
  <c r="B899" i="6"/>
  <c r="C899" i="6"/>
  <c r="D899" i="6"/>
  <c r="E899" i="6"/>
  <c r="F899" i="6"/>
  <c r="G899" i="6"/>
  <c r="B898" i="6"/>
  <c r="C898" i="6"/>
  <c r="D898" i="6"/>
  <c r="E898" i="6"/>
  <c r="F898" i="6"/>
  <c r="G898" i="6"/>
  <c r="B897" i="6"/>
  <c r="C897" i="6"/>
  <c r="D897" i="6"/>
  <c r="E897" i="6"/>
  <c r="F897" i="6"/>
  <c r="G897" i="6"/>
  <c r="B896" i="6"/>
  <c r="C896" i="6"/>
  <c r="D896" i="6"/>
  <c r="E896" i="6"/>
  <c r="F896" i="6"/>
  <c r="G896" i="6"/>
  <c r="B895" i="6"/>
  <c r="C895" i="6"/>
  <c r="D895" i="6"/>
  <c r="E895" i="6"/>
  <c r="F895" i="6"/>
  <c r="G895" i="6"/>
  <c r="B894" i="6"/>
  <c r="C894" i="6"/>
  <c r="D894" i="6"/>
  <c r="E894" i="6"/>
  <c r="F894" i="6"/>
  <c r="G894" i="6"/>
  <c r="B893" i="6"/>
  <c r="C893" i="6"/>
  <c r="D893" i="6"/>
  <c r="E893" i="6"/>
  <c r="F893" i="6"/>
  <c r="G893" i="6"/>
  <c r="B892" i="6"/>
  <c r="C892" i="6"/>
  <c r="D892" i="6"/>
  <c r="E892" i="6"/>
  <c r="F892" i="6"/>
  <c r="G892" i="6"/>
  <c r="B891" i="6"/>
  <c r="C891" i="6"/>
  <c r="D891" i="6"/>
  <c r="E891" i="6"/>
  <c r="F891" i="6"/>
  <c r="G891" i="6"/>
  <c r="B890" i="6"/>
  <c r="C890" i="6"/>
  <c r="D890" i="6"/>
  <c r="E890" i="6"/>
  <c r="F890" i="6"/>
  <c r="G890" i="6"/>
  <c r="B889" i="6"/>
  <c r="C889" i="6"/>
  <c r="D889" i="6"/>
  <c r="E889" i="6"/>
  <c r="F889" i="6"/>
  <c r="G889" i="6"/>
  <c r="B888" i="6"/>
  <c r="C888" i="6"/>
  <c r="D888" i="6"/>
  <c r="E888" i="6"/>
  <c r="F888" i="6"/>
  <c r="G888" i="6"/>
  <c r="B887" i="6"/>
  <c r="C887" i="6"/>
  <c r="D887" i="6"/>
  <c r="E887" i="6"/>
  <c r="F887" i="6"/>
  <c r="G887" i="6"/>
  <c r="B886" i="6"/>
  <c r="C886" i="6"/>
  <c r="D886" i="6"/>
  <c r="E886" i="6"/>
  <c r="F886" i="6"/>
  <c r="G886" i="6"/>
  <c r="B885" i="6"/>
  <c r="C885" i="6"/>
  <c r="D885" i="6"/>
  <c r="E885" i="6"/>
  <c r="F885" i="6"/>
  <c r="G885" i="6"/>
  <c r="B884" i="6"/>
  <c r="C884" i="6"/>
  <c r="D884" i="6"/>
  <c r="E884" i="6"/>
  <c r="F884" i="6"/>
  <c r="G884" i="6"/>
  <c r="B883" i="6"/>
  <c r="C883" i="6"/>
  <c r="D883" i="6"/>
  <c r="E883" i="6"/>
  <c r="F883" i="6"/>
  <c r="G883" i="6"/>
  <c r="B882" i="6"/>
  <c r="C882" i="6"/>
  <c r="D882" i="6"/>
  <c r="E882" i="6"/>
  <c r="F882" i="6"/>
  <c r="G882" i="6"/>
  <c r="B881" i="6"/>
  <c r="C881" i="6"/>
  <c r="D881" i="6"/>
  <c r="E881" i="6"/>
  <c r="F881" i="6"/>
  <c r="G881" i="6"/>
  <c r="B880" i="6"/>
  <c r="C880" i="6"/>
  <c r="D880" i="6"/>
  <c r="E880" i="6"/>
  <c r="F880" i="6"/>
  <c r="G880" i="6"/>
  <c r="B879" i="6"/>
  <c r="C879" i="6"/>
  <c r="D879" i="6"/>
  <c r="E879" i="6"/>
  <c r="F879" i="6"/>
  <c r="G879" i="6"/>
  <c r="B878" i="6"/>
  <c r="C878" i="6"/>
  <c r="D878" i="6"/>
  <c r="E878" i="6"/>
  <c r="F878" i="6"/>
  <c r="G878" i="6"/>
  <c r="B877" i="6"/>
  <c r="C877" i="6"/>
  <c r="D877" i="6"/>
  <c r="E877" i="6"/>
  <c r="F877" i="6"/>
  <c r="G877" i="6"/>
  <c r="B876" i="6"/>
  <c r="C876" i="6"/>
  <c r="D876" i="6"/>
  <c r="E876" i="6"/>
  <c r="F876" i="6"/>
  <c r="G876" i="6"/>
  <c r="B875" i="6"/>
  <c r="C875" i="6"/>
  <c r="D875" i="6"/>
  <c r="E875" i="6"/>
  <c r="F875" i="6"/>
  <c r="G875" i="6"/>
  <c r="B874" i="6"/>
  <c r="C874" i="6"/>
  <c r="D874" i="6"/>
  <c r="E874" i="6"/>
  <c r="F874" i="6"/>
  <c r="G874" i="6"/>
  <c r="B873" i="6"/>
  <c r="C873" i="6"/>
  <c r="D873" i="6"/>
  <c r="E873" i="6"/>
  <c r="F873" i="6"/>
  <c r="G873" i="6"/>
  <c r="B872" i="6"/>
  <c r="C872" i="6"/>
  <c r="D872" i="6"/>
  <c r="E872" i="6"/>
  <c r="F872" i="6"/>
  <c r="G872" i="6"/>
  <c r="B871" i="6"/>
  <c r="C871" i="6"/>
  <c r="D871" i="6"/>
  <c r="E871" i="6"/>
  <c r="F871" i="6"/>
  <c r="G871" i="6"/>
  <c r="B870" i="6"/>
  <c r="C870" i="6"/>
  <c r="D870" i="6"/>
  <c r="E870" i="6"/>
  <c r="F870" i="6"/>
  <c r="G870" i="6"/>
  <c r="B869" i="6"/>
  <c r="C869" i="6"/>
  <c r="D869" i="6"/>
  <c r="E869" i="6"/>
  <c r="F869" i="6"/>
  <c r="G869" i="6"/>
  <c r="B868" i="6"/>
  <c r="C868" i="6"/>
  <c r="D868" i="6"/>
  <c r="E868" i="6"/>
  <c r="F868" i="6"/>
  <c r="G868" i="6"/>
  <c r="B867" i="6"/>
  <c r="C867" i="6"/>
  <c r="D867" i="6"/>
  <c r="E867" i="6"/>
  <c r="F867" i="6"/>
  <c r="G867" i="6"/>
  <c r="B866" i="6"/>
  <c r="C866" i="6"/>
  <c r="D866" i="6"/>
  <c r="E866" i="6"/>
  <c r="F866" i="6"/>
  <c r="G866" i="6"/>
  <c r="B865" i="6"/>
  <c r="C865" i="6"/>
  <c r="D865" i="6"/>
  <c r="E865" i="6"/>
  <c r="F865" i="6"/>
  <c r="G865" i="6"/>
  <c r="B864" i="6"/>
  <c r="C864" i="6"/>
  <c r="D864" i="6"/>
  <c r="E864" i="6"/>
  <c r="F864" i="6"/>
  <c r="G864" i="6"/>
  <c r="B863" i="6"/>
  <c r="C863" i="6"/>
  <c r="D863" i="6"/>
  <c r="E863" i="6"/>
  <c r="F863" i="6"/>
  <c r="G863" i="6"/>
  <c r="B862" i="6"/>
  <c r="C862" i="6"/>
  <c r="D862" i="6"/>
  <c r="E862" i="6"/>
  <c r="F862" i="6"/>
  <c r="G862" i="6"/>
  <c r="B861" i="6"/>
  <c r="C861" i="6"/>
  <c r="D861" i="6"/>
  <c r="E861" i="6"/>
  <c r="F861" i="6"/>
  <c r="G861" i="6"/>
  <c r="B860" i="6"/>
  <c r="C860" i="6"/>
  <c r="D860" i="6"/>
  <c r="E860" i="6"/>
  <c r="F860" i="6"/>
  <c r="G860" i="6"/>
  <c r="B859" i="6"/>
  <c r="C859" i="6"/>
  <c r="D859" i="6"/>
  <c r="E859" i="6"/>
  <c r="F859" i="6"/>
  <c r="G859" i="6"/>
  <c r="B858" i="6"/>
  <c r="C858" i="6"/>
  <c r="D858" i="6"/>
  <c r="E858" i="6"/>
  <c r="F858" i="6"/>
  <c r="G858" i="6"/>
  <c r="B857" i="6"/>
  <c r="C857" i="6"/>
  <c r="D857" i="6"/>
  <c r="E857" i="6"/>
  <c r="F857" i="6"/>
  <c r="G857" i="6"/>
  <c r="B856" i="6"/>
  <c r="C856" i="6"/>
  <c r="D856" i="6"/>
  <c r="E856" i="6"/>
  <c r="F856" i="6"/>
  <c r="G856" i="6"/>
  <c r="B855" i="6"/>
  <c r="C855" i="6"/>
  <c r="D855" i="6"/>
  <c r="E855" i="6"/>
  <c r="F855" i="6"/>
  <c r="G855" i="6"/>
  <c r="B854" i="6"/>
  <c r="C854" i="6"/>
  <c r="D854" i="6"/>
  <c r="E854" i="6"/>
  <c r="F854" i="6"/>
  <c r="G854" i="6"/>
  <c r="B853" i="6"/>
  <c r="C853" i="6"/>
  <c r="D853" i="6"/>
  <c r="E853" i="6"/>
  <c r="F853" i="6"/>
  <c r="G853" i="6"/>
  <c r="B852" i="6"/>
  <c r="C852" i="6"/>
  <c r="D852" i="6"/>
  <c r="E852" i="6"/>
  <c r="F852" i="6"/>
  <c r="G852" i="6"/>
  <c r="B851" i="6"/>
  <c r="C851" i="6"/>
  <c r="D851" i="6"/>
  <c r="E851" i="6"/>
  <c r="F851" i="6"/>
  <c r="G851" i="6"/>
  <c r="B850" i="6"/>
  <c r="C850" i="6"/>
  <c r="D850" i="6"/>
  <c r="E850" i="6"/>
  <c r="F850" i="6"/>
  <c r="G850" i="6"/>
  <c r="B849" i="6"/>
  <c r="C849" i="6"/>
  <c r="D849" i="6"/>
  <c r="E849" i="6"/>
  <c r="F849" i="6"/>
  <c r="G849" i="6"/>
  <c r="B848" i="6"/>
  <c r="C848" i="6"/>
  <c r="D848" i="6"/>
  <c r="E848" i="6"/>
  <c r="F848" i="6"/>
  <c r="G848" i="6"/>
  <c r="B847" i="6"/>
  <c r="C847" i="6"/>
  <c r="D847" i="6"/>
  <c r="E847" i="6"/>
  <c r="F847" i="6"/>
  <c r="G847" i="6"/>
  <c r="B846" i="6"/>
  <c r="C846" i="6"/>
  <c r="D846" i="6"/>
  <c r="E846" i="6"/>
  <c r="F846" i="6"/>
  <c r="G846" i="6"/>
  <c r="B845" i="6"/>
  <c r="C845" i="6"/>
  <c r="D845" i="6"/>
  <c r="E845" i="6"/>
  <c r="F845" i="6"/>
  <c r="G845" i="6"/>
  <c r="B844" i="6"/>
  <c r="C844" i="6"/>
  <c r="D844" i="6"/>
  <c r="E844" i="6"/>
  <c r="F844" i="6"/>
  <c r="G844" i="6"/>
  <c r="B843" i="6"/>
  <c r="C843" i="6"/>
  <c r="D843" i="6"/>
  <c r="E843" i="6"/>
  <c r="F843" i="6"/>
  <c r="G843" i="6"/>
  <c r="B842" i="6"/>
  <c r="C842" i="6"/>
  <c r="D842" i="6"/>
  <c r="E842" i="6"/>
  <c r="F842" i="6"/>
  <c r="G842" i="6"/>
  <c r="B841" i="6"/>
  <c r="C841" i="6"/>
  <c r="D841" i="6"/>
  <c r="E841" i="6"/>
  <c r="F841" i="6"/>
  <c r="G841" i="6"/>
  <c r="B840" i="6"/>
  <c r="C840" i="6"/>
  <c r="D840" i="6"/>
  <c r="E840" i="6"/>
  <c r="F840" i="6"/>
  <c r="G840" i="6"/>
  <c r="B839" i="6"/>
  <c r="C839" i="6"/>
  <c r="D839" i="6"/>
  <c r="E839" i="6"/>
  <c r="F839" i="6"/>
  <c r="G839" i="6"/>
  <c r="B838" i="6"/>
  <c r="C838" i="6"/>
  <c r="D838" i="6"/>
  <c r="E838" i="6"/>
  <c r="F838" i="6"/>
  <c r="G838" i="6"/>
  <c r="B837" i="6"/>
  <c r="C837" i="6"/>
  <c r="D837" i="6"/>
  <c r="E837" i="6"/>
  <c r="F837" i="6"/>
  <c r="G837" i="6"/>
  <c r="B836" i="6"/>
  <c r="C836" i="6"/>
  <c r="D836" i="6"/>
  <c r="E836" i="6"/>
  <c r="F836" i="6"/>
  <c r="G836" i="6"/>
  <c r="B835" i="6"/>
  <c r="C835" i="6"/>
  <c r="D835" i="6"/>
  <c r="E835" i="6"/>
  <c r="F835" i="6"/>
  <c r="G835" i="6"/>
  <c r="B834" i="6"/>
  <c r="C834" i="6"/>
  <c r="D834" i="6"/>
  <c r="E834" i="6"/>
  <c r="F834" i="6"/>
  <c r="G834" i="6"/>
  <c r="B833" i="6"/>
  <c r="C833" i="6"/>
  <c r="D833" i="6"/>
  <c r="E833" i="6"/>
  <c r="F833" i="6"/>
  <c r="G833" i="6"/>
  <c r="B832" i="6"/>
  <c r="C832" i="6"/>
  <c r="D832" i="6"/>
  <c r="E832" i="6"/>
  <c r="F832" i="6"/>
  <c r="G832" i="6"/>
  <c r="B831" i="6"/>
  <c r="C831" i="6"/>
  <c r="D831" i="6"/>
  <c r="E831" i="6"/>
  <c r="F831" i="6"/>
  <c r="G831" i="6"/>
  <c r="B830" i="6"/>
  <c r="C830" i="6"/>
  <c r="D830" i="6"/>
  <c r="E830" i="6"/>
  <c r="F830" i="6"/>
  <c r="G830" i="6"/>
  <c r="B829" i="6"/>
  <c r="C829" i="6"/>
  <c r="D829" i="6"/>
  <c r="E829" i="6"/>
  <c r="F829" i="6"/>
  <c r="G829" i="6"/>
  <c r="B828" i="6"/>
  <c r="C828" i="6"/>
  <c r="D828" i="6"/>
  <c r="E828" i="6"/>
  <c r="F828" i="6"/>
  <c r="G828" i="6"/>
  <c r="B827" i="6"/>
  <c r="C827" i="6"/>
  <c r="D827" i="6"/>
  <c r="E827" i="6"/>
  <c r="F827" i="6"/>
  <c r="G827" i="6"/>
  <c r="B826" i="6"/>
  <c r="C826" i="6"/>
  <c r="D826" i="6"/>
  <c r="E826" i="6"/>
  <c r="F826" i="6"/>
  <c r="G826" i="6"/>
  <c r="B825" i="6"/>
  <c r="C825" i="6"/>
  <c r="D825" i="6"/>
  <c r="E825" i="6"/>
  <c r="F825" i="6"/>
  <c r="G825" i="6"/>
  <c r="B824" i="6"/>
  <c r="C824" i="6"/>
  <c r="D824" i="6"/>
  <c r="E824" i="6"/>
  <c r="F824" i="6"/>
  <c r="G824" i="6"/>
  <c r="B823" i="6"/>
  <c r="C823" i="6"/>
  <c r="D823" i="6"/>
  <c r="E823" i="6"/>
  <c r="F823" i="6"/>
  <c r="G823" i="6"/>
  <c r="B822" i="6"/>
  <c r="C822" i="6"/>
  <c r="D822" i="6"/>
  <c r="E822" i="6"/>
  <c r="F822" i="6"/>
  <c r="G822" i="6"/>
  <c r="B821" i="6"/>
  <c r="C821" i="6"/>
  <c r="D821" i="6"/>
  <c r="E821" i="6"/>
  <c r="F821" i="6"/>
  <c r="G821" i="6"/>
  <c r="B820" i="6"/>
  <c r="C820" i="6"/>
  <c r="D820" i="6"/>
  <c r="E820" i="6"/>
  <c r="F820" i="6"/>
  <c r="G820" i="6"/>
  <c r="B819" i="6"/>
  <c r="C819" i="6"/>
  <c r="D819" i="6"/>
  <c r="E819" i="6"/>
  <c r="F819" i="6"/>
  <c r="G819" i="6"/>
  <c r="B818" i="6"/>
  <c r="C818" i="6"/>
  <c r="D818" i="6"/>
  <c r="E818" i="6"/>
  <c r="F818" i="6"/>
  <c r="G818" i="6"/>
  <c r="B817" i="6"/>
  <c r="C817" i="6"/>
  <c r="D817" i="6"/>
  <c r="E817" i="6"/>
  <c r="F817" i="6"/>
  <c r="G817" i="6"/>
  <c r="B816" i="6"/>
  <c r="C816" i="6"/>
  <c r="D816" i="6"/>
  <c r="E816" i="6"/>
  <c r="F816" i="6"/>
  <c r="G816" i="6"/>
  <c r="B815" i="6"/>
  <c r="C815" i="6"/>
  <c r="D815" i="6"/>
  <c r="E815" i="6"/>
  <c r="F815" i="6"/>
  <c r="G815" i="6"/>
  <c r="B814" i="6"/>
  <c r="C814" i="6"/>
  <c r="D814" i="6"/>
  <c r="E814" i="6"/>
  <c r="F814" i="6"/>
  <c r="G814" i="6"/>
  <c r="B813" i="6"/>
  <c r="C813" i="6"/>
  <c r="D813" i="6"/>
  <c r="E813" i="6"/>
  <c r="F813" i="6"/>
  <c r="G813" i="6"/>
  <c r="B812" i="6"/>
  <c r="C812" i="6"/>
  <c r="D812" i="6"/>
  <c r="E812" i="6"/>
  <c r="F812" i="6"/>
  <c r="G812" i="6"/>
  <c r="B811" i="6"/>
  <c r="C811" i="6"/>
  <c r="D811" i="6"/>
  <c r="E811" i="6"/>
  <c r="F811" i="6"/>
  <c r="G811" i="6"/>
  <c r="B810" i="6"/>
  <c r="C810" i="6"/>
  <c r="D810" i="6"/>
  <c r="E810" i="6"/>
  <c r="F810" i="6"/>
  <c r="G810" i="6"/>
  <c r="B809" i="6"/>
  <c r="C809" i="6"/>
  <c r="D809" i="6"/>
  <c r="E809" i="6"/>
  <c r="F809" i="6"/>
  <c r="G809" i="6"/>
  <c r="B808" i="6"/>
  <c r="C808" i="6"/>
  <c r="D808" i="6"/>
  <c r="E808" i="6"/>
  <c r="F808" i="6"/>
  <c r="G808" i="6"/>
  <c r="B807" i="6"/>
  <c r="C807" i="6"/>
  <c r="D807" i="6"/>
  <c r="E807" i="6"/>
  <c r="F807" i="6"/>
  <c r="G807" i="6"/>
  <c r="B806" i="6"/>
  <c r="C806" i="6"/>
  <c r="D806" i="6"/>
  <c r="E806" i="6"/>
  <c r="F806" i="6"/>
  <c r="G806" i="6"/>
  <c r="B805" i="6"/>
  <c r="C805" i="6"/>
  <c r="D805" i="6"/>
  <c r="E805" i="6"/>
  <c r="F805" i="6"/>
  <c r="G805" i="6"/>
  <c r="B804" i="6"/>
  <c r="C804" i="6"/>
  <c r="D804" i="6"/>
  <c r="E804" i="6"/>
  <c r="F804" i="6"/>
  <c r="G804" i="6"/>
  <c r="B803" i="6"/>
  <c r="C803" i="6"/>
  <c r="D803" i="6"/>
  <c r="E803" i="6"/>
  <c r="F803" i="6"/>
  <c r="G803" i="6"/>
  <c r="B802" i="6"/>
  <c r="C802" i="6"/>
  <c r="D802" i="6"/>
  <c r="E802" i="6"/>
  <c r="F802" i="6"/>
  <c r="G802" i="6"/>
  <c r="B801" i="6"/>
  <c r="C801" i="6"/>
  <c r="D801" i="6"/>
  <c r="E801" i="6"/>
  <c r="F801" i="6"/>
  <c r="G801" i="6"/>
  <c r="B800" i="6"/>
  <c r="C800" i="6"/>
  <c r="D800" i="6"/>
  <c r="E800" i="6"/>
  <c r="F800" i="6"/>
  <c r="G800" i="6"/>
  <c r="B799" i="6"/>
  <c r="C799" i="6"/>
  <c r="D799" i="6"/>
  <c r="E799" i="6"/>
  <c r="F799" i="6"/>
  <c r="G799" i="6"/>
  <c r="B798" i="6"/>
  <c r="C798" i="6"/>
  <c r="D798" i="6"/>
  <c r="E798" i="6"/>
  <c r="F798" i="6"/>
  <c r="G798" i="6"/>
  <c r="B797" i="6"/>
  <c r="C797" i="6"/>
  <c r="D797" i="6"/>
  <c r="E797" i="6"/>
  <c r="F797" i="6"/>
  <c r="G797" i="6"/>
  <c r="B796" i="6"/>
  <c r="C796" i="6"/>
  <c r="D796" i="6"/>
  <c r="E796" i="6"/>
  <c r="F796" i="6"/>
  <c r="G796" i="6"/>
  <c r="B795" i="6"/>
  <c r="C795" i="6"/>
  <c r="D795" i="6"/>
  <c r="E795" i="6"/>
  <c r="F795" i="6"/>
  <c r="G795" i="6"/>
  <c r="B794" i="6"/>
  <c r="C794" i="6"/>
  <c r="D794" i="6"/>
  <c r="E794" i="6"/>
  <c r="F794" i="6"/>
  <c r="G794" i="6"/>
  <c r="B793" i="6"/>
  <c r="C793" i="6"/>
  <c r="D793" i="6"/>
  <c r="E793" i="6"/>
  <c r="F793" i="6"/>
  <c r="G793" i="6"/>
  <c r="B792" i="6"/>
  <c r="C792" i="6"/>
  <c r="D792" i="6"/>
  <c r="E792" i="6"/>
  <c r="F792" i="6"/>
  <c r="G792" i="6"/>
  <c r="B791" i="6"/>
  <c r="C791" i="6"/>
  <c r="D791" i="6"/>
  <c r="E791" i="6"/>
  <c r="F791" i="6"/>
  <c r="G791" i="6"/>
  <c r="B790" i="6"/>
  <c r="C790" i="6"/>
  <c r="D790" i="6"/>
  <c r="E790" i="6"/>
  <c r="F790" i="6"/>
  <c r="G790" i="6"/>
  <c r="B789" i="6"/>
  <c r="C789" i="6"/>
  <c r="D789" i="6"/>
  <c r="E789" i="6"/>
  <c r="F789" i="6"/>
  <c r="G789" i="6"/>
  <c r="B788" i="6"/>
  <c r="C788" i="6"/>
  <c r="D788" i="6"/>
  <c r="E788" i="6"/>
  <c r="F788" i="6"/>
  <c r="G788" i="6"/>
  <c r="B787" i="6"/>
  <c r="C787" i="6"/>
  <c r="D787" i="6"/>
  <c r="E787" i="6"/>
  <c r="F787" i="6"/>
  <c r="G787" i="6"/>
  <c r="B786" i="6"/>
  <c r="C786" i="6"/>
  <c r="D786" i="6"/>
  <c r="E786" i="6"/>
  <c r="F786" i="6"/>
  <c r="G786" i="6"/>
  <c r="B785" i="6"/>
  <c r="C785" i="6"/>
  <c r="D785" i="6"/>
  <c r="E785" i="6"/>
  <c r="F785" i="6"/>
  <c r="G785" i="6"/>
  <c r="B784" i="6"/>
  <c r="C784" i="6"/>
  <c r="D784" i="6"/>
  <c r="E784" i="6"/>
  <c r="F784" i="6"/>
  <c r="G784" i="6"/>
  <c r="B783" i="6"/>
  <c r="C783" i="6"/>
  <c r="D783" i="6"/>
  <c r="E783" i="6"/>
  <c r="F783" i="6"/>
  <c r="G783" i="6"/>
  <c r="B782" i="6"/>
  <c r="C782" i="6"/>
  <c r="D782" i="6"/>
  <c r="E782" i="6"/>
  <c r="F782" i="6"/>
  <c r="G782" i="6"/>
  <c r="B781" i="6"/>
  <c r="C781" i="6"/>
  <c r="D781" i="6"/>
  <c r="E781" i="6"/>
  <c r="F781" i="6"/>
  <c r="G781" i="6"/>
  <c r="B780" i="6"/>
  <c r="C780" i="6"/>
  <c r="D780" i="6"/>
  <c r="E780" i="6"/>
  <c r="F780" i="6"/>
  <c r="G780" i="6"/>
  <c r="B779" i="6"/>
  <c r="C779" i="6"/>
  <c r="D779" i="6"/>
  <c r="E779" i="6"/>
  <c r="F779" i="6"/>
  <c r="G779" i="6"/>
  <c r="B778" i="6"/>
  <c r="C778" i="6"/>
  <c r="D778" i="6"/>
  <c r="E778" i="6"/>
  <c r="F778" i="6"/>
  <c r="G778" i="6"/>
  <c r="B777" i="6"/>
  <c r="C777" i="6"/>
  <c r="D777" i="6"/>
  <c r="E777" i="6"/>
  <c r="F777" i="6"/>
  <c r="G777" i="6"/>
  <c r="B776" i="6"/>
  <c r="C776" i="6"/>
  <c r="D776" i="6"/>
  <c r="E776" i="6"/>
  <c r="F776" i="6"/>
  <c r="G776" i="6"/>
  <c r="B775" i="6"/>
  <c r="C775" i="6"/>
  <c r="D775" i="6"/>
  <c r="E775" i="6"/>
  <c r="F775" i="6"/>
  <c r="G775" i="6"/>
  <c r="B774" i="6"/>
  <c r="C774" i="6"/>
  <c r="D774" i="6"/>
  <c r="E774" i="6"/>
  <c r="F774" i="6"/>
  <c r="G774" i="6"/>
  <c r="B773" i="6"/>
  <c r="C773" i="6"/>
  <c r="D773" i="6"/>
  <c r="E773" i="6"/>
  <c r="F773" i="6"/>
  <c r="G773" i="6"/>
  <c r="B772" i="6"/>
  <c r="C772" i="6"/>
  <c r="D772" i="6"/>
  <c r="E772" i="6"/>
  <c r="F772" i="6"/>
  <c r="G772" i="6"/>
  <c r="B771" i="6"/>
  <c r="C771" i="6"/>
  <c r="D771" i="6"/>
  <c r="E771" i="6"/>
  <c r="F771" i="6"/>
  <c r="G771" i="6"/>
  <c r="B770" i="6"/>
  <c r="C770" i="6"/>
  <c r="D770" i="6"/>
  <c r="E770" i="6"/>
  <c r="F770" i="6"/>
  <c r="G770" i="6"/>
  <c r="B769" i="6"/>
  <c r="C769" i="6"/>
  <c r="D769" i="6"/>
  <c r="E769" i="6"/>
  <c r="F769" i="6"/>
  <c r="G769" i="6"/>
  <c r="B768" i="6"/>
  <c r="C768" i="6"/>
  <c r="D768" i="6"/>
  <c r="E768" i="6"/>
  <c r="F768" i="6"/>
  <c r="G768" i="6"/>
  <c r="B767" i="6"/>
  <c r="C767" i="6"/>
  <c r="D767" i="6"/>
  <c r="E767" i="6"/>
  <c r="F767" i="6"/>
  <c r="G767" i="6"/>
  <c r="B766" i="6"/>
  <c r="C766" i="6"/>
  <c r="D766" i="6"/>
  <c r="E766" i="6"/>
  <c r="F766" i="6"/>
  <c r="G766" i="6"/>
  <c r="B765" i="6"/>
  <c r="C765" i="6"/>
  <c r="D765" i="6"/>
  <c r="E765" i="6"/>
  <c r="F765" i="6"/>
  <c r="G765" i="6"/>
  <c r="B764" i="6"/>
  <c r="C764" i="6"/>
  <c r="D764" i="6"/>
  <c r="E764" i="6"/>
  <c r="F764" i="6"/>
  <c r="G764" i="6"/>
  <c r="B763" i="6"/>
  <c r="C763" i="6"/>
  <c r="D763" i="6"/>
  <c r="E763" i="6"/>
  <c r="F763" i="6"/>
  <c r="G763" i="6"/>
  <c r="B762" i="6"/>
  <c r="C762" i="6"/>
  <c r="D762" i="6"/>
  <c r="E762" i="6"/>
  <c r="F762" i="6"/>
  <c r="G762" i="6"/>
  <c r="B761" i="6"/>
  <c r="C761" i="6"/>
  <c r="D761" i="6"/>
  <c r="E761" i="6"/>
  <c r="F761" i="6"/>
  <c r="G761" i="6"/>
  <c r="B760" i="6"/>
  <c r="C760" i="6"/>
  <c r="D760" i="6"/>
  <c r="E760" i="6"/>
  <c r="F760" i="6"/>
  <c r="G760" i="6"/>
  <c r="B759" i="6"/>
  <c r="C759" i="6"/>
  <c r="D759" i="6"/>
  <c r="E759" i="6"/>
  <c r="F759" i="6"/>
  <c r="G759" i="6"/>
  <c r="B758" i="6"/>
  <c r="C758" i="6"/>
  <c r="D758" i="6"/>
  <c r="E758" i="6"/>
  <c r="F758" i="6"/>
  <c r="G758" i="6"/>
  <c r="B757" i="6"/>
  <c r="C757" i="6"/>
  <c r="D757" i="6"/>
  <c r="E757" i="6"/>
  <c r="F757" i="6"/>
  <c r="G757" i="6"/>
  <c r="B756" i="6"/>
  <c r="C756" i="6"/>
  <c r="D756" i="6"/>
  <c r="E756" i="6"/>
  <c r="F756" i="6"/>
  <c r="G756" i="6"/>
  <c r="B755" i="6"/>
  <c r="C755" i="6"/>
  <c r="D755" i="6"/>
  <c r="E755" i="6"/>
  <c r="F755" i="6"/>
  <c r="G755" i="6"/>
  <c r="B754" i="6"/>
  <c r="C754" i="6"/>
  <c r="D754" i="6"/>
  <c r="E754" i="6"/>
  <c r="F754" i="6"/>
  <c r="G754" i="6"/>
  <c r="B753" i="6"/>
  <c r="C753" i="6"/>
  <c r="D753" i="6"/>
  <c r="E753" i="6"/>
  <c r="F753" i="6"/>
  <c r="G753" i="6"/>
  <c r="B752" i="6"/>
  <c r="C752" i="6"/>
  <c r="D752" i="6"/>
  <c r="E752" i="6"/>
  <c r="F752" i="6"/>
  <c r="G752" i="6"/>
  <c r="B751" i="6"/>
  <c r="C751" i="6"/>
  <c r="D751" i="6"/>
  <c r="E751" i="6"/>
  <c r="F751" i="6"/>
  <c r="G751" i="6"/>
  <c r="B750" i="6"/>
  <c r="C750" i="6"/>
  <c r="D750" i="6"/>
  <c r="E750" i="6"/>
  <c r="F750" i="6"/>
  <c r="G750" i="6"/>
  <c r="B749" i="6"/>
  <c r="C749" i="6"/>
  <c r="D749" i="6"/>
  <c r="E749" i="6"/>
  <c r="F749" i="6"/>
  <c r="G749" i="6"/>
  <c r="B748" i="6"/>
  <c r="C748" i="6"/>
  <c r="D748" i="6"/>
  <c r="E748" i="6"/>
  <c r="F748" i="6"/>
  <c r="G748" i="6"/>
  <c r="B747" i="6"/>
  <c r="C747" i="6"/>
  <c r="D747" i="6"/>
  <c r="E747" i="6"/>
  <c r="F747" i="6"/>
  <c r="G747" i="6"/>
  <c r="B746" i="6"/>
  <c r="C746" i="6"/>
  <c r="D746" i="6"/>
  <c r="E746" i="6"/>
  <c r="F746" i="6"/>
  <c r="G746" i="6"/>
  <c r="B745" i="6"/>
  <c r="C745" i="6"/>
  <c r="D745" i="6"/>
  <c r="E745" i="6"/>
  <c r="F745" i="6"/>
  <c r="G745" i="6"/>
  <c r="B744" i="6"/>
  <c r="C744" i="6"/>
  <c r="D744" i="6"/>
  <c r="E744" i="6"/>
  <c r="F744" i="6"/>
  <c r="G744" i="6"/>
  <c r="B743" i="6"/>
  <c r="C743" i="6"/>
  <c r="D743" i="6"/>
  <c r="E743" i="6"/>
  <c r="F743" i="6"/>
  <c r="G743" i="6"/>
  <c r="B742" i="6"/>
  <c r="C742" i="6"/>
  <c r="D742" i="6"/>
  <c r="E742" i="6"/>
  <c r="F742" i="6"/>
  <c r="G742" i="6"/>
  <c r="B741" i="6"/>
  <c r="C741" i="6"/>
  <c r="D741" i="6"/>
  <c r="E741" i="6"/>
  <c r="F741" i="6"/>
  <c r="G741" i="6"/>
  <c r="B740" i="6"/>
  <c r="C740" i="6"/>
  <c r="D740" i="6"/>
  <c r="E740" i="6"/>
  <c r="F740" i="6"/>
  <c r="G740" i="6"/>
  <c r="B739" i="6"/>
  <c r="C739" i="6"/>
  <c r="D739" i="6"/>
  <c r="E739" i="6"/>
  <c r="F739" i="6"/>
  <c r="G739" i="6"/>
  <c r="B738" i="6"/>
  <c r="C738" i="6"/>
  <c r="D738" i="6"/>
  <c r="E738" i="6"/>
  <c r="F738" i="6"/>
  <c r="G738" i="6"/>
  <c r="B737" i="6"/>
  <c r="C737" i="6"/>
  <c r="D737" i="6"/>
  <c r="E737" i="6"/>
  <c r="F737" i="6"/>
  <c r="G737" i="6"/>
  <c r="B736" i="6"/>
  <c r="C736" i="6"/>
  <c r="D736" i="6"/>
  <c r="E736" i="6"/>
  <c r="F736" i="6"/>
  <c r="G736" i="6"/>
  <c r="B735" i="6"/>
  <c r="C735" i="6"/>
  <c r="D735" i="6"/>
  <c r="E735" i="6"/>
  <c r="F735" i="6"/>
  <c r="G735" i="6"/>
  <c r="B734" i="6"/>
  <c r="C734" i="6"/>
  <c r="D734" i="6"/>
  <c r="E734" i="6"/>
  <c r="F734" i="6"/>
  <c r="G734" i="6"/>
  <c r="B733" i="6"/>
  <c r="C733" i="6"/>
  <c r="D733" i="6"/>
  <c r="E733" i="6"/>
  <c r="F733" i="6"/>
  <c r="G733" i="6"/>
  <c r="B732" i="6"/>
  <c r="C732" i="6"/>
  <c r="D732" i="6"/>
  <c r="E732" i="6"/>
  <c r="F732" i="6"/>
  <c r="G732" i="6"/>
  <c r="B731" i="6"/>
  <c r="C731" i="6"/>
  <c r="D731" i="6"/>
  <c r="E731" i="6"/>
  <c r="F731" i="6"/>
  <c r="G731" i="6"/>
  <c r="B730" i="6"/>
  <c r="C730" i="6"/>
  <c r="D730" i="6"/>
  <c r="E730" i="6"/>
  <c r="F730" i="6"/>
  <c r="G730" i="6"/>
  <c r="B729" i="6"/>
  <c r="C729" i="6"/>
  <c r="D729" i="6"/>
  <c r="E729" i="6"/>
  <c r="F729" i="6"/>
  <c r="G729" i="6"/>
  <c r="B728" i="6"/>
  <c r="C728" i="6"/>
  <c r="D728" i="6"/>
  <c r="E728" i="6"/>
  <c r="F728" i="6"/>
  <c r="G728" i="6"/>
  <c r="B727" i="6"/>
  <c r="C727" i="6"/>
  <c r="D727" i="6"/>
  <c r="E727" i="6"/>
  <c r="F727" i="6"/>
  <c r="G727" i="6"/>
  <c r="B726" i="6"/>
  <c r="C726" i="6"/>
  <c r="D726" i="6"/>
  <c r="E726" i="6"/>
  <c r="F726" i="6"/>
  <c r="G726" i="6"/>
  <c r="B725" i="6"/>
  <c r="C725" i="6"/>
  <c r="D725" i="6"/>
  <c r="E725" i="6"/>
  <c r="F725" i="6"/>
  <c r="G725" i="6"/>
  <c r="B724" i="6"/>
  <c r="C724" i="6"/>
  <c r="D724" i="6"/>
  <c r="E724" i="6"/>
  <c r="F724" i="6"/>
  <c r="G724" i="6"/>
  <c r="B723" i="6"/>
  <c r="C723" i="6"/>
  <c r="D723" i="6"/>
  <c r="E723" i="6"/>
  <c r="F723" i="6"/>
  <c r="G723" i="6"/>
  <c r="B722" i="6"/>
  <c r="C722" i="6"/>
  <c r="D722" i="6"/>
  <c r="E722" i="6"/>
  <c r="F722" i="6"/>
  <c r="G722" i="6"/>
  <c r="B721" i="6"/>
  <c r="C721" i="6"/>
  <c r="D721" i="6"/>
  <c r="E721" i="6"/>
  <c r="F721" i="6"/>
  <c r="G721" i="6"/>
  <c r="B720" i="6"/>
  <c r="C720" i="6"/>
  <c r="D720" i="6"/>
  <c r="E720" i="6"/>
  <c r="F720" i="6"/>
  <c r="G720" i="6"/>
  <c r="B719" i="6"/>
  <c r="C719" i="6"/>
  <c r="D719" i="6"/>
  <c r="E719" i="6"/>
  <c r="F719" i="6"/>
  <c r="G719" i="6"/>
  <c r="B718" i="6"/>
  <c r="C718" i="6"/>
  <c r="D718" i="6"/>
  <c r="E718" i="6"/>
  <c r="F718" i="6"/>
  <c r="G718" i="6"/>
  <c r="B717" i="6"/>
  <c r="C717" i="6"/>
  <c r="D717" i="6"/>
  <c r="E717" i="6"/>
  <c r="F717" i="6"/>
  <c r="G717" i="6"/>
  <c r="B716" i="6"/>
  <c r="C716" i="6"/>
  <c r="D716" i="6"/>
  <c r="E716" i="6"/>
  <c r="F716" i="6"/>
  <c r="G716" i="6"/>
  <c r="B715" i="6"/>
  <c r="C715" i="6"/>
  <c r="D715" i="6"/>
  <c r="E715" i="6"/>
  <c r="F715" i="6"/>
  <c r="G715" i="6"/>
  <c r="B714" i="6"/>
  <c r="C714" i="6"/>
  <c r="D714" i="6"/>
  <c r="E714" i="6"/>
  <c r="F714" i="6"/>
  <c r="G714" i="6"/>
  <c r="B713" i="6"/>
  <c r="C713" i="6"/>
  <c r="D713" i="6"/>
  <c r="E713" i="6"/>
  <c r="F713" i="6"/>
  <c r="G713" i="6"/>
  <c r="B712" i="6"/>
  <c r="C712" i="6"/>
  <c r="D712" i="6"/>
  <c r="E712" i="6"/>
  <c r="F712" i="6"/>
  <c r="G712" i="6"/>
  <c r="B711" i="6"/>
  <c r="C711" i="6"/>
  <c r="D711" i="6"/>
  <c r="E711" i="6"/>
  <c r="F711" i="6"/>
  <c r="G711" i="6"/>
  <c r="B710" i="6"/>
  <c r="C710" i="6"/>
  <c r="D710" i="6"/>
  <c r="E710" i="6"/>
  <c r="F710" i="6"/>
  <c r="G710" i="6"/>
  <c r="B709" i="6"/>
  <c r="C709" i="6"/>
  <c r="D709" i="6"/>
  <c r="E709" i="6"/>
  <c r="F709" i="6"/>
  <c r="G709" i="6"/>
  <c r="B708" i="6"/>
  <c r="C708" i="6"/>
  <c r="D708" i="6"/>
  <c r="E708" i="6"/>
  <c r="F708" i="6"/>
  <c r="G708" i="6"/>
  <c r="B707" i="6"/>
  <c r="C707" i="6"/>
  <c r="D707" i="6"/>
  <c r="E707" i="6"/>
  <c r="F707" i="6"/>
  <c r="G707" i="6"/>
  <c r="B706" i="6"/>
  <c r="C706" i="6"/>
  <c r="D706" i="6"/>
  <c r="E706" i="6"/>
  <c r="F706" i="6"/>
  <c r="G706" i="6"/>
  <c r="B705" i="6"/>
  <c r="C705" i="6"/>
  <c r="D705" i="6"/>
  <c r="E705" i="6"/>
  <c r="F705" i="6"/>
  <c r="G705" i="6"/>
  <c r="B704" i="6"/>
  <c r="C704" i="6"/>
  <c r="D704" i="6"/>
  <c r="E704" i="6"/>
  <c r="F704" i="6"/>
  <c r="G704" i="6"/>
  <c r="B703" i="6"/>
  <c r="C703" i="6"/>
  <c r="D703" i="6"/>
  <c r="E703" i="6"/>
  <c r="F703" i="6"/>
  <c r="G703" i="6"/>
  <c r="B702" i="6"/>
  <c r="C702" i="6"/>
  <c r="D702" i="6"/>
  <c r="E702" i="6"/>
  <c r="F702" i="6"/>
  <c r="G702" i="6"/>
  <c r="B701" i="6"/>
  <c r="C701" i="6"/>
  <c r="D701" i="6"/>
  <c r="E701" i="6"/>
  <c r="F701" i="6"/>
  <c r="G701" i="6"/>
  <c r="B700" i="6"/>
  <c r="C700" i="6"/>
  <c r="D700" i="6"/>
  <c r="E700" i="6"/>
  <c r="F700" i="6"/>
  <c r="G700" i="6"/>
  <c r="B699" i="6"/>
  <c r="C699" i="6"/>
  <c r="D699" i="6"/>
  <c r="E699" i="6"/>
  <c r="F699" i="6"/>
  <c r="G699" i="6"/>
  <c r="B698" i="6"/>
  <c r="C698" i="6"/>
  <c r="D698" i="6"/>
  <c r="E698" i="6"/>
  <c r="F698" i="6"/>
  <c r="G698" i="6"/>
  <c r="B697" i="6"/>
  <c r="C697" i="6"/>
  <c r="D697" i="6"/>
  <c r="E697" i="6"/>
  <c r="F697" i="6"/>
  <c r="G697" i="6"/>
  <c r="B696" i="6"/>
  <c r="C696" i="6"/>
  <c r="D696" i="6"/>
  <c r="E696" i="6"/>
  <c r="F696" i="6"/>
  <c r="G696" i="6"/>
  <c r="B695" i="6"/>
  <c r="C695" i="6"/>
  <c r="D695" i="6"/>
  <c r="E695" i="6"/>
  <c r="F695" i="6"/>
  <c r="G695" i="6"/>
  <c r="B694" i="6"/>
  <c r="C694" i="6"/>
  <c r="D694" i="6"/>
  <c r="E694" i="6"/>
  <c r="F694" i="6"/>
  <c r="G694" i="6"/>
  <c r="B693" i="6"/>
  <c r="C693" i="6"/>
  <c r="D693" i="6"/>
  <c r="E693" i="6"/>
  <c r="F693" i="6"/>
  <c r="G693" i="6"/>
  <c r="B692" i="6"/>
  <c r="C692" i="6"/>
  <c r="D692" i="6"/>
  <c r="E692" i="6"/>
  <c r="F692" i="6"/>
  <c r="G692" i="6"/>
  <c r="B691" i="6"/>
  <c r="C691" i="6"/>
  <c r="D691" i="6"/>
  <c r="E691" i="6"/>
  <c r="F691" i="6"/>
  <c r="G691" i="6"/>
  <c r="B690" i="6"/>
  <c r="C690" i="6"/>
  <c r="D690" i="6"/>
  <c r="E690" i="6"/>
  <c r="F690" i="6"/>
  <c r="G690" i="6"/>
  <c r="B689" i="6"/>
  <c r="C689" i="6"/>
  <c r="D689" i="6"/>
  <c r="E689" i="6"/>
  <c r="F689" i="6"/>
  <c r="G689" i="6"/>
  <c r="B688" i="6"/>
  <c r="C688" i="6"/>
  <c r="D688" i="6"/>
  <c r="E688" i="6"/>
  <c r="F688" i="6"/>
  <c r="G688" i="6"/>
  <c r="B687" i="6"/>
  <c r="C687" i="6"/>
  <c r="D687" i="6"/>
  <c r="E687" i="6"/>
  <c r="F687" i="6"/>
  <c r="G687" i="6"/>
  <c r="B686" i="6"/>
  <c r="C686" i="6"/>
  <c r="D686" i="6"/>
  <c r="E686" i="6"/>
  <c r="F686" i="6"/>
  <c r="G686" i="6"/>
  <c r="B685" i="6"/>
  <c r="C685" i="6"/>
  <c r="D685" i="6"/>
  <c r="E685" i="6"/>
  <c r="F685" i="6"/>
  <c r="G685" i="6"/>
  <c r="B684" i="6"/>
  <c r="C684" i="6"/>
  <c r="D684" i="6"/>
  <c r="E684" i="6"/>
  <c r="F684" i="6"/>
  <c r="G684" i="6"/>
  <c r="B683" i="6"/>
  <c r="C683" i="6"/>
  <c r="D683" i="6"/>
  <c r="E683" i="6"/>
  <c r="F683" i="6"/>
  <c r="G683" i="6"/>
  <c r="B682" i="6"/>
  <c r="C682" i="6"/>
  <c r="D682" i="6"/>
  <c r="E682" i="6"/>
  <c r="F682" i="6"/>
  <c r="G682" i="6"/>
  <c r="B681" i="6"/>
  <c r="C681" i="6"/>
  <c r="D681" i="6"/>
  <c r="E681" i="6"/>
  <c r="F681" i="6"/>
  <c r="G681" i="6"/>
  <c r="B680" i="6"/>
  <c r="C680" i="6"/>
  <c r="D680" i="6"/>
  <c r="E680" i="6"/>
  <c r="F680" i="6"/>
  <c r="G680" i="6"/>
  <c r="B679" i="6"/>
  <c r="C679" i="6"/>
  <c r="D679" i="6"/>
  <c r="E679" i="6"/>
  <c r="F679" i="6"/>
  <c r="G679" i="6"/>
  <c r="B678" i="6"/>
  <c r="C678" i="6"/>
  <c r="D678" i="6"/>
  <c r="E678" i="6"/>
  <c r="F678" i="6"/>
  <c r="G678" i="6"/>
  <c r="B677" i="6"/>
  <c r="C677" i="6"/>
  <c r="D677" i="6"/>
  <c r="E677" i="6"/>
  <c r="F677" i="6"/>
  <c r="G677" i="6"/>
  <c r="B676" i="6"/>
  <c r="C676" i="6"/>
  <c r="D676" i="6"/>
  <c r="E676" i="6"/>
  <c r="F676" i="6"/>
  <c r="G676" i="6"/>
  <c r="B675" i="6"/>
  <c r="C675" i="6"/>
  <c r="D675" i="6"/>
  <c r="E675" i="6"/>
  <c r="F675" i="6"/>
  <c r="G675" i="6"/>
  <c r="B674" i="6"/>
  <c r="C674" i="6"/>
  <c r="D674" i="6"/>
  <c r="E674" i="6"/>
  <c r="F674" i="6"/>
  <c r="G674" i="6"/>
  <c r="B673" i="6"/>
  <c r="C673" i="6"/>
  <c r="D673" i="6"/>
  <c r="E673" i="6"/>
  <c r="F673" i="6"/>
  <c r="G673" i="6"/>
  <c r="B672" i="6"/>
  <c r="C672" i="6"/>
  <c r="D672" i="6"/>
  <c r="E672" i="6"/>
  <c r="F672" i="6"/>
  <c r="G672" i="6"/>
  <c r="B671" i="6"/>
  <c r="C671" i="6"/>
  <c r="D671" i="6"/>
  <c r="E671" i="6"/>
  <c r="F671" i="6"/>
  <c r="G671" i="6"/>
  <c r="B670" i="6"/>
  <c r="C670" i="6"/>
  <c r="D670" i="6"/>
  <c r="E670" i="6"/>
  <c r="F670" i="6"/>
  <c r="G670" i="6"/>
  <c r="B669" i="6"/>
  <c r="C669" i="6"/>
  <c r="D669" i="6"/>
  <c r="E669" i="6"/>
  <c r="F669" i="6"/>
  <c r="G669" i="6"/>
  <c r="B668" i="6"/>
  <c r="C668" i="6"/>
  <c r="D668" i="6"/>
  <c r="E668" i="6"/>
  <c r="F668" i="6"/>
  <c r="G668" i="6"/>
  <c r="B667" i="6"/>
  <c r="C667" i="6"/>
  <c r="D667" i="6"/>
  <c r="E667" i="6"/>
  <c r="F667" i="6"/>
  <c r="G667" i="6"/>
  <c r="B666" i="6"/>
  <c r="C666" i="6"/>
  <c r="D666" i="6"/>
  <c r="E666" i="6"/>
  <c r="F666" i="6"/>
  <c r="G666" i="6"/>
  <c r="B665" i="6"/>
  <c r="C665" i="6"/>
  <c r="D665" i="6"/>
  <c r="E665" i="6"/>
  <c r="F665" i="6"/>
  <c r="G665" i="6"/>
  <c r="B664" i="6"/>
  <c r="C664" i="6"/>
  <c r="D664" i="6"/>
  <c r="E664" i="6"/>
  <c r="F664" i="6"/>
  <c r="G664" i="6"/>
  <c r="B663" i="6"/>
  <c r="C663" i="6"/>
  <c r="D663" i="6"/>
  <c r="E663" i="6"/>
  <c r="F663" i="6"/>
  <c r="G663" i="6"/>
  <c r="B662" i="6"/>
  <c r="C662" i="6"/>
  <c r="D662" i="6"/>
  <c r="E662" i="6"/>
  <c r="F662" i="6"/>
  <c r="G662" i="6"/>
  <c r="B661" i="6"/>
  <c r="C661" i="6"/>
  <c r="D661" i="6"/>
  <c r="E661" i="6"/>
  <c r="F661" i="6"/>
  <c r="G661" i="6"/>
  <c r="B660" i="6"/>
  <c r="C660" i="6"/>
  <c r="D660" i="6"/>
  <c r="E660" i="6"/>
  <c r="F660" i="6"/>
  <c r="G660" i="6"/>
  <c r="B659" i="6"/>
  <c r="C659" i="6"/>
  <c r="D659" i="6"/>
  <c r="E659" i="6"/>
  <c r="F659" i="6"/>
  <c r="G659" i="6"/>
  <c r="B658" i="6"/>
  <c r="C658" i="6"/>
  <c r="D658" i="6"/>
  <c r="E658" i="6"/>
  <c r="F658" i="6"/>
  <c r="G658" i="6"/>
  <c r="B657" i="6"/>
  <c r="C657" i="6"/>
  <c r="D657" i="6"/>
  <c r="E657" i="6"/>
  <c r="F657" i="6"/>
  <c r="G657" i="6"/>
  <c r="B656" i="6"/>
  <c r="C656" i="6"/>
  <c r="D656" i="6"/>
  <c r="E656" i="6"/>
  <c r="F656" i="6"/>
  <c r="G656" i="6"/>
  <c r="B655" i="6"/>
  <c r="C655" i="6"/>
  <c r="D655" i="6"/>
  <c r="E655" i="6"/>
  <c r="F655" i="6"/>
  <c r="G655" i="6"/>
  <c r="B654" i="6"/>
  <c r="C654" i="6"/>
  <c r="D654" i="6"/>
  <c r="E654" i="6"/>
  <c r="F654" i="6"/>
  <c r="G654" i="6"/>
  <c r="B653" i="6"/>
  <c r="C653" i="6"/>
  <c r="D653" i="6"/>
  <c r="E653" i="6"/>
  <c r="F653" i="6"/>
  <c r="G653" i="6"/>
  <c r="B652" i="6"/>
  <c r="C652" i="6"/>
  <c r="D652" i="6"/>
  <c r="E652" i="6"/>
  <c r="F652" i="6"/>
  <c r="G652" i="6"/>
  <c r="B651" i="6"/>
  <c r="C651" i="6"/>
  <c r="D651" i="6"/>
  <c r="E651" i="6"/>
  <c r="F651" i="6"/>
  <c r="G651" i="6"/>
  <c r="B650" i="6"/>
  <c r="C650" i="6"/>
  <c r="D650" i="6"/>
  <c r="E650" i="6"/>
  <c r="F650" i="6"/>
  <c r="G650" i="6"/>
  <c r="B649" i="6"/>
  <c r="C649" i="6"/>
  <c r="D649" i="6"/>
  <c r="E649" i="6"/>
  <c r="F649" i="6"/>
  <c r="G649" i="6"/>
  <c r="B648" i="6"/>
  <c r="C648" i="6"/>
  <c r="D648" i="6"/>
  <c r="E648" i="6"/>
  <c r="F648" i="6"/>
  <c r="G648" i="6"/>
  <c r="B647" i="6"/>
  <c r="C647" i="6"/>
  <c r="D647" i="6"/>
  <c r="E647" i="6"/>
  <c r="F647" i="6"/>
  <c r="G647" i="6"/>
  <c r="B646" i="6"/>
  <c r="C646" i="6"/>
  <c r="D646" i="6"/>
  <c r="E646" i="6"/>
  <c r="F646" i="6"/>
  <c r="G646" i="6"/>
  <c r="B645" i="6"/>
  <c r="C645" i="6"/>
  <c r="D645" i="6"/>
  <c r="E645" i="6"/>
  <c r="F645" i="6"/>
  <c r="G645" i="6"/>
  <c r="B644" i="6"/>
  <c r="C644" i="6"/>
  <c r="D644" i="6"/>
  <c r="E644" i="6"/>
  <c r="F644" i="6"/>
  <c r="G644" i="6"/>
  <c r="B643" i="6"/>
  <c r="C643" i="6"/>
  <c r="D643" i="6"/>
  <c r="E643" i="6"/>
  <c r="F643" i="6"/>
  <c r="G643" i="6"/>
  <c r="B642" i="6"/>
  <c r="C642" i="6"/>
  <c r="D642" i="6"/>
  <c r="E642" i="6"/>
  <c r="F642" i="6"/>
  <c r="G642" i="6"/>
  <c r="B641" i="6"/>
  <c r="C641" i="6"/>
  <c r="D641" i="6"/>
  <c r="E641" i="6"/>
  <c r="F641" i="6"/>
  <c r="G641" i="6"/>
  <c r="B640" i="6"/>
  <c r="C640" i="6"/>
  <c r="D640" i="6"/>
  <c r="E640" i="6"/>
  <c r="F640" i="6"/>
  <c r="G640" i="6"/>
  <c r="B639" i="6"/>
  <c r="C639" i="6"/>
  <c r="D639" i="6"/>
  <c r="E639" i="6"/>
  <c r="F639" i="6"/>
  <c r="G639" i="6"/>
  <c r="B638" i="6"/>
  <c r="C638" i="6"/>
  <c r="D638" i="6"/>
  <c r="E638" i="6"/>
  <c r="F638" i="6"/>
  <c r="G638" i="6"/>
  <c r="B637" i="6"/>
  <c r="C637" i="6"/>
  <c r="D637" i="6"/>
  <c r="E637" i="6"/>
  <c r="F637" i="6"/>
  <c r="G637" i="6"/>
  <c r="B636" i="6"/>
  <c r="C636" i="6"/>
  <c r="D636" i="6"/>
  <c r="E636" i="6"/>
  <c r="F636" i="6"/>
  <c r="G636" i="6"/>
  <c r="B635" i="6"/>
  <c r="C635" i="6"/>
  <c r="D635" i="6"/>
  <c r="E635" i="6"/>
  <c r="F635" i="6"/>
  <c r="G635" i="6"/>
  <c r="B634" i="6"/>
  <c r="C634" i="6"/>
  <c r="D634" i="6"/>
  <c r="E634" i="6"/>
  <c r="F634" i="6"/>
  <c r="G634" i="6"/>
  <c r="B633" i="6"/>
  <c r="C633" i="6"/>
  <c r="D633" i="6"/>
  <c r="E633" i="6"/>
  <c r="F633" i="6"/>
  <c r="G633" i="6"/>
  <c r="B632" i="6"/>
  <c r="C632" i="6"/>
  <c r="D632" i="6"/>
  <c r="E632" i="6"/>
  <c r="F632" i="6"/>
  <c r="G632" i="6"/>
  <c r="B631" i="6"/>
  <c r="C631" i="6"/>
  <c r="D631" i="6"/>
  <c r="E631" i="6"/>
  <c r="F631" i="6"/>
  <c r="G631" i="6"/>
  <c r="B630" i="6"/>
  <c r="C630" i="6"/>
  <c r="D630" i="6"/>
  <c r="E630" i="6"/>
  <c r="F630" i="6"/>
  <c r="G630" i="6"/>
  <c r="B629" i="6"/>
  <c r="C629" i="6"/>
  <c r="D629" i="6"/>
  <c r="E629" i="6"/>
  <c r="F629" i="6"/>
  <c r="G629" i="6"/>
  <c r="B628" i="6"/>
  <c r="C628" i="6"/>
  <c r="D628" i="6"/>
  <c r="E628" i="6"/>
  <c r="F628" i="6"/>
  <c r="G628" i="6"/>
  <c r="B627" i="6"/>
  <c r="C627" i="6"/>
  <c r="D627" i="6"/>
  <c r="E627" i="6"/>
  <c r="F627" i="6"/>
  <c r="G627" i="6"/>
  <c r="B626" i="6"/>
  <c r="C626" i="6"/>
  <c r="D626" i="6"/>
  <c r="E626" i="6"/>
  <c r="F626" i="6"/>
  <c r="G626" i="6"/>
  <c r="B625" i="6"/>
  <c r="C625" i="6"/>
  <c r="D625" i="6"/>
  <c r="E625" i="6"/>
  <c r="F625" i="6"/>
  <c r="G625" i="6"/>
  <c r="B624" i="6"/>
  <c r="C624" i="6"/>
  <c r="D624" i="6"/>
  <c r="E624" i="6"/>
  <c r="F624" i="6"/>
  <c r="G624" i="6"/>
  <c r="B623" i="6"/>
  <c r="C623" i="6"/>
  <c r="D623" i="6"/>
  <c r="E623" i="6"/>
  <c r="F623" i="6"/>
  <c r="G623" i="6"/>
  <c r="B622" i="6"/>
  <c r="C622" i="6"/>
  <c r="D622" i="6"/>
  <c r="E622" i="6"/>
  <c r="F622" i="6"/>
  <c r="G622" i="6"/>
  <c r="B621" i="6"/>
  <c r="C621" i="6"/>
  <c r="D621" i="6"/>
  <c r="E621" i="6"/>
  <c r="F621" i="6"/>
  <c r="G621" i="6"/>
  <c r="B620" i="6"/>
  <c r="C620" i="6"/>
  <c r="D620" i="6"/>
  <c r="E620" i="6"/>
  <c r="F620" i="6"/>
  <c r="G620" i="6"/>
  <c r="B619" i="6"/>
  <c r="C619" i="6"/>
  <c r="D619" i="6"/>
  <c r="E619" i="6"/>
  <c r="F619" i="6"/>
  <c r="G619" i="6"/>
  <c r="B618" i="6"/>
  <c r="C618" i="6"/>
  <c r="D618" i="6"/>
  <c r="E618" i="6"/>
  <c r="F618" i="6"/>
  <c r="G618" i="6"/>
  <c r="B617" i="6"/>
  <c r="C617" i="6"/>
  <c r="D617" i="6"/>
  <c r="E617" i="6"/>
  <c r="F617" i="6"/>
  <c r="G617" i="6"/>
  <c r="B616" i="6"/>
  <c r="C616" i="6"/>
  <c r="D616" i="6"/>
  <c r="E616" i="6"/>
  <c r="F616" i="6"/>
  <c r="G616" i="6"/>
  <c r="B615" i="6"/>
  <c r="C615" i="6"/>
  <c r="D615" i="6"/>
  <c r="E615" i="6"/>
  <c r="F615" i="6"/>
  <c r="G615" i="6"/>
  <c r="B614" i="6"/>
  <c r="C614" i="6"/>
  <c r="D614" i="6"/>
  <c r="E614" i="6"/>
  <c r="F614" i="6"/>
  <c r="G614" i="6"/>
  <c r="B613" i="6"/>
  <c r="C613" i="6"/>
  <c r="D613" i="6"/>
  <c r="E613" i="6"/>
  <c r="F613" i="6"/>
  <c r="G613" i="6"/>
  <c r="B612" i="6"/>
  <c r="C612" i="6"/>
  <c r="D612" i="6"/>
  <c r="E612" i="6"/>
  <c r="F612" i="6"/>
  <c r="G612" i="6"/>
  <c r="B611" i="6"/>
  <c r="C611" i="6"/>
  <c r="D611" i="6"/>
  <c r="E611" i="6"/>
  <c r="F611" i="6"/>
  <c r="G611" i="6"/>
  <c r="B610" i="6"/>
  <c r="C610" i="6"/>
  <c r="D610" i="6"/>
  <c r="E610" i="6"/>
  <c r="F610" i="6"/>
  <c r="G610" i="6"/>
  <c r="B609" i="6"/>
  <c r="C609" i="6"/>
  <c r="D609" i="6"/>
  <c r="E609" i="6"/>
  <c r="F609" i="6"/>
  <c r="G609" i="6"/>
  <c r="B608" i="6"/>
  <c r="C608" i="6"/>
  <c r="D608" i="6"/>
  <c r="E608" i="6"/>
  <c r="F608" i="6"/>
  <c r="G608" i="6"/>
  <c r="B607" i="6"/>
  <c r="C607" i="6"/>
  <c r="D607" i="6"/>
  <c r="E607" i="6"/>
  <c r="F607" i="6"/>
  <c r="G607" i="6"/>
  <c r="B606" i="6"/>
  <c r="C606" i="6"/>
  <c r="D606" i="6"/>
  <c r="E606" i="6"/>
  <c r="F606" i="6"/>
  <c r="G606" i="6"/>
  <c r="B605" i="6"/>
  <c r="C605" i="6"/>
  <c r="D605" i="6"/>
  <c r="E605" i="6"/>
  <c r="F605" i="6"/>
  <c r="G605" i="6"/>
  <c r="B604" i="6"/>
  <c r="C604" i="6"/>
  <c r="D604" i="6"/>
  <c r="E604" i="6"/>
  <c r="F604" i="6"/>
  <c r="G604" i="6"/>
  <c r="B603" i="6"/>
  <c r="C603" i="6"/>
  <c r="D603" i="6"/>
  <c r="E603" i="6"/>
  <c r="F603" i="6"/>
  <c r="G603" i="6"/>
  <c r="B602" i="6"/>
  <c r="C602" i="6"/>
  <c r="D602" i="6"/>
  <c r="E602" i="6"/>
  <c r="F602" i="6"/>
  <c r="G602" i="6"/>
  <c r="B601" i="6"/>
  <c r="C601" i="6"/>
  <c r="D601" i="6"/>
  <c r="E601" i="6"/>
  <c r="F601" i="6"/>
  <c r="G601" i="6"/>
  <c r="B600" i="6"/>
  <c r="C600" i="6"/>
  <c r="D600" i="6"/>
  <c r="E600" i="6"/>
  <c r="F600" i="6"/>
  <c r="G600" i="6"/>
  <c r="B599" i="6"/>
  <c r="C599" i="6"/>
  <c r="D599" i="6"/>
  <c r="E599" i="6"/>
  <c r="F599" i="6"/>
  <c r="G599" i="6"/>
  <c r="B598" i="6"/>
  <c r="C598" i="6"/>
  <c r="D598" i="6"/>
  <c r="E598" i="6"/>
  <c r="F598" i="6"/>
  <c r="G598" i="6"/>
  <c r="B597" i="6"/>
  <c r="C597" i="6"/>
  <c r="D597" i="6"/>
  <c r="E597" i="6"/>
  <c r="F597" i="6"/>
  <c r="G597" i="6"/>
  <c r="B596" i="6"/>
  <c r="C596" i="6"/>
  <c r="D596" i="6"/>
  <c r="E596" i="6"/>
  <c r="F596" i="6"/>
  <c r="G596" i="6"/>
  <c r="B595" i="6"/>
  <c r="C595" i="6"/>
  <c r="D595" i="6"/>
  <c r="E595" i="6"/>
  <c r="F595" i="6"/>
  <c r="G595" i="6"/>
  <c r="B594" i="6"/>
  <c r="C594" i="6"/>
  <c r="D594" i="6"/>
  <c r="E594" i="6"/>
  <c r="F594" i="6"/>
  <c r="G594" i="6"/>
  <c r="B593" i="6"/>
  <c r="C593" i="6"/>
  <c r="D593" i="6"/>
  <c r="E593" i="6"/>
  <c r="F593" i="6"/>
  <c r="G593" i="6"/>
  <c r="B592" i="6"/>
  <c r="C592" i="6"/>
  <c r="D592" i="6"/>
  <c r="E592" i="6"/>
  <c r="F592" i="6"/>
  <c r="G592" i="6"/>
  <c r="B591" i="6"/>
  <c r="C591" i="6"/>
  <c r="D591" i="6"/>
  <c r="E591" i="6"/>
  <c r="F591" i="6"/>
  <c r="G591" i="6"/>
  <c r="B590" i="6"/>
  <c r="C590" i="6"/>
  <c r="D590" i="6"/>
  <c r="E590" i="6"/>
  <c r="F590" i="6"/>
  <c r="G590" i="6"/>
  <c r="B589" i="6"/>
  <c r="C589" i="6"/>
  <c r="D589" i="6"/>
  <c r="E589" i="6"/>
  <c r="F589" i="6"/>
  <c r="G589" i="6"/>
  <c r="B588" i="6"/>
  <c r="C588" i="6"/>
  <c r="D588" i="6"/>
  <c r="E588" i="6"/>
  <c r="F588" i="6"/>
  <c r="G588" i="6"/>
  <c r="B587" i="6"/>
  <c r="C587" i="6"/>
  <c r="D587" i="6"/>
  <c r="E587" i="6"/>
  <c r="F587" i="6"/>
  <c r="G587" i="6"/>
  <c r="B586" i="6"/>
  <c r="C586" i="6"/>
  <c r="D586" i="6"/>
  <c r="E586" i="6"/>
  <c r="F586" i="6"/>
  <c r="G586" i="6"/>
  <c r="B585" i="6"/>
  <c r="C585" i="6"/>
  <c r="D585" i="6"/>
  <c r="E585" i="6"/>
  <c r="F585" i="6"/>
  <c r="G585" i="6"/>
  <c r="B584" i="6"/>
  <c r="C584" i="6"/>
  <c r="D584" i="6"/>
  <c r="E584" i="6"/>
  <c r="F584" i="6"/>
  <c r="G584" i="6"/>
  <c r="B583" i="6"/>
  <c r="C583" i="6"/>
  <c r="D583" i="6"/>
  <c r="E583" i="6"/>
  <c r="F583" i="6"/>
  <c r="G583" i="6"/>
  <c r="B582" i="6"/>
  <c r="C582" i="6"/>
  <c r="D582" i="6"/>
  <c r="E582" i="6"/>
  <c r="F582" i="6"/>
  <c r="G582" i="6"/>
  <c r="B581" i="6"/>
  <c r="C581" i="6"/>
  <c r="D581" i="6"/>
  <c r="E581" i="6"/>
  <c r="F581" i="6"/>
  <c r="G581" i="6"/>
  <c r="B580" i="6"/>
  <c r="C580" i="6"/>
  <c r="D580" i="6"/>
  <c r="E580" i="6"/>
  <c r="F580" i="6"/>
  <c r="G580" i="6"/>
  <c r="B579" i="6"/>
  <c r="C579" i="6"/>
  <c r="D579" i="6"/>
  <c r="E579" i="6"/>
  <c r="F579" i="6"/>
  <c r="G579" i="6"/>
  <c r="B578" i="6"/>
  <c r="C578" i="6"/>
  <c r="D578" i="6"/>
  <c r="E578" i="6"/>
  <c r="F578" i="6"/>
  <c r="G578" i="6"/>
  <c r="B577" i="6"/>
  <c r="C577" i="6"/>
  <c r="D577" i="6"/>
  <c r="E577" i="6"/>
  <c r="F577" i="6"/>
  <c r="G577" i="6"/>
  <c r="B576" i="6"/>
  <c r="C576" i="6"/>
  <c r="D576" i="6"/>
  <c r="E576" i="6"/>
  <c r="F576" i="6"/>
  <c r="G576" i="6"/>
  <c r="B575" i="6"/>
  <c r="C575" i="6"/>
  <c r="D575" i="6"/>
  <c r="E575" i="6"/>
  <c r="F575" i="6"/>
  <c r="G575" i="6"/>
  <c r="B574" i="6"/>
  <c r="C574" i="6"/>
  <c r="D574" i="6"/>
  <c r="E574" i="6"/>
  <c r="F574" i="6"/>
  <c r="G574" i="6"/>
  <c r="B573" i="6"/>
  <c r="C573" i="6"/>
  <c r="D573" i="6"/>
  <c r="E573" i="6"/>
  <c r="F573" i="6"/>
  <c r="G573" i="6"/>
  <c r="B572" i="6"/>
  <c r="C572" i="6"/>
  <c r="D572" i="6"/>
  <c r="E572" i="6"/>
  <c r="F572" i="6"/>
  <c r="G572" i="6"/>
  <c r="B571" i="6"/>
  <c r="C571" i="6"/>
  <c r="D571" i="6"/>
  <c r="E571" i="6"/>
  <c r="F571" i="6"/>
  <c r="G571" i="6"/>
  <c r="B570" i="6"/>
  <c r="C570" i="6"/>
  <c r="D570" i="6"/>
  <c r="E570" i="6"/>
  <c r="F570" i="6"/>
  <c r="G570" i="6"/>
  <c r="B569" i="6"/>
  <c r="C569" i="6"/>
  <c r="D569" i="6"/>
  <c r="E569" i="6"/>
  <c r="F569" i="6"/>
  <c r="G569" i="6"/>
  <c r="B568" i="6"/>
  <c r="C568" i="6"/>
  <c r="D568" i="6"/>
  <c r="E568" i="6"/>
  <c r="F568" i="6"/>
  <c r="G568" i="6"/>
  <c r="B567" i="6"/>
  <c r="C567" i="6"/>
  <c r="D567" i="6"/>
  <c r="E567" i="6"/>
  <c r="F567" i="6"/>
  <c r="G567" i="6"/>
  <c r="B566" i="6"/>
  <c r="C566" i="6"/>
  <c r="D566" i="6"/>
  <c r="E566" i="6"/>
  <c r="F566" i="6"/>
  <c r="G566" i="6"/>
  <c r="B565" i="6"/>
  <c r="C565" i="6"/>
  <c r="D565" i="6"/>
  <c r="E565" i="6"/>
  <c r="F565" i="6"/>
  <c r="G565" i="6"/>
  <c r="B564" i="6"/>
  <c r="C564" i="6"/>
  <c r="D564" i="6"/>
  <c r="E564" i="6"/>
  <c r="F564" i="6"/>
  <c r="G564" i="6"/>
  <c r="B563" i="6"/>
  <c r="C563" i="6"/>
  <c r="D563" i="6"/>
  <c r="E563" i="6"/>
  <c r="F563" i="6"/>
  <c r="G563" i="6"/>
  <c r="B562" i="6"/>
  <c r="C562" i="6"/>
  <c r="D562" i="6"/>
  <c r="E562" i="6"/>
  <c r="F562" i="6"/>
  <c r="G562" i="6"/>
  <c r="B561" i="6"/>
  <c r="C561" i="6"/>
  <c r="D561" i="6"/>
  <c r="E561" i="6"/>
  <c r="F561" i="6"/>
  <c r="G561" i="6"/>
  <c r="B560" i="6"/>
  <c r="C560" i="6"/>
  <c r="D560" i="6"/>
  <c r="E560" i="6"/>
  <c r="F560" i="6"/>
  <c r="G560" i="6"/>
  <c r="B559" i="6"/>
  <c r="C559" i="6"/>
  <c r="D559" i="6"/>
  <c r="E559" i="6"/>
  <c r="F559" i="6"/>
  <c r="G559" i="6"/>
  <c r="B558" i="6"/>
  <c r="C558" i="6"/>
  <c r="D558" i="6"/>
  <c r="E558" i="6"/>
  <c r="F558" i="6"/>
  <c r="G558" i="6"/>
  <c r="B557" i="6"/>
  <c r="C557" i="6"/>
  <c r="D557" i="6"/>
  <c r="E557" i="6"/>
  <c r="F557" i="6"/>
  <c r="G557" i="6"/>
  <c r="B556" i="6"/>
  <c r="C556" i="6"/>
  <c r="D556" i="6"/>
  <c r="E556" i="6"/>
  <c r="F556" i="6"/>
  <c r="G556" i="6"/>
  <c r="B555" i="6"/>
  <c r="C555" i="6"/>
  <c r="D555" i="6"/>
  <c r="E555" i="6"/>
  <c r="F555" i="6"/>
  <c r="G555" i="6"/>
  <c r="B554" i="6"/>
  <c r="C554" i="6"/>
  <c r="D554" i="6"/>
  <c r="E554" i="6"/>
  <c r="F554" i="6"/>
  <c r="G554" i="6"/>
  <c r="B553" i="6"/>
  <c r="C553" i="6"/>
  <c r="D553" i="6"/>
  <c r="E553" i="6"/>
  <c r="F553" i="6"/>
  <c r="G553" i="6"/>
  <c r="B552" i="6"/>
  <c r="C552" i="6"/>
  <c r="D552" i="6"/>
  <c r="E552" i="6"/>
  <c r="F552" i="6"/>
  <c r="G552" i="6"/>
  <c r="B551" i="6"/>
  <c r="C551" i="6"/>
  <c r="D551" i="6"/>
  <c r="E551" i="6"/>
  <c r="F551" i="6"/>
  <c r="G551" i="6"/>
  <c r="B550" i="6"/>
  <c r="C550" i="6"/>
  <c r="D550" i="6"/>
  <c r="E550" i="6"/>
  <c r="F550" i="6"/>
  <c r="G550" i="6"/>
  <c r="B549" i="6"/>
  <c r="C549" i="6"/>
  <c r="D549" i="6"/>
  <c r="E549" i="6"/>
  <c r="F549" i="6"/>
  <c r="G549" i="6"/>
  <c r="B548" i="6"/>
  <c r="C548" i="6"/>
  <c r="D548" i="6"/>
  <c r="E548" i="6"/>
  <c r="F548" i="6"/>
  <c r="G548" i="6"/>
  <c r="B547" i="6"/>
  <c r="C547" i="6"/>
  <c r="D547" i="6"/>
  <c r="E547" i="6"/>
  <c r="F547" i="6"/>
  <c r="G547" i="6"/>
  <c r="B546" i="6"/>
  <c r="C546" i="6"/>
  <c r="D546" i="6"/>
  <c r="E546" i="6"/>
  <c r="F546" i="6"/>
  <c r="G546" i="6"/>
  <c r="B545" i="6"/>
  <c r="C545" i="6"/>
  <c r="D545" i="6"/>
  <c r="E545" i="6"/>
  <c r="F545" i="6"/>
  <c r="G545" i="6"/>
  <c r="B544" i="6"/>
  <c r="C544" i="6"/>
  <c r="D544" i="6"/>
  <c r="E544" i="6"/>
  <c r="F544" i="6"/>
  <c r="G544" i="6"/>
  <c r="B543" i="6"/>
  <c r="C543" i="6"/>
  <c r="D543" i="6"/>
  <c r="E543" i="6"/>
  <c r="F543" i="6"/>
  <c r="G543" i="6"/>
  <c r="B542" i="6"/>
  <c r="C542" i="6"/>
  <c r="D542" i="6"/>
  <c r="E542" i="6"/>
  <c r="F542" i="6"/>
  <c r="G542" i="6"/>
  <c r="B541" i="6"/>
  <c r="C541" i="6"/>
  <c r="D541" i="6"/>
  <c r="E541" i="6"/>
  <c r="F541" i="6"/>
  <c r="G541" i="6"/>
  <c r="B540" i="6"/>
  <c r="C540" i="6"/>
  <c r="D540" i="6"/>
  <c r="E540" i="6"/>
  <c r="F540" i="6"/>
  <c r="G540" i="6"/>
  <c r="B539" i="6"/>
  <c r="C539" i="6"/>
  <c r="D539" i="6"/>
  <c r="E539" i="6"/>
  <c r="F539" i="6"/>
  <c r="G539" i="6"/>
  <c r="B538" i="6"/>
  <c r="C538" i="6"/>
  <c r="D538" i="6"/>
  <c r="E538" i="6"/>
  <c r="F538" i="6"/>
  <c r="G538" i="6"/>
  <c r="B537" i="6"/>
  <c r="C537" i="6"/>
  <c r="D537" i="6"/>
  <c r="E537" i="6"/>
  <c r="F537" i="6"/>
  <c r="G537" i="6"/>
  <c r="B536" i="6"/>
  <c r="C536" i="6"/>
  <c r="D536" i="6"/>
  <c r="E536" i="6"/>
  <c r="F536" i="6"/>
  <c r="G536" i="6"/>
  <c r="B535" i="6"/>
  <c r="C535" i="6"/>
  <c r="D535" i="6"/>
  <c r="E535" i="6"/>
  <c r="F535" i="6"/>
  <c r="G535" i="6"/>
  <c r="B534" i="6"/>
  <c r="C534" i="6"/>
  <c r="D534" i="6"/>
  <c r="E534" i="6"/>
  <c r="F534" i="6"/>
  <c r="G534" i="6"/>
  <c r="B533" i="6"/>
  <c r="C533" i="6"/>
  <c r="D533" i="6"/>
  <c r="E533" i="6"/>
  <c r="F533" i="6"/>
  <c r="G533" i="6"/>
  <c r="B532" i="6"/>
  <c r="C532" i="6"/>
  <c r="D532" i="6"/>
  <c r="E532" i="6"/>
  <c r="F532" i="6"/>
  <c r="G532" i="6"/>
  <c r="B531" i="6"/>
  <c r="C531" i="6"/>
  <c r="D531" i="6"/>
  <c r="E531" i="6"/>
  <c r="F531" i="6"/>
  <c r="G531" i="6"/>
  <c r="B530" i="6"/>
  <c r="C530" i="6"/>
  <c r="D530" i="6"/>
  <c r="E530" i="6"/>
  <c r="F530" i="6"/>
  <c r="G530" i="6"/>
  <c r="B529" i="6"/>
  <c r="C529" i="6"/>
  <c r="D529" i="6"/>
  <c r="E529" i="6"/>
  <c r="F529" i="6"/>
  <c r="G529" i="6"/>
  <c r="B528" i="6"/>
  <c r="C528" i="6"/>
  <c r="D528" i="6"/>
  <c r="E528" i="6"/>
  <c r="F528" i="6"/>
  <c r="G528" i="6"/>
  <c r="B527" i="6"/>
  <c r="C527" i="6"/>
  <c r="D527" i="6"/>
  <c r="E527" i="6"/>
  <c r="F527" i="6"/>
  <c r="G527" i="6"/>
  <c r="B526" i="6"/>
  <c r="C526" i="6"/>
  <c r="D526" i="6"/>
  <c r="E526" i="6"/>
  <c r="F526" i="6"/>
  <c r="G526" i="6"/>
  <c r="B525" i="6"/>
  <c r="C525" i="6"/>
  <c r="D525" i="6"/>
  <c r="E525" i="6"/>
  <c r="F525" i="6"/>
  <c r="G525" i="6"/>
  <c r="B524" i="6"/>
  <c r="C524" i="6"/>
  <c r="D524" i="6"/>
  <c r="E524" i="6"/>
  <c r="F524" i="6"/>
  <c r="G524" i="6"/>
  <c r="B523" i="6"/>
  <c r="C523" i="6"/>
  <c r="D523" i="6"/>
  <c r="E523" i="6"/>
  <c r="F523" i="6"/>
  <c r="G523" i="6"/>
  <c r="B522" i="6"/>
  <c r="C522" i="6"/>
  <c r="D522" i="6"/>
  <c r="E522" i="6"/>
  <c r="F522" i="6"/>
  <c r="G522" i="6"/>
  <c r="B521" i="6"/>
  <c r="C521" i="6"/>
  <c r="D521" i="6"/>
  <c r="E521" i="6"/>
  <c r="F521" i="6"/>
  <c r="G521" i="6"/>
  <c r="B520" i="6"/>
  <c r="C520" i="6"/>
  <c r="D520" i="6"/>
  <c r="E520" i="6"/>
  <c r="F520" i="6"/>
  <c r="G520" i="6"/>
  <c r="B519" i="6"/>
  <c r="C519" i="6"/>
  <c r="D519" i="6"/>
  <c r="E519" i="6"/>
  <c r="F519" i="6"/>
  <c r="G519" i="6"/>
  <c r="B518" i="6"/>
  <c r="C518" i="6"/>
  <c r="D518" i="6"/>
  <c r="E518" i="6"/>
  <c r="F518" i="6"/>
  <c r="G518" i="6"/>
  <c r="B517" i="6"/>
  <c r="C517" i="6"/>
  <c r="D517" i="6"/>
  <c r="E517" i="6"/>
  <c r="F517" i="6"/>
  <c r="G517" i="6"/>
  <c r="B516" i="6"/>
  <c r="C516" i="6"/>
  <c r="D516" i="6"/>
  <c r="E516" i="6"/>
  <c r="F516" i="6"/>
  <c r="G516" i="6"/>
  <c r="B515" i="6"/>
  <c r="C515" i="6"/>
  <c r="D515" i="6"/>
  <c r="E515" i="6"/>
  <c r="F515" i="6"/>
  <c r="G515" i="6"/>
  <c r="B514" i="6"/>
  <c r="C514" i="6"/>
  <c r="D514" i="6"/>
  <c r="E514" i="6"/>
  <c r="F514" i="6"/>
  <c r="G514" i="6"/>
  <c r="B513" i="6"/>
  <c r="C513" i="6"/>
  <c r="D513" i="6"/>
  <c r="E513" i="6"/>
  <c r="F513" i="6"/>
  <c r="G513" i="6"/>
  <c r="B512" i="6"/>
  <c r="C512" i="6"/>
  <c r="D512" i="6"/>
  <c r="E512" i="6"/>
  <c r="F512" i="6"/>
  <c r="G512" i="6"/>
  <c r="B511" i="6"/>
  <c r="C511" i="6"/>
  <c r="D511" i="6"/>
  <c r="E511" i="6"/>
  <c r="F511" i="6"/>
  <c r="G511" i="6"/>
  <c r="B510" i="6"/>
  <c r="C510" i="6"/>
  <c r="D510" i="6"/>
  <c r="E510" i="6"/>
  <c r="F510" i="6"/>
  <c r="G510" i="6"/>
  <c r="B509" i="6"/>
  <c r="C509" i="6"/>
  <c r="D509" i="6"/>
  <c r="E509" i="6"/>
  <c r="F509" i="6"/>
  <c r="G509" i="6"/>
  <c r="B508" i="6"/>
  <c r="C508" i="6"/>
  <c r="D508" i="6"/>
  <c r="E508" i="6"/>
  <c r="F508" i="6"/>
  <c r="G508" i="6"/>
  <c r="B507" i="6"/>
  <c r="C507" i="6"/>
  <c r="D507" i="6"/>
  <c r="E507" i="6"/>
  <c r="F507" i="6"/>
  <c r="G507" i="6"/>
  <c r="B506" i="6"/>
  <c r="C506" i="6"/>
  <c r="D506" i="6"/>
  <c r="E506" i="6"/>
  <c r="F506" i="6"/>
  <c r="G506" i="6"/>
  <c r="B505" i="6"/>
  <c r="C505" i="6"/>
  <c r="D505" i="6"/>
  <c r="E505" i="6"/>
  <c r="F505" i="6"/>
  <c r="G505" i="6"/>
  <c r="B504" i="6"/>
  <c r="C504" i="6"/>
  <c r="D504" i="6"/>
  <c r="E504" i="6"/>
  <c r="F504" i="6"/>
  <c r="G504" i="6"/>
  <c r="B503" i="6"/>
  <c r="C503" i="6"/>
  <c r="D503" i="6"/>
  <c r="E503" i="6"/>
  <c r="F503" i="6"/>
  <c r="G503" i="6"/>
  <c r="B502" i="6"/>
  <c r="C502" i="6"/>
  <c r="D502" i="6"/>
  <c r="E502" i="6"/>
  <c r="F502" i="6"/>
  <c r="G502" i="6"/>
  <c r="B501" i="6"/>
  <c r="C501" i="6"/>
  <c r="D501" i="6"/>
  <c r="E501" i="6"/>
  <c r="F501" i="6"/>
  <c r="G501" i="6"/>
  <c r="B500" i="6"/>
  <c r="C500" i="6"/>
  <c r="D500" i="6"/>
  <c r="E500" i="6"/>
  <c r="F500" i="6"/>
  <c r="G500" i="6"/>
  <c r="B499" i="6"/>
  <c r="C499" i="6"/>
  <c r="D499" i="6"/>
  <c r="E499" i="6"/>
  <c r="F499" i="6"/>
  <c r="G499" i="6"/>
  <c r="B498" i="6"/>
  <c r="C498" i="6"/>
  <c r="D498" i="6"/>
  <c r="E498" i="6"/>
  <c r="F498" i="6"/>
  <c r="G498" i="6"/>
  <c r="B497" i="6"/>
  <c r="C497" i="6"/>
  <c r="D497" i="6"/>
  <c r="E497" i="6"/>
  <c r="F497" i="6"/>
  <c r="G497" i="6"/>
  <c r="B496" i="6"/>
  <c r="C496" i="6"/>
  <c r="D496" i="6"/>
  <c r="E496" i="6"/>
  <c r="F496" i="6"/>
  <c r="G496" i="6"/>
  <c r="B495" i="6"/>
  <c r="C495" i="6"/>
  <c r="D495" i="6"/>
  <c r="E495" i="6"/>
  <c r="F495" i="6"/>
  <c r="G495" i="6"/>
  <c r="B494" i="6"/>
  <c r="C494" i="6"/>
  <c r="D494" i="6"/>
  <c r="E494" i="6"/>
  <c r="F494" i="6"/>
  <c r="G494" i="6"/>
  <c r="B493" i="6"/>
  <c r="C493" i="6"/>
  <c r="D493" i="6"/>
  <c r="E493" i="6"/>
  <c r="F493" i="6"/>
  <c r="G493" i="6"/>
  <c r="B492" i="6"/>
  <c r="C492" i="6"/>
  <c r="D492" i="6"/>
  <c r="E492" i="6"/>
  <c r="F492" i="6"/>
  <c r="G492" i="6"/>
  <c r="B491" i="6"/>
  <c r="C491" i="6"/>
  <c r="D491" i="6"/>
  <c r="E491" i="6"/>
  <c r="F491" i="6"/>
  <c r="G491" i="6"/>
  <c r="B490" i="6"/>
  <c r="C490" i="6"/>
  <c r="D490" i="6"/>
  <c r="E490" i="6"/>
  <c r="F490" i="6"/>
  <c r="G490" i="6"/>
  <c r="B489" i="6"/>
  <c r="C489" i="6"/>
  <c r="D489" i="6"/>
  <c r="E489" i="6"/>
  <c r="F489" i="6"/>
  <c r="G489" i="6"/>
  <c r="B488" i="6"/>
  <c r="C488" i="6"/>
  <c r="D488" i="6"/>
  <c r="E488" i="6"/>
  <c r="F488" i="6"/>
  <c r="G488" i="6"/>
  <c r="B487" i="6"/>
  <c r="C487" i="6"/>
  <c r="D487" i="6"/>
  <c r="E487" i="6"/>
  <c r="F487" i="6"/>
  <c r="G487" i="6"/>
  <c r="B486" i="6"/>
  <c r="C486" i="6"/>
  <c r="D486" i="6"/>
  <c r="E486" i="6"/>
  <c r="F486" i="6"/>
  <c r="G486" i="6"/>
  <c r="B485" i="6"/>
  <c r="C485" i="6"/>
  <c r="D485" i="6"/>
  <c r="E485" i="6"/>
  <c r="F485" i="6"/>
  <c r="G485" i="6"/>
  <c r="B484" i="6"/>
  <c r="C484" i="6"/>
  <c r="D484" i="6"/>
  <c r="E484" i="6"/>
  <c r="F484" i="6"/>
  <c r="G484" i="6"/>
  <c r="B483" i="6"/>
  <c r="C483" i="6"/>
  <c r="D483" i="6"/>
  <c r="E483" i="6"/>
  <c r="F483" i="6"/>
  <c r="G483" i="6"/>
  <c r="B482" i="6"/>
  <c r="C482" i="6"/>
  <c r="D482" i="6"/>
  <c r="E482" i="6"/>
  <c r="F482" i="6"/>
  <c r="G482" i="6"/>
  <c r="B481" i="6"/>
  <c r="C481" i="6"/>
  <c r="D481" i="6"/>
  <c r="E481" i="6"/>
  <c r="F481" i="6"/>
  <c r="G481" i="6"/>
  <c r="B480" i="6"/>
  <c r="C480" i="6"/>
  <c r="D480" i="6"/>
  <c r="E480" i="6"/>
  <c r="F480" i="6"/>
  <c r="G480" i="6"/>
  <c r="B479" i="6"/>
  <c r="C479" i="6"/>
  <c r="D479" i="6"/>
  <c r="E479" i="6"/>
  <c r="F479" i="6"/>
  <c r="G479" i="6"/>
  <c r="B478" i="6"/>
  <c r="C478" i="6"/>
  <c r="D478" i="6"/>
  <c r="E478" i="6"/>
  <c r="F478" i="6"/>
  <c r="G478" i="6"/>
  <c r="B477" i="6"/>
  <c r="C477" i="6"/>
  <c r="D477" i="6"/>
  <c r="E477" i="6"/>
  <c r="F477" i="6"/>
  <c r="G477" i="6"/>
  <c r="B476" i="6"/>
  <c r="C476" i="6"/>
  <c r="D476" i="6"/>
  <c r="E476" i="6"/>
  <c r="F476" i="6"/>
  <c r="G476" i="6"/>
  <c r="B475" i="6"/>
  <c r="C475" i="6"/>
  <c r="D475" i="6"/>
  <c r="E475" i="6"/>
  <c r="F475" i="6"/>
  <c r="G475" i="6"/>
  <c r="B474" i="6"/>
  <c r="C474" i="6"/>
  <c r="D474" i="6"/>
  <c r="E474" i="6"/>
  <c r="F474" i="6"/>
  <c r="G474" i="6"/>
  <c r="B473" i="6"/>
  <c r="C473" i="6"/>
  <c r="D473" i="6"/>
  <c r="E473" i="6"/>
  <c r="F473" i="6"/>
  <c r="G473" i="6"/>
  <c r="B472" i="6"/>
  <c r="C472" i="6"/>
  <c r="D472" i="6"/>
  <c r="E472" i="6"/>
  <c r="F472" i="6"/>
  <c r="G472" i="6"/>
  <c r="B471" i="6"/>
  <c r="C471" i="6"/>
  <c r="D471" i="6"/>
  <c r="E471" i="6"/>
  <c r="F471" i="6"/>
  <c r="G471" i="6"/>
  <c r="B470" i="6"/>
  <c r="C470" i="6"/>
  <c r="D470" i="6"/>
  <c r="E470" i="6"/>
  <c r="F470" i="6"/>
  <c r="G470" i="6"/>
  <c r="B469" i="6"/>
  <c r="C469" i="6"/>
  <c r="D469" i="6"/>
  <c r="E469" i="6"/>
  <c r="F469" i="6"/>
  <c r="G469" i="6"/>
  <c r="B468" i="6"/>
  <c r="C468" i="6"/>
  <c r="D468" i="6"/>
  <c r="E468" i="6"/>
  <c r="F468" i="6"/>
  <c r="G468" i="6"/>
  <c r="B467" i="6"/>
  <c r="C467" i="6"/>
  <c r="D467" i="6"/>
  <c r="E467" i="6"/>
  <c r="F467" i="6"/>
  <c r="G467" i="6"/>
  <c r="B466" i="6"/>
  <c r="C466" i="6"/>
  <c r="D466" i="6"/>
  <c r="E466" i="6"/>
  <c r="F466" i="6"/>
  <c r="G466" i="6"/>
  <c r="B465" i="6"/>
  <c r="C465" i="6"/>
  <c r="D465" i="6"/>
  <c r="E465" i="6"/>
  <c r="F465" i="6"/>
  <c r="G465" i="6"/>
  <c r="B464" i="6"/>
  <c r="C464" i="6"/>
  <c r="D464" i="6"/>
  <c r="E464" i="6"/>
  <c r="F464" i="6"/>
  <c r="G464" i="6"/>
  <c r="B463" i="6"/>
  <c r="C463" i="6"/>
  <c r="D463" i="6"/>
  <c r="E463" i="6"/>
  <c r="F463" i="6"/>
  <c r="G463" i="6"/>
  <c r="B462" i="6"/>
  <c r="C462" i="6"/>
  <c r="D462" i="6"/>
  <c r="E462" i="6"/>
  <c r="F462" i="6"/>
  <c r="G462" i="6"/>
  <c r="B461" i="6"/>
  <c r="C461" i="6"/>
  <c r="D461" i="6"/>
  <c r="E461" i="6"/>
  <c r="F461" i="6"/>
  <c r="G461" i="6"/>
  <c r="B460" i="6"/>
  <c r="C460" i="6"/>
  <c r="D460" i="6"/>
  <c r="E460" i="6"/>
  <c r="F460" i="6"/>
  <c r="G460" i="6"/>
  <c r="B459" i="6"/>
  <c r="C459" i="6"/>
  <c r="D459" i="6"/>
  <c r="E459" i="6"/>
  <c r="F459" i="6"/>
  <c r="G459" i="6"/>
  <c r="B458" i="6"/>
  <c r="C458" i="6"/>
  <c r="D458" i="6"/>
  <c r="E458" i="6"/>
  <c r="F458" i="6"/>
  <c r="G458" i="6"/>
  <c r="B457" i="6"/>
  <c r="C457" i="6"/>
  <c r="D457" i="6"/>
  <c r="E457" i="6"/>
  <c r="F457" i="6"/>
  <c r="G457" i="6"/>
  <c r="B456" i="6"/>
  <c r="C456" i="6"/>
  <c r="D456" i="6"/>
  <c r="E456" i="6"/>
  <c r="F456" i="6"/>
  <c r="G456" i="6"/>
  <c r="B455" i="6"/>
  <c r="C455" i="6"/>
  <c r="D455" i="6"/>
  <c r="E455" i="6"/>
  <c r="F455" i="6"/>
  <c r="G455" i="6"/>
  <c r="B454" i="6"/>
  <c r="C454" i="6"/>
  <c r="D454" i="6"/>
  <c r="E454" i="6"/>
  <c r="F454" i="6"/>
  <c r="G454" i="6"/>
  <c r="B453" i="6"/>
  <c r="C453" i="6"/>
  <c r="D453" i="6"/>
  <c r="E453" i="6"/>
  <c r="F453" i="6"/>
  <c r="G453" i="6"/>
  <c r="B452" i="6"/>
  <c r="C452" i="6"/>
  <c r="D452" i="6"/>
  <c r="E452" i="6"/>
  <c r="F452" i="6"/>
  <c r="G452" i="6"/>
  <c r="B451" i="6"/>
  <c r="C451" i="6"/>
  <c r="D451" i="6"/>
  <c r="E451" i="6"/>
  <c r="F451" i="6"/>
  <c r="G451" i="6"/>
  <c r="B450" i="6"/>
  <c r="C450" i="6"/>
  <c r="D450" i="6"/>
  <c r="E450" i="6"/>
  <c r="F450" i="6"/>
  <c r="G450" i="6"/>
  <c r="B449" i="6"/>
  <c r="C449" i="6"/>
  <c r="D449" i="6"/>
  <c r="E449" i="6"/>
  <c r="F449" i="6"/>
  <c r="G449" i="6"/>
  <c r="B448" i="6"/>
  <c r="C448" i="6"/>
  <c r="D448" i="6"/>
  <c r="E448" i="6"/>
  <c r="F448" i="6"/>
  <c r="G448" i="6"/>
  <c r="B447" i="6"/>
  <c r="C447" i="6"/>
  <c r="D447" i="6"/>
  <c r="E447" i="6"/>
  <c r="F447" i="6"/>
  <c r="G447" i="6"/>
  <c r="B446" i="6"/>
  <c r="C446" i="6"/>
  <c r="D446" i="6"/>
  <c r="E446" i="6"/>
  <c r="F446" i="6"/>
  <c r="G446" i="6"/>
  <c r="B445" i="6"/>
  <c r="C445" i="6"/>
  <c r="D445" i="6"/>
  <c r="E445" i="6"/>
  <c r="F445" i="6"/>
  <c r="G445" i="6"/>
  <c r="B444" i="6"/>
  <c r="C444" i="6"/>
  <c r="D444" i="6"/>
  <c r="E444" i="6"/>
  <c r="F444" i="6"/>
  <c r="G444" i="6"/>
  <c r="B443" i="6"/>
  <c r="C443" i="6"/>
  <c r="D443" i="6"/>
  <c r="E443" i="6"/>
  <c r="F443" i="6"/>
  <c r="G443" i="6"/>
  <c r="B442" i="6"/>
  <c r="C442" i="6"/>
  <c r="D442" i="6"/>
  <c r="E442" i="6"/>
  <c r="F442" i="6"/>
  <c r="G442" i="6"/>
  <c r="B441" i="6"/>
  <c r="C441" i="6"/>
  <c r="D441" i="6"/>
  <c r="E441" i="6"/>
  <c r="F441" i="6"/>
  <c r="G441" i="6"/>
  <c r="B440" i="6"/>
  <c r="C440" i="6"/>
  <c r="D440" i="6"/>
  <c r="E440" i="6"/>
  <c r="F440" i="6"/>
  <c r="G440" i="6"/>
  <c r="B439" i="6"/>
  <c r="C439" i="6"/>
  <c r="D439" i="6"/>
  <c r="E439" i="6"/>
  <c r="F439" i="6"/>
  <c r="G439" i="6"/>
  <c r="B438" i="6"/>
  <c r="C438" i="6"/>
  <c r="D438" i="6"/>
  <c r="E438" i="6"/>
  <c r="F438" i="6"/>
  <c r="G438" i="6"/>
  <c r="B437" i="6"/>
  <c r="C437" i="6"/>
  <c r="D437" i="6"/>
  <c r="E437" i="6"/>
  <c r="F437" i="6"/>
  <c r="G437" i="6"/>
  <c r="B436" i="6"/>
  <c r="C436" i="6"/>
  <c r="D436" i="6"/>
  <c r="E436" i="6"/>
  <c r="F436" i="6"/>
  <c r="G436" i="6"/>
  <c r="B435" i="6"/>
  <c r="C435" i="6"/>
  <c r="D435" i="6"/>
  <c r="E435" i="6"/>
  <c r="F435" i="6"/>
  <c r="G435" i="6"/>
  <c r="B434" i="6"/>
  <c r="C434" i="6"/>
  <c r="D434" i="6"/>
  <c r="E434" i="6"/>
  <c r="F434" i="6"/>
  <c r="G434" i="6"/>
  <c r="B433" i="6"/>
  <c r="C433" i="6"/>
  <c r="D433" i="6"/>
  <c r="E433" i="6"/>
  <c r="F433" i="6"/>
  <c r="G433" i="6"/>
  <c r="B432" i="6"/>
  <c r="C432" i="6"/>
  <c r="D432" i="6"/>
  <c r="E432" i="6"/>
  <c r="F432" i="6"/>
  <c r="G432" i="6"/>
  <c r="B431" i="6"/>
  <c r="C431" i="6"/>
  <c r="D431" i="6"/>
  <c r="E431" i="6"/>
  <c r="F431" i="6"/>
  <c r="G431" i="6"/>
  <c r="B430" i="6"/>
  <c r="C430" i="6"/>
  <c r="D430" i="6"/>
  <c r="E430" i="6"/>
  <c r="F430" i="6"/>
  <c r="G430" i="6"/>
  <c r="B429" i="6"/>
  <c r="C429" i="6"/>
  <c r="D429" i="6"/>
  <c r="E429" i="6"/>
  <c r="F429" i="6"/>
  <c r="G429" i="6"/>
  <c r="B428" i="6"/>
  <c r="C428" i="6"/>
  <c r="D428" i="6"/>
  <c r="E428" i="6"/>
  <c r="F428" i="6"/>
  <c r="G428" i="6"/>
  <c r="B427" i="6"/>
  <c r="C427" i="6"/>
  <c r="D427" i="6"/>
  <c r="E427" i="6"/>
  <c r="F427" i="6"/>
  <c r="G427" i="6"/>
  <c r="B426" i="6"/>
  <c r="C426" i="6"/>
  <c r="D426" i="6"/>
  <c r="E426" i="6"/>
  <c r="F426" i="6"/>
  <c r="G426" i="6"/>
  <c r="B425" i="6"/>
  <c r="C425" i="6"/>
  <c r="D425" i="6"/>
  <c r="E425" i="6"/>
  <c r="F425" i="6"/>
  <c r="G425" i="6"/>
  <c r="B424" i="6"/>
  <c r="C424" i="6"/>
  <c r="D424" i="6"/>
  <c r="E424" i="6"/>
  <c r="F424" i="6"/>
  <c r="G424" i="6"/>
  <c r="B423" i="6"/>
  <c r="C423" i="6"/>
  <c r="D423" i="6"/>
  <c r="E423" i="6"/>
  <c r="F423" i="6"/>
  <c r="G423" i="6"/>
  <c r="B422" i="6"/>
  <c r="C422" i="6"/>
  <c r="D422" i="6"/>
  <c r="E422" i="6"/>
  <c r="F422" i="6"/>
  <c r="G422" i="6"/>
  <c r="B421" i="6"/>
  <c r="C421" i="6"/>
  <c r="D421" i="6"/>
  <c r="E421" i="6"/>
  <c r="F421" i="6"/>
  <c r="G421" i="6"/>
  <c r="B420" i="6"/>
  <c r="C420" i="6"/>
  <c r="D420" i="6"/>
  <c r="E420" i="6"/>
  <c r="F420" i="6"/>
  <c r="G420" i="6"/>
  <c r="B419" i="6"/>
  <c r="C419" i="6"/>
  <c r="D419" i="6"/>
  <c r="E419" i="6"/>
  <c r="F419" i="6"/>
  <c r="G419" i="6"/>
  <c r="B418" i="6"/>
  <c r="C418" i="6"/>
  <c r="D418" i="6"/>
  <c r="E418" i="6"/>
  <c r="F418" i="6"/>
  <c r="G418" i="6"/>
  <c r="B417" i="6"/>
  <c r="C417" i="6"/>
  <c r="D417" i="6"/>
  <c r="E417" i="6"/>
  <c r="F417" i="6"/>
  <c r="G417" i="6"/>
  <c r="B416" i="6"/>
  <c r="C416" i="6"/>
  <c r="D416" i="6"/>
  <c r="E416" i="6"/>
  <c r="F416" i="6"/>
  <c r="G416" i="6"/>
  <c r="B415" i="6"/>
  <c r="C415" i="6"/>
  <c r="D415" i="6"/>
  <c r="E415" i="6"/>
  <c r="F415" i="6"/>
  <c r="G415" i="6"/>
  <c r="B414" i="6"/>
  <c r="C414" i="6"/>
  <c r="D414" i="6"/>
  <c r="E414" i="6"/>
  <c r="F414" i="6"/>
  <c r="G414" i="6"/>
  <c r="B413" i="6"/>
  <c r="C413" i="6"/>
  <c r="D413" i="6"/>
  <c r="E413" i="6"/>
  <c r="F413" i="6"/>
  <c r="G413" i="6"/>
  <c r="B412" i="6"/>
  <c r="C412" i="6"/>
  <c r="D412" i="6"/>
  <c r="E412" i="6"/>
  <c r="F412" i="6"/>
  <c r="G412" i="6"/>
  <c r="B411" i="6"/>
  <c r="C411" i="6"/>
  <c r="D411" i="6"/>
  <c r="E411" i="6"/>
  <c r="F411" i="6"/>
  <c r="G411" i="6"/>
  <c r="B410" i="6"/>
  <c r="C410" i="6"/>
  <c r="D410" i="6"/>
  <c r="E410" i="6"/>
  <c r="F410" i="6"/>
  <c r="G410" i="6"/>
  <c r="B409" i="6"/>
  <c r="C409" i="6"/>
  <c r="D409" i="6"/>
  <c r="E409" i="6"/>
  <c r="F409" i="6"/>
  <c r="G409" i="6"/>
  <c r="B408" i="6"/>
  <c r="C408" i="6"/>
  <c r="D408" i="6"/>
  <c r="E408" i="6"/>
  <c r="F408" i="6"/>
  <c r="G408" i="6"/>
  <c r="B407" i="6"/>
  <c r="C407" i="6"/>
  <c r="D407" i="6"/>
  <c r="E407" i="6"/>
  <c r="F407" i="6"/>
  <c r="G407" i="6"/>
  <c r="B406" i="6"/>
  <c r="C406" i="6"/>
  <c r="D406" i="6"/>
  <c r="E406" i="6"/>
  <c r="F406" i="6"/>
  <c r="G406" i="6"/>
  <c r="B405" i="6"/>
  <c r="C405" i="6"/>
  <c r="D405" i="6"/>
  <c r="E405" i="6"/>
  <c r="F405" i="6"/>
  <c r="G405" i="6"/>
  <c r="B404" i="6"/>
  <c r="C404" i="6"/>
  <c r="D404" i="6"/>
  <c r="E404" i="6"/>
  <c r="F404" i="6"/>
  <c r="G404" i="6"/>
  <c r="B403" i="6"/>
  <c r="C403" i="6"/>
  <c r="D403" i="6"/>
  <c r="E403" i="6"/>
  <c r="F403" i="6"/>
  <c r="G403" i="6"/>
  <c r="B402" i="6"/>
  <c r="C402" i="6"/>
  <c r="D402" i="6"/>
  <c r="E402" i="6"/>
  <c r="F402" i="6"/>
  <c r="G402" i="6"/>
  <c r="B401" i="6"/>
  <c r="C401" i="6"/>
  <c r="D401" i="6"/>
  <c r="E401" i="6"/>
  <c r="F401" i="6"/>
  <c r="G401" i="6"/>
  <c r="B400" i="6"/>
  <c r="C400" i="6"/>
  <c r="D400" i="6"/>
  <c r="E400" i="6"/>
  <c r="F400" i="6"/>
  <c r="G400" i="6"/>
  <c r="B399" i="6"/>
  <c r="C399" i="6"/>
  <c r="D399" i="6"/>
  <c r="E399" i="6"/>
  <c r="F399" i="6"/>
  <c r="G399" i="6"/>
  <c r="B398" i="6"/>
  <c r="C398" i="6"/>
  <c r="D398" i="6"/>
  <c r="E398" i="6"/>
  <c r="F398" i="6"/>
  <c r="G398" i="6"/>
  <c r="B397" i="6"/>
  <c r="C397" i="6"/>
  <c r="D397" i="6"/>
  <c r="E397" i="6"/>
  <c r="F397" i="6"/>
  <c r="G397" i="6"/>
  <c r="B396" i="6"/>
  <c r="C396" i="6"/>
  <c r="D396" i="6"/>
  <c r="E396" i="6"/>
  <c r="F396" i="6"/>
  <c r="G396" i="6"/>
  <c r="B395" i="6"/>
  <c r="C395" i="6"/>
  <c r="D395" i="6"/>
  <c r="E395" i="6"/>
  <c r="F395" i="6"/>
  <c r="G395" i="6"/>
  <c r="B394" i="6"/>
  <c r="C394" i="6"/>
  <c r="D394" i="6"/>
  <c r="E394" i="6"/>
  <c r="F394" i="6"/>
  <c r="G394" i="6"/>
  <c r="B393" i="6"/>
  <c r="C393" i="6"/>
  <c r="D393" i="6"/>
  <c r="E393" i="6"/>
  <c r="F393" i="6"/>
  <c r="G393" i="6"/>
  <c r="B392" i="6"/>
  <c r="C392" i="6"/>
  <c r="D392" i="6"/>
  <c r="E392" i="6"/>
  <c r="F392" i="6"/>
  <c r="G392" i="6"/>
  <c r="B391" i="6"/>
  <c r="C391" i="6"/>
  <c r="D391" i="6"/>
  <c r="E391" i="6"/>
  <c r="F391" i="6"/>
  <c r="G391" i="6"/>
  <c r="B390" i="6"/>
  <c r="C390" i="6"/>
  <c r="D390" i="6"/>
  <c r="E390" i="6"/>
  <c r="F390" i="6"/>
  <c r="G390" i="6"/>
  <c r="B389" i="6"/>
  <c r="C389" i="6"/>
  <c r="D389" i="6"/>
  <c r="E389" i="6"/>
  <c r="F389" i="6"/>
  <c r="G389" i="6"/>
  <c r="B388" i="6"/>
  <c r="C388" i="6"/>
  <c r="D388" i="6"/>
  <c r="E388" i="6"/>
  <c r="F388" i="6"/>
  <c r="G388" i="6"/>
  <c r="B387" i="6"/>
  <c r="C387" i="6"/>
  <c r="D387" i="6"/>
  <c r="E387" i="6"/>
  <c r="F387" i="6"/>
  <c r="G387" i="6"/>
  <c r="B386" i="6"/>
  <c r="C386" i="6"/>
  <c r="D386" i="6"/>
  <c r="E386" i="6"/>
  <c r="F386" i="6"/>
  <c r="G386" i="6"/>
  <c r="B385" i="6"/>
  <c r="C385" i="6"/>
  <c r="D385" i="6"/>
  <c r="E385" i="6"/>
  <c r="F385" i="6"/>
  <c r="G385" i="6"/>
  <c r="B384" i="6"/>
  <c r="C384" i="6"/>
  <c r="D384" i="6"/>
  <c r="E384" i="6"/>
  <c r="F384" i="6"/>
  <c r="G384" i="6"/>
  <c r="B383" i="6"/>
  <c r="C383" i="6"/>
  <c r="D383" i="6"/>
  <c r="E383" i="6"/>
  <c r="F383" i="6"/>
  <c r="G383" i="6"/>
  <c r="B382" i="6"/>
  <c r="C382" i="6"/>
  <c r="D382" i="6"/>
  <c r="E382" i="6"/>
  <c r="F382" i="6"/>
  <c r="G382" i="6"/>
  <c r="B381" i="6"/>
  <c r="C381" i="6"/>
  <c r="D381" i="6"/>
  <c r="E381" i="6"/>
  <c r="F381" i="6"/>
  <c r="G381" i="6"/>
  <c r="B380" i="6"/>
  <c r="C380" i="6"/>
  <c r="D380" i="6"/>
  <c r="E380" i="6"/>
  <c r="F380" i="6"/>
  <c r="G380" i="6"/>
  <c r="B379" i="6"/>
  <c r="C379" i="6"/>
  <c r="D379" i="6"/>
  <c r="E379" i="6"/>
  <c r="F379" i="6"/>
  <c r="G379" i="6"/>
  <c r="B378" i="6"/>
  <c r="C378" i="6"/>
  <c r="D378" i="6"/>
  <c r="E378" i="6"/>
  <c r="F378" i="6"/>
  <c r="G378" i="6"/>
  <c r="B377" i="6"/>
  <c r="C377" i="6"/>
  <c r="D377" i="6"/>
  <c r="E377" i="6"/>
  <c r="F377" i="6"/>
  <c r="G377" i="6"/>
  <c r="B376" i="6"/>
  <c r="C376" i="6"/>
  <c r="D376" i="6"/>
  <c r="E376" i="6"/>
  <c r="F376" i="6"/>
  <c r="G376" i="6"/>
  <c r="B375" i="6"/>
  <c r="C375" i="6"/>
  <c r="D375" i="6"/>
  <c r="E375" i="6"/>
  <c r="F375" i="6"/>
  <c r="G375" i="6"/>
  <c r="B374" i="6"/>
  <c r="C374" i="6"/>
  <c r="D374" i="6"/>
  <c r="E374" i="6"/>
  <c r="F374" i="6"/>
  <c r="G374" i="6"/>
  <c r="B373" i="6"/>
  <c r="C373" i="6"/>
  <c r="D373" i="6"/>
  <c r="E373" i="6"/>
  <c r="F373" i="6"/>
  <c r="G373" i="6"/>
  <c r="B372" i="6"/>
  <c r="C372" i="6"/>
  <c r="D372" i="6"/>
  <c r="E372" i="6"/>
  <c r="F372" i="6"/>
  <c r="G372" i="6"/>
  <c r="B371" i="6"/>
  <c r="C371" i="6"/>
  <c r="D371" i="6"/>
  <c r="E371" i="6"/>
  <c r="F371" i="6"/>
  <c r="G371" i="6"/>
  <c r="B370" i="6"/>
  <c r="C370" i="6"/>
  <c r="D370" i="6"/>
  <c r="E370" i="6"/>
  <c r="F370" i="6"/>
  <c r="G370" i="6"/>
  <c r="B369" i="6"/>
  <c r="C369" i="6"/>
  <c r="D369" i="6"/>
  <c r="E369" i="6"/>
  <c r="F369" i="6"/>
  <c r="G369" i="6"/>
  <c r="B368" i="6"/>
  <c r="C368" i="6"/>
  <c r="D368" i="6"/>
  <c r="E368" i="6"/>
  <c r="F368" i="6"/>
  <c r="G368" i="6"/>
  <c r="B367" i="6"/>
  <c r="C367" i="6"/>
  <c r="D367" i="6"/>
  <c r="E367" i="6"/>
  <c r="F367" i="6"/>
  <c r="G367" i="6"/>
  <c r="B366" i="6"/>
  <c r="C366" i="6"/>
  <c r="D366" i="6"/>
  <c r="E366" i="6"/>
  <c r="F366" i="6"/>
  <c r="G366" i="6"/>
  <c r="B365" i="6"/>
  <c r="C365" i="6"/>
  <c r="D365" i="6"/>
  <c r="E365" i="6"/>
  <c r="F365" i="6"/>
  <c r="G365" i="6"/>
  <c r="B364" i="6"/>
  <c r="C364" i="6"/>
  <c r="D364" i="6"/>
  <c r="E364" i="6"/>
  <c r="F364" i="6"/>
  <c r="G364" i="6"/>
  <c r="B363" i="6"/>
  <c r="C363" i="6"/>
  <c r="D363" i="6"/>
  <c r="E363" i="6"/>
  <c r="F363" i="6"/>
  <c r="G363" i="6"/>
  <c r="B362" i="6"/>
  <c r="C362" i="6"/>
  <c r="D362" i="6"/>
  <c r="E362" i="6"/>
  <c r="F362" i="6"/>
  <c r="G362" i="6"/>
  <c r="B361" i="6"/>
  <c r="C361" i="6"/>
  <c r="D361" i="6"/>
  <c r="E361" i="6"/>
  <c r="F361" i="6"/>
  <c r="G361" i="6"/>
  <c r="B360" i="6"/>
  <c r="C360" i="6"/>
  <c r="D360" i="6"/>
  <c r="E360" i="6"/>
  <c r="F360" i="6"/>
  <c r="G360" i="6"/>
  <c r="B359" i="6"/>
  <c r="C359" i="6"/>
  <c r="D359" i="6"/>
  <c r="E359" i="6"/>
  <c r="F359" i="6"/>
  <c r="G359" i="6"/>
  <c r="B358" i="6"/>
  <c r="C358" i="6"/>
  <c r="D358" i="6"/>
  <c r="E358" i="6"/>
  <c r="F358" i="6"/>
  <c r="G358" i="6"/>
  <c r="B357" i="6"/>
  <c r="C357" i="6"/>
  <c r="D357" i="6"/>
  <c r="E357" i="6"/>
  <c r="F357" i="6"/>
  <c r="G357" i="6"/>
  <c r="B356" i="6"/>
  <c r="C356" i="6"/>
  <c r="D356" i="6"/>
  <c r="E356" i="6"/>
  <c r="F356" i="6"/>
  <c r="G356" i="6"/>
  <c r="B355" i="6"/>
  <c r="C355" i="6"/>
  <c r="D355" i="6"/>
  <c r="E355" i="6"/>
  <c r="F355" i="6"/>
  <c r="G355" i="6"/>
  <c r="B354" i="6"/>
  <c r="C354" i="6"/>
  <c r="D354" i="6"/>
  <c r="E354" i="6"/>
  <c r="F354" i="6"/>
  <c r="G354" i="6"/>
  <c r="B353" i="6"/>
  <c r="C353" i="6"/>
  <c r="D353" i="6"/>
  <c r="E353" i="6"/>
  <c r="F353" i="6"/>
  <c r="G353" i="6"/>
  <c r="B352" i="6"/>
  <c r="C352" i="6"/>
  <c r="D352" i="6"/>
  <c r="E352" i="6"/>
  <c r="F352" i="6"/>
  <c r="G352" i="6"/>
  <c r="B351" i="6"/>
  <c r="C351" i="6"/>
  <c r="D351" i="6"/>
  <c r="E351" i="6"/>
  <c r="F351" i="6"/>
  <c r="G351" i="6"/>
  <c r="B350" i="6"/>
  <c r="C350" i="6"/>
  <c r="D350" i="6"/>
  <c r="E350" i="6"/>
  <c r="F350" i="6"/>
  <c r="G350" i="6"/>
  <c r="B349" i="6"/>
  <c r="C349" i="6"/>
  <c r="D349" i="6"/>
  <c r="E349" i="6"/>
  <c r="F349" i="6"/>
  <c r="G349" i="6"/>
  <c r="B348" i="6"/>
  <c r="C348" i="6"/>
  <c r="D348" i="6"/>
  <c r="E348" i="6"/>
  <c r="F348" i="6"/>
  <c r="G348" i="6"/>
  <c r="B347" i="6"/>
  <c r="C347" i="6"/>
  <c r="D347" i="6"/>
  <c r="E347" i="6"/>
  <c r="F347" i="6"/>
  <c r="G347" i="6"/>
  <c r="B346" i="6"/>
  <c r="C346" i="6"/>
  <c r="D346" i="6"/>
  <c r="E346" i="6"/>
  <c r="F346" i="6"/>
  <c r="G346" i="6"/>
  <c r="B345" i="6"/>
  <c r="C345" i="6"/>
  <c r="D345" i="6"/>
  <c r="E345" i="6"/>
  <c r="F345" i="6"/>
  <c r="G345" i="6"/>
  <c r="B344" i="6"/>
  <c r="C344" i="6"/>
  <c r="D344" i="6"/>
  <c r="E344" i="6"/>
  <c r="F344" i="6"/>
  <c r="G344" i="6"/>
  <c r="B343" i="6"/>
  <c r="C343" i="6"/>
  <c r="D343" i="6"/>
  <c r="E343" i="6"/>
  <c r="F343" i="6"/>
  <c r="G343" i="6"/>
  <c r="B342" i="6"/>
  <c r="C342" i="6"/>
  <c r="D342" i="6"/>
  <c r="E342" i="6"/>
  <c r="F342" i="6"/>
  <c r="G342" i="6"/>
  <c r="B341" i="6"/>
  <c r="C341" i="6"/>
  <c r="D341" i="6"/>
  <c r="E341" i="6"/>
  <c r="F341" i="6"/>
  <c r="G341" i="6"/>
  <c r="B340" i="6"/>
  <c r="C340" i="6"/>
  <c r="D340" i="6"/>
  <c r="E340" i="6"/>
  <c r="F340" i="6"/>
  <c r="G340" i="6"/>
  <c r="B339" i="6"/>
  <c r="C339" i="6"/>
  <c r="D339" i="6"/>
  <c r="E339" i="6"/>
  <c r="F339" i="6"/>
  <c r="G339" i="6"/>
  <c r="B338" i="6"/>
  <c r="C338" i="6"/>
  <c r="D338" i="6"/>
  <c r="E338" i="6"/>
  <c r="F338" i="6"/>
  <c r="G338" i="6"/>
  <c r="B337" i="6"/>
  <c r="C337" i="6"/>
  <c r="D337" i="6"/>
  <c r="E337" i="6"/>
  <c r="F337" i="6"/>
  <c r="G337" i="6"/>
  <c r="B336" i="6"/>
  <c r="C336" i="6"/>
  <c r="D336" i="6"/>
  <c r="E336" i="6"/>
  <c r="F336" i="6"/>
  <c r="G336" i="6"/>
  <c r="B335" i="6"/>
  <c r="C335" i="6"/>
  <c r="D335" i="6"/>
  <c r="E335" i="6"/>
  <c r="F335" i="6"/>
  <c r="G335" i="6"/>
  <c r="B334" i="6"/>
  <c r="C334" i="6"/>
  <c r="D334" i="6"/>
  <c r="E334" i="6"/>
  <c r="F334" i="6"/>
  <c r="G334" i="6"/>
  <c r="B333" i="6"/>
  <c r="C333" i="6"/>
  <c r="D333" i="6"/>
  <c r="E333" i="6"/>
  <c r="F333" i="6"/>
  <c r="G333" i="6"/>
  <c r="B332" i="6"/>
  <c r="C332" i="6"/>
  <c r="D332" i="6"/>
  <c r="E332" i="6"/>
  <c r="F332" i="6"/>
  <c r="G332" i="6"/>
  <c r="B331" i="6"/>
  <c r="C331" i="6"/>
  <c r="D331" i="6"/>
  <c r="E331" i="6"/>
  <c r="F331" i="6"/>
  <c r="G331" i="6"/>
  <c r="B330" i="6"/>
  <c r="C330" i="6"/>
  <c r="D330" i="6"/>
  <c r="E330" i="6"/>
  <c r="F330" i="6"/>
  <c r="G330" i="6"/>
  <c r="B329" i="6"/>
  <c r="C329" i="6"/>
  <c r="D329" i="6"/>
  <c r="E329" i="6"/>
  <c r="F329" i="6"/>
  <c r="G329" i="6"/>
  <c r="B328" i="6"/>
  <c r="C328" i="6"/>
  <c r="D328" i="6"/>
  <c r="E328" i="6"/>
  <c r="F328" i="6"/>
  <c r="G328" i="6"/>
  <c r="B327" i="6"/>
  <c r="C327" i="6"/>
  <c r="D327" i="6"/>
  <c r="E327" i="6"/>
  <c r="F327" i="6"/>
  <c r="G327" i="6"/>
  <c r="B326" i="6"/>
  <c r="C326" i="6"/>
  <c r="D326" i="6"/>
  <c r="E326" i="6"/>
  <c r="F326" i="6"/>
  <c r="G326" i="6"/>
  <c r="B325" i="6"/>
  <c r="C325" i="6"/>
  <c r="D325" i="6"/>
  <c r="E325" i="6"/>
  <c r="F325" i="6"/>
  <c r="G325" i="6"/>
  <c r="B324" i="6"/>
  <c r="C324" i="6"/>
  <c r="D324" i="6"/>
  <c r="E324" i="6"/>
  <c r="F324" i="6"/>
  <c r="G324" i="6"/>
  <c r="B323" i="6"/>
  <c r="C323" i="6"/>
  <c r="D323" i="6"/>
  <c r="E323" i="6"/>
  <c r="F323" i="6"/>
  <c r="G323" i="6"/>
  <c r="B322" i="6"/>
  <c r="C322" i="6"/>
  <c r="D322" i="6"/>
  <c r="E322" i="6"/>
  <c r="F322" i="6"/>
  <c r="G322" i="6"/>
  <c r="B321" i="6"/>
  <c r="C321" i="6"/>
  <c r="D321" i="6"/>
  <c r="E321" i="6"/>
  <c r="F321" i="6"/>
  <c r="G321" i="6"/>
  <c r="B320" i="6"/>
  <c r="C320" i="6"/>
  <c r="D320" i="6"/>
  <c r="E320" i="6"/>
  <c r="F320" i="6"/>
  <c r="G320" i="6"/>
  <c r="B319" i="6"/>
  <c r="C319" i="6"/>
  <c r="D319" i="6"/>
  <c r="E319" i="6"/>
  <c r="F319" i="6"/>
  <c r="G319" i="6"/>
  <c r="B318" i="6"/>
  <c r="C318" i="6"/>
  <c r="D318" i="6"/>
  <c r="E318" i="6"/>
  <c r="F318" i="6"/>
  <c r="G318" i="6"/>
  <c r="B317" i="6"/>
  <c r="C317" i="6"/>
  <c r="D317" i="6"/>
  <c r="E317" i="6"/>
  <c r="F317" i="6"/>
  <c r="G317" i="6"/>
  <c r="B316" i="6"/>
  <c r="C316" i="6"/>
  <c r="D316" i="6"/>
  <c r="E316" i="6"/>
  <c r="F316" i="6"/>
  <c r="G316" i="6"/>
  <c r="B315" i="6"/>
  <c r="C315" i="6"/>
  <c r="D315" i="6"/>
  <c r="E315" i="6"/>
  <c r="F315" i="6"/>
  <c r="G315" i="6"/>
  <c r="B314" i="6"/>
  <c r="C314" i="6"/>
  <c r="D314" i="6"/>
  <c r="E314" i="6"/>
  <c r="F314" i="6"/>
  <c r="G314" i="6"/>
  <c r="B313" i="6"/>
  <c r="C313" i="6"/>
  <c r="D313" i="6"/>
  <c r="E313" i="6"/>
  <c r="F313" i="6"/>
  <c r="G313" i="6"/>
  <c r="B312" i="6"/>
  <c r="C312" i="6"/>
  <c r="D312" i="6"/>
  <c r="E312" i="6"/>
  <c r="F312" i="6"/>
  <c r="G312" i="6"/>
  <c r="B311" i="6"/>
  <c r="C311" i="6"/>
  <c r="D311" i="6"/>
  <c r="E311" i="6"/>
  <c r="F311" i="6"/>
  <c r="G311" i="6"/>
  <c r="B310" i="6"/>
  <c r="C310" i="6"/>
  <c r="D310" i="6"/>
  <c r="E310" i="6"/>
  <c r="F310" i="6"/>
  <c r="G310" i="6"/>
  <c r="B309" i="6"/>
  <c r="C309" i="6"/>
  <c r="D309" i="6"/>
  <c r="E309" i="6"/>
  <c r="F309" i="6"/>
  <c r="G309" i="6"/>
  <c r="B308" i="6"/>
  <c r="C308" i="6"/>
  <c r="D308" i="6"/>
  <c r="E308" i="6"/>
  <c r="F308" i="6"/>
  <c r="G308" i="6"/>
  <c r="B307" i="6"/>
  <c r="C307" i="6"/>
  <c r="D307" i="6"/>
  <c r="E307" i="6"/>
  <c r="F307" i="6"/>
  <c r="G307" i="6"/>
  <c r="B306" i="6"/>
  <c r="C306" i="6"/>
  <c r="D306" i="6"/>
  <c r="E306" i="6"/>
  <c r="F306" i="6"/>
  <c r="G306" i="6"/>
  <c r="B305" i="6"/>
  <c r="C305" i="6"/>
  <c r="D305" i="6"/>
  <c r="E305" i="6"/>
  <c r="F305" i="6"/>
  <c r="G305" i="6"/>
  <c r="B304" i="6"/>
  <c r="C304" i="6"/>
  <c r="D304" i="6"/>
  <c r="E304" i="6"/>
  <c r="F304" i="6"/>
  <c r="G304" i="6"/>
  <c r="B303" i="6"/>
  <c r="C303" i="6"/>
  <c r="D303" i="6"/>
  <c r="E303" i="6"/>
  <c r="F303" i="6"/>
  <c r="G303" i="6"/>
  <c r="B302" i="6"/>
  <c r="C302" i="6"/>
  <c r="D302" i="6"/>
  <c r="E302" i="6"/>
  <c r="F302" i="6"/>
  <c r="G302" i="6"/>
  <c r="B301" i="6"/>
  <c r="C301" i="6"/>
  <c r="D301" i="6"/>
  <c r="E301" i="6"/>
  <c r="F301" i="6"/>
  <c r="G301" i="6"/>
  <c r="B300" i="6"/>
  <c r="C300" i="6"/>
  <c r="D300" i="6"/>
  <c r="E300" i="6"/>
  <c r="F300" i="6"/>
  <c r="G300" i="6"/>
  <c r="B299" i="6"/>
  <c r="C299" i="6"/>
  <c r="D299" i="6"/>
  <c r="E299" i="6"/>
  <c r="F299" i="6"/>
  <c r="G299" i="6"/>
  <c r="B298" i="6"/>
  <c r="C298" i="6"/>
  <c r="D298" i="6"/>
  <c r="E298" i="6"/>
  <c r="F298" i="6"/>
  <c r="G298" i="6"/>
  <c r="B297" i="6"/>
  <c r="C297" i="6"/>
  <c r="D297" i="6"/>
  <c r="E297" i="6"/>
  <c r="F297" i="6"/>
  <c r="G297" i="6"/>
  <c r="B296" i="6"/>
  <c r="C296" i="6"/>
  <c r="D296" i="6"/>
  <c r="E296" i="6"/>
  <c r="F296" i="6"/>
  <c r="G296" i="6"/>
  <c r="B295" i="6"/>
  <c r="C295" i="6"/>
  <c r="D295" i="6"/>
  <c r="E295" i="6"/>
  <c r="F295" i="6"/>
  <c r="G295" i="6"/>
  <c r="B294" i="6"/>
  <c r="C294" i="6"/>
  <c r="D294" i="6"/>
  <c r="E294" i="6"/>
  <c r="F294" i="6"/>
  <c r="G294" i="6"/>
  <c r="B293" i="6"/>
  <c r="C293" i="6"/>
  <c r="D293" i="6"/>
  <c r="E293" i="6"/>
  <c r="F293" i="6"/>
  <c r="G293" i="6"/>
  <c r="B292" i="6"/>
  <c r="C292" i="6"/>
  <c r="D292" i="6"/>
  <c r="E292" i="6"/>
  <c r="F292" i="6"/>
  <c r="G292" i="6"/>
  <c r="B291" i="6"/>
  <c r="C291" i="6"/>
  <c r="D291" i="6"/>
  <c r="E291" i="6"/>
  <c r="F291" i="6"/>
  <c r="G291" i="6"/>
  <c r="B290" i="6"/>
  <c r="C290" i="6"/>
  <c r="D290" i="6"/>
  <c r="E290" i="6"/>
  <c r="F290" i="6"/>
  <c r="G290" i="6"/>
  <c r="B289" i="6"/>
  <c r="C289" i="6"/>
  <c r="D289" i="6"/>
  <c r="E289" i="6"/>
  <c r="F289" i="6"/>
  <c r="G289" i="6"/>
  <c r="B288" i="6"/>
  <c r="C288" i="6"/>
  <c r="D288" i="6"/>
  <c r="E288" i="6"/>
  <c r="F288" i="6"/>
  <c r="G288" i="6"/>
  <c r="B287" i="6"/>
  <c r="C287" i="6"/>
  <c r="D287" i="6"/>
  <c r="E287" i="6"/>
  <c r="F287" i="6"/>
  <c r="G287" i="6"/>
  <c r="B286" i="6"/>
  <c r="C286" i="6"/>
  <c r="D286" i="6"/>
  <c r="E286" i="6"/>
  <c r="F286" i="6"/>
  <c r="G286" i="6"/>
  <c r="B285" i="6"/>
  <c r="C285" i="6"/>
  <c r="D285" i="6"/>
  <c r="E285" i="6"/>
  <c r="F285" i="6"/>
  <c r="G285" i="6"/>
  <c r="B284" i="6"/>
  <c r="C284" i="6"/>
  <c r="D284" i="6"/>
  <c r="E284" i="6"/>
  <c r="F284" i="6"/>
  <c r="G284" i="6"/>
  <c r="B283" i="6"/>
  <c r="C283" i="6"/>
  <c r="D283" i="6"/>
  <c r="E283" i="6"/>
  <c r="F283" i="6"/>
  <c r="G283" i="6"/>
  <c r="B282" i="6"/>
  <c r="C282" i="6"/>
  <c r="D282" i="6"/>
  <c r="E282" i="6"/>
  <c r="F282" i="6"/>
  <c r="G282" i="6"/>
  <c r="B281" i="6"/>
  <c r="C281" i="6"/>
  <c r="D281" i="6"/>
  <c r="E281" i="6"/>
  <c r="F281" i="6"/>
  <c r="G281" i="6"/>
  <c r="B280" i="6"/>
  <c r="C280" i="6"/>
  <c r="D280" i="6"/>
  <c r="E280" i="6"/>
  <c r="F280" i="6"/>
  <c r="G280" i="6"/>
  <c r="B279" i="6"/>
  <c r="C279" i="6"/>
  <c r="D279" i="6"/>
  <c r="E279" i="6"/>
  <c r="F279" i="6"/>
  <c r="G279" i="6"/>
  <c r="B278" i="6"/>
  <c r="C278" i="6"/>
  <c r="D278" i="6"/>
  <c r="E278" i="6"/>
  <c r="F278" i="6"/>
  <c r="G278" i="6"/>
  <c r="B277" i="6"/>
  <c r="C277" i="6"/>
  <c r="D277" i="6"/>
  <c r="E277" i="6"/>
  <c r="F277" i="6"/>
  <c r="G277" i="6"/>
  <c r="B276" i="6"/>
  <c r="C276" i="6"/>
  <c r="D276" i="6"/>
  <c r="E276" i="6"/>
  <c r="F276" i="6"/>
  <c r="G276" i="6"/>
  <c r="B275" i="6"/>
  <c r="C275" i="6"/>
  <c r="D275" i="6"/>
  <c r="E275" i="6"/>
  <c r="F275" i="6"/>
  <c r="G275" i="6"/>
  <c r="B274" i="6"/>
  <c r="C274" i="6"/>
  <c r="D274" i="6"/>
  <c r="E274" i="6"/>
  <c r="F274" i="6"/>
  <c r="G274" i="6"/>
  <c r="B273" i="6"/>
  <c r="C273" i="6"/>
  <c r="D273" i="6"/>
  <c r="E273" i="6"/>
  <c r="F273" i="6"/>
  <c r="G273" i="6"/>
  <c r="B272" i="6"/>
  <c r="C272" i="6"/>
  <c r="D272" i="6"/>
  <c r="E272" i="6"/>
  <c r="F272" i="6"/>
  <c r="G272" i="6"/>
  <c r="B271" i="6"/>
  <c r="C271" i="6"/>
  <c r="D271" i="6"/>
  <c r="E271" i="6"/>
  <c r="F271" i="6"/>
  <c r="G271" i="6"/>
  <c r="B270" i="6"/>
  <c r="C270" i="6"/>
  <c r="D270" i="6"/>
  <c r="E270" i="6"/>
  <c r="F270" i="6"/>
  <c r="G270" i="6"/>
  <c r="B269" i="6"/>
  <c r="C269" i="6"/>
  <c r="D269" i="6"/>
  <c r="E269" i="6"/>
  <c r="F269" i="6"/>
  <c r="G269" i="6"/>
  <c r="B268" i="6"/>
  <c r="C268" i="6"/>
  <c r="D268" i="6"/>
  <c r="E268" i="6"/>
  <c r="F268" i="6"/>
  <c r="G268" i="6"/>
  <c r="B267" i="6"/>
  <c r="C267" i="6"/>
  <c r="D267" i="6"/>
  <c r="E267" i="6"/>
  <c r="F267" i="6"/>
  <c r="G267" i="6"/>
  <c r="B266" i="6"/>
  <c r="C266" i="6"/>
  <c r="D266" i="6"/>
  <c r="E266" i="6"/>
  <c r="F266" i="6"/>
  <c r="G266" i="6"/>
  <c r="B265" i="6"/>
  <c r="C265" i="6"/>
  <c r="D265" i="6"/>
  <c r="E265" i="6"/>
  <c r="F265" i="6"/>
  <c r="G265" i="6"/>
  <c r="B264" i="6"/>
  <c r="C264" i="6"/>
  <c r="D264" i="6"/>
  <c r="E264" i="6"/>
  <c r="F264" i="6"/>
  <c r="G264" i="6"/>
  <c r="B263" i="6"/>
  <c r="C263" i="6"/>
  <c r="D263" i="6"/>
  <c r="E263" i="6"/>
  <c r="F263" i="6"/>
  <c r="G263" i="6"/>
  <c r="B262" i="6"/>
  <c r="C262" i="6"/>
  <c r="D262" i="6"/>
  <c r="E262" i="6"/>
  <c r="F262" i="6"/>
  <c r="G262" i="6"/>
  <c r="B261" i="6"/>
  <c r="C261" i="6"/>
  <c r="D261" i="6"/>
  <c r="E261" i="6"/>
  <c r="F261" i="6"/>
  <c r="G261" i="6"/>
  <c r="B260" i="6"/>
  <c r="C260" i="6"/>
  <c r="D260" i="6"/>
  <c r="E260" i="6"/>
  <c r="F260" i="6"/>
  <c r="G260" i="6"/>
  <c r="B259" i="6"/>
  <c r="C259" i="6"/>
  <c r="D259" i="6"/>
  <c r="E259" i="6"/>
  <c r="F259" i="6"/>
  <c r="G259" i="6"/>
  <c r="B258" i="6"/>
  <c r="C258" i="6"/>
  <c r="D258" i="6"/>
  <c r="E258" i="6"/>
  <c r="F258" i="6"/>
  <c r="G258" i="6"/>
  <c r="B257" i="6"/>
  <c r="C257" i="6"/>
  <c r="D257" i="6"/>
  <c r="E257" i="6"/>
  <c r="F257" i="6"/>
  <c r="G257" i="6"/>
  <c r="B256" i="6"/>
  <c r="C256" i="6"/>
  <c r="D256" i="6"/>
  <c r="E256" i="6"/>
  <c r="F256" i="6"/>
  <c r="G256" i="6"/>
  <c r="B255" i="6"/>
  <c r="C255" i="6"/>
  <c r="D255" i="6"/>
  <c r="E255" i="6"/>
  <c r="F255" i="6"/>
  <c r="G255" i="6"/>
  <c r="B254" i="6"/>
  <c r="C254" i="6"/>
  <c r="D254" i="6"/>
  <c r="E254" i="6"/>
  <c r="F254" i="6"/>
  <c r="G254" i="6"/>
  <c r="B253" i="6"/>
  <c r="C253" i="6"/>
  <c r="D253" i="6"/>
  <c r="E253" i="6"/>
  <c r="F253" i="6"/>
  <c r="G253" i="6"/>
  <c r="B252" i="6"/>
  <c r="C252" i="6"/>
  <c r="D252" i="6"/>
  <c r="E252" i="6"/>
  <c r="F252" i="6"/>
  <c r="G252" i="6"/>
  <c r="B251" i="6"/>
  <c r="C251" i="6"/>
  <c r="D251" i="6"/>
  <c r="E251" i="6"/>
  <c r="F251" i="6"/>
  <c r="G251" i="6"/>
  <c r="B250" i="6"/>
  <c r="C250" i="6"/>
  <c r="D250" i="6"/>
  <c r="E250" i="6"/>
  <c r="F250" i="6"/>
  <c r="G250" i="6"/>
  <c r="B249" i="6"/>
  <c r="C249" i="6"/>
  <c r="D249" i="6"/>
  <c r="E249" i="6"/>
  <c r="F249" i="6"/>
  <c r="G249" i="6"/>
  <c r="B248" i="6"/>
  <c r="C248" i="6"/>
  <c r="D248" i="6"/>
  <c r="E248" i="6"/>
  <c r="F248" i="6"/>
  <c r="G248" i="6"/>
  <c r="B247" i="6"/>
  <c r="C247" i="6"/>
  <c r="D247" i="6"/>
  <c r="E247" i="6"/>
  <c r="F247" i="6"/>
  <c r="G247" i="6"/>
  <c r="B246" i="6"/>
  <c r="C246" i="6"/>
  <c r="D246" i="6"/>
  <c r="E246" i="6"/>
  <c r="F246" i="6"/>
  <c r="G246" i="6"/>
  <c r="B245" i="6"/>
  <c r="C245" i="6"/>
  <c r="D245" i="6"/>
  <c r="E245" i="6"/>
  <c r="F245" i="6"/>
  <c r="G245" i="6"/>
  <c r="B244" i="6"/>
  <c r="C244" i="6"/>
  <c r="D244" i="6"/>
  <c r="E244" i="6"/>
  <c r="F244" i="6"/>
  <c r="G244" i="6"/>
  <c r="B243" i="6"/>
  <c r="C243" i="6"/>
  <c r="D243" i="6"/>
  <c r="E243" i="6"/>
  <c r="F243" i="6"/>
  <c r="G243" i="6"/>
  <c r="B242" i="6"/>
  <c r="C242" i="6"/>
  <c r="D242" i="6"/>
  <c r="E242" i="6"/>
  <c r="F242" i="6"/>
  <c r="G242" i="6"/>
  <c r="B241" i="6"/>
  <c r="C241" i="6"/>
  <c r="D241" i="6"/>
  <c r="E241" i="6"/>
  <c r="F241" i="6"/>
  <c r="G241" i="6"/>
  <c r="B240" i="6"/>
  <c r="C240" i="6"/>
  <c r="D240" i="6"/>
  <c r="E240" i="6"/>
  <c r="F240" i="6"/>
  <c r="G240" i="6"/>
  <c r="B239" i="6"/>
  <c r="C239" i="6"/>
  <c r="D239" i="6"/>
  <c r="E239" i="6"/>
  <c r="F239" i="6"/>
  <c r="G239" i="6"/>
  <c r="B238" i="6"/>
  <c r="C238" i="6"/>
  <c r="D238" i="6"/>
  <c r="E238" i="6"/>
  <c r="F238" i="6"/>
  <c r="G238" i="6"/>
  <c r="B237" i="6"/>
  <c r="C237" i="6"/>
  <c r="D237" i="6"/>
  <c r="E237" i="6"/>
  <c r="F237" i="6"/>
  <c r="G237" i="6"/>
  <c r="B236" i="6"/>
  <c r="C236" i="6"/>
  <c r="D236" i="6"/>
  <c r="E236" i="6"/>
  <c r="F236" i="6"/>
  <c r="G236" i="6"/>
  <c r="B235" i="6"/>
  <c r="C235" i="6"/>
  <c r="D235" i="6"/>
  <c r="E235" i="6"/>
  <c r="F235" i="6"/>
  <c r="G235" i="6"/>
  <c r="B234" i="6"/>
  <c r="C234" i="6"/>
  <c r="D234" i="6"/>
  <c r="E234" i="6"/>
  <c r="F234" i="6"/>
  <c r="G234" i="6"/>
  <c r="B233" i="6"/>
  <c r="C233" i="6"/>
  <c r="D233" i="6"/>
  <c r="E233" i="6"/>
  <c r="F233" i="6"/>
  <c r="G233" i="6"/>
  <c r="B232" i="6"/>
  <c r="C232" i="6"/>
  <c r="D232" i="6"/>
  <c r="E232" i="6"/>
  <c r="F232" i="6"/>
  <c r="G232" i="6"/>
  <c r="B231" i="6"/>
  <c r="C231" i="6"/>
  <c r="D231" i="6"/>
  <c r="E231" i="6"/>
  <c r="F231" i="6"/>
  <c r="G231" i="6"/>
  <c r="B230" i="6"/>
  <c r="C230" i="6"/>
  <c r="D230" i="6"/>
  <c r="E230" i="6"/>
  <c r="F230" i="6"/>
  <c r="G230" i="6"/>
  <c r="B229" i="6"/>
  <c r="C229" i="6"/>
  <c r="D229" i="6"/>
  <c r="E229" i="6"/>
  <c r="F229" i="6"/>
  <c r="G229" i="6"/>
  <c r="B228" i="6"/>
  <c r="C228" i="6"/>
  <c r="D228" i="6"/>
  <c r="E228" i="6"/>
  <c r="F228" i="6"/>
  <c r="G228" i="6"/>
  <c r="B227" i="6"/>
  <c r="C227" i="6"/>
  <c r="D227" i="6"/>
  <c r="E227" i="6"/>
  <c r="F227" i="6"/>
  <c r="G227" i="6"/>
  <c r="B226" i="6"/>
  <c r="C226" i="6"/>
  <c r="D226" i="6"/>
  <c r="E226" i="6"/>
  <c r="F226" i="6"/>
  <c r="G226" i="6"/>
  <c r="B225" i="6"/>
  <c r="C225" i="6"/>
  <c r="D225" i="6"/>
  <c r="E225" i="6"/>
  <c r="F225" i="6"/>
  <c r="G225" i="6"/>
  <c r="B224" i="6"/>
  <c r="C224" i="6"/>
  <c r="D224" i="6"/>
  <c r="E224" i="6"/>
  <c r="F224" i="6"/>
  <c r="G224" i="6"/>
  <c r="B223" i="6"/>
  <c r="C223" i="6"/>
  <c r="D223" i="6"/>
  <c r="E223" i="6"/>
  <c r="F223" i="6"/>
  <c r="G223" i="6"/>
  <c r="B222" i="6"/>
  <c r="C222" i="6"/>
  <c r="D222" i="6"/>
  <c r="E222" i="6"/>
  <c r="F222" i="6"/>
  <c r="G222" i="6"/>
  <c r="B221" i="6"/>
  <c r="C221" i="6"/>
  <c r="D221" i="6"/>
  <c r="E221" i="6"/>
  <c r="F221" i="6"/>
  <c r="G221" i="6"/>
  <c r="B220" i="6"/>
  <c r="C220" i="6"/>
  <c r="D220" i="6"/>
  <c r="E220" i="6"/>
  <c r="F220" i="6"/>
  <c r="G220" i="6"/>
  <c r="B219" i="6"/>
  <c r="C219" i="6"/>
  <c r="D219" i="6"/>
  <c r="E219" i="6"/>
  <c r="F219" i="6"/>
  <c r="G219" i="6"/>
  <c r="B218" i="6"/>
  <c r="C218" i="6"/>
  <c r="D218" i="6"/>
  <c r="E218" i="6"/>
  <c r="F218" i="6"/>
  <c r="G218" i="6"/>
  <c r="B217" i="6"/>
  <c r="C217" i="6"/>
  <c r="D217" i="6"/>
  <c r="E217" i="6"/>
  <c r="F217" i="6"/>
  <c r="G217" i="6"/>
  <c r="B216" i="6"/>
  <c r="C216" i="6"/>
  <c r="D216" i="6"/>
  <c r="E216" i="6"/>
  <c r="F216" i="6"/>
  <c r="G216" i="6"/>
  <c r="B215" i="6"/>
  <c r="C215" i="6"/>
  <c r="D215" i="6"/>
  <c r="E215" i="6"/>
  <c r="F215" i="6"/>
  <c r="G215" i="6"/>
  <c r="B214" i="6"/>
  <c r="C214" i="6"/>
  <c r="D214" i="6"/>
  <c r="E214" i="6"/>
  <c r="F214" i="6"/>
  <c r="G214" i="6"/>
  <c r="B213" i="6"/>
  <c r="C213" i="6"/>
  <c r="D213" i="6"/>
  <c r="E213" i="6"/>
  <c r="F213" i="6"/>
  <c r="G213" i="6"/>
  <c r="B212" i="6"/>
  <c r="C212" i="6"/>
  <c r="D212" i="6"/>
  <c r="E212" i="6"/>
  <c r="F212" i="6"/>
  <c r="G212" i="6"/>
  <c r="B211" i="6"/>
  <c r="C211" i="6"/>
  <c r="D211" i="6"/>
  <c r="E211" i="6"/>
  <c r="F211" i="6"/>
  <c r="G211" i="6"/>
  <c r="B210" i="6"/>
  <c r="C210" i="6"/>
  <c r="D210" i="6"/>
  <c r="E210" i="6"/>
  <c r="F210" i="6"/>
  <c r="G210" i="6"/>
  <c r="B209" i="6"/>
  <c r="C209" i="6"/>
  <c r="D209" i="6"/>
  <c r="E209" i="6"/>
  <c r="F209" i="6"/>
  <c r="G209" i="6"/>
  <c r="B208" i="6"/>
  <c r="C208" i="6"/>
  <c r="D208" i="6"/>
  <c r="E208" i="6"/>
  <c r="F208" i="6"/>
  <c r="G208" i="6"/>
  <c r="B207" i="6"/>
  <c r="C207" i="6"/>
  <c r="D207" i="6"/>
  <c r="E207" i="6"/>
  <c r="F207" i="6"/>
  <c r="G207" i="6"/>
  <c r="B206" i="6"/>
  <c r="C206" i="6"/>
  <c r="D206" i="6"/>
  <c r="E206" i="6"/>
  <c r="F206" i="6"/>
  <c r="G206" i="6"/>
  <c r="B205" i="6"/>
  <c r="C205" i="6"/>
  <c r="D205" i="6"/>
  <c r="E205" i="6"/>
  <c r="F205" i="6"/>
  <c r="G205" i="6"/>
  <c r="B204" i="6"/>
  <c r="C204" i="6"/>
  <c r="D204" i="6"/>
  <c r="E204" i="6"/>
  <c r="F204" i="6"/>
  <c r="G204" i="6"/>
  <c r="B203" i="6"/>
  <c r="C203" i="6"/>
  <c r="D203" i="6"/>
  <c r="E203" i="6"/>
  <c r="F203" i="6"/>
  <c r="G203" i="6"/>
  <c r="B202" i="6"/>
  <c r="C202" i="6"/>
  <c r="D202" i="6"/>
  <c r="E202" i="6"/>
  <c r="F202" i="6"/>
  <c r="G202" i="6"/>
  <c r="B201" i="6"/>
  <c r="C201" i="6"/>
  <c r="D201" i="6"/>
  <c r="E201" i="6"/>
  <c r="F201" i="6"/>
  <c r="G201" i="6"/>
  <c r="B200" i="6"/>
  <c r="C200" i="6"/>
  <c r="D200" i="6"/>
  <c r="E200" i="6"/>
  <c r="F200" i="6"/>
  <c r="G200" i="6"/>
  <c r="B199" i="6"/>
  <c r="C199" i="6"/>
  <c r="D199" i="6"/>
  <c r="E199" i="6"/>
  <c r="F199" i="6"/>
  <c r="G199" i="6"/>
  <c r="B198" i="6"/>
  <c r="C198" i="6"/>
  <c r="D198" i="6"/>
  <c r="E198" i="6"/>
  <c r="F198" i="6"/>
  <c r="G198" i="6"/>
  <c r="B197" i="6"/>
  <c r="C197" i="6"/>
  <c r="D197" i="6"/>
  <c r="E197" i="6"/>
  <c r="F197" i="6"/>
  <c r="G197" i="6"/>
  <c r="B196" i="6"/>
  <c r="C196" i="6"/>
  <c r="D196" i="6"/>
  <c r="E196" i="6"/>
  <c r="F196" i="6"/>
  <c r="G196" i="6"/>
  <c r="B195" i="6"/>
  <c r="C195" i="6"/>
  <c r="D195" i="6"/>
  <c r="E195" i="6"/>
  <c r="F195" i="6"/>
  <c r="G195" i="6"/>
  <c r="B194" i="6"/>
  <c r="C194" i="6"/>
  <c r="D194" i="6"/>
  <c r="E194" i="6"/>
  <c r="F194" i="6"/>
  <c r="G194" i="6"/>
  <c r="B193" i="6"/>
  <c r="C193" i="6"/>
  <c r="D193" i="6"/>
  <c r="E193" i="6"/>
  <c r="F193" i="6"/>
  <c r="G193" i="6"/>
  <c r="B192" i="6"/>
  <c r="C192" i="6"/>
  <c r="D192" i="6"/>
  <c r="E192" i="6"/>
  <c r="F192" i="6"/>
  <c r="G192" i="6"/>
  <c r="B191" i="6"/>
  <c r="C191" i="6"/>
  <c r="D191" i="6"/>
  <c r="E191" i="6"/>
  <c r="F191" i="6"/>
  <c r="G191" i="6"/>
  <c r="B190" i="6"/>
  <c r="C190" i="6"/>
  <c r="D190" i="6"/>
  <c r="E190" i="6"/>
  <c r="F190" i="6"/>
  <c r="G190" i="6"/>
  <c r="B189" i="6"/>
  <c r="C189" i="6"/>
  <c r="D189" i="6"/>
  <c r="E189" i="6"/>
  <c r="F189" i="6"/>
  <c r="G189" i="6"/>
  <c r="B188" i="6"/>
  <c r="C188" i="6"/>
  <c r="D188" i="6"/>
  <c r="E188" i="6"/>
  <c r="F188" i="6"/>
  <c r="G188" i="6"/>
  <c r="B187" i="6"/>
  <c r="C187" i="6"/>
  <c r="D187" i="6"/>
  <c r="E187" i="6"/>
  <c r="F187" i="6"/>
  <c r="G187" i="6"/>
  <c r="B186" i="6"/>
  <c r="C186" i="6"/>
  <c r="D186" i="6"/>
  <c r="E186" i="6"/>
  <c r="F186" i="6"/>
  <c r="G186" i="6"/>
  <c r="B185" i="6"/>
  <c r="C185" i="6"/>
  <c r="D185" i="6"/>
  <c r="E185" i="6"/>
  <c r="F185" i="6"/>
  <c r="G185" i="6"/>
  <c r="B184" i="6"/>
  <c r="C184" i="6"/>
  <c r="D184" i="6"/>
  <c r="E184" i="6"/>
  <c r="F184" i="6"/>
  <c r="G184" i="6"/>
  <c r="B183" i="6"/>
  <c r="C183" i="6"/>
  <c r="D183" i="6"/>
  <c r="E183" i="6"/>
  <c r="F183" i="6"/>
  <c r="G183" i="6"/>
  <c r="B182" i="6"/>
  <c r="C182" i="6"/>
  <c r="D182" i="6"/>
  <c r="E182" i="6"/>
  <c r="F182" i="6"/>
  <c r="G182" i="6"/>
  <c r="B181" i="6"/>
  <c r="C181" i="6"/>
  <c r="D181" i="6"/>
  <c r="E181" i="6"/>
  <c r="F181" i="6"/>
  <c r="G181" i="6"/>
  <c r="B180" i="6"/>
  <c r="C180" i="6"/>
  <c r="D180" i="6"/>
  <c r="E180" i="6"/>
  <c r="F180" i="6"/>
  <c r="G180" i="6"/>
  <c r="B179" i="6"/>
  <c r="C179" i="6"/>
  <c r="D179" i="6"/>
  <c r="E179" i="6"/>
  <c r="F179" i="6"/>
  <c r="G179" i="6"/>
  <c r="B178" i="6"/>
  <c r="C178" i="6"/>
  <c r="D178" i="6"/>
  <c r="E178" i="6"/>
  <c r="F178" i="6"/>
  <c r="G178" i="6"/>
  <c r="B177" i="6"/>
  <c r="C177" i="6"/>
  <c r="D177" i="6"/>
  <c r="E177" i="6"/>
  <c r="F177" i="6"/>
  <c r="G177" i="6"/>
  <c r="B176" i="6"/>
  <c r="C176" i="6"/>
  <c r="D176" i="6"/>
  <c r="E176" i="6"/>
  <c r="F176" i="6"/>
  <c r="G176" i="6"/>
  <c r="B175" i="6"/>
  <c r="C175" i="6"/>
  <c r="D175" i="6"/>
  <c r="E175" i="6"/>
  <c r="F175" i="6"/>
  <c r="G175" i="6"/>
  <c r="B174" i="6"/>
  <c r="C174" i="6"/>
  <c r="D174" i="6"/>
  <c r="E174" i="6"/>
  <c r="F174" i="6"/>
  <c r="G174" i="6"/>
  <c r="B173" i="6"/>
  <c r="C173" i="6"/>
  <c r="D173" i="6"/>
  <c r="E173" i="6"/>
  <c r="F173" i="6"/>
  <c r="G173" i="6"/>
  <c r="B172" i="6"/>
  <c r="C172" i="6"/>
  <c r="D172" i="6"/>
  <c r="E172" i="6"/>
  <c r="F172" i="6"/>
  <c r="G172" i="6"/>
  <c r="B171" i="6"/>
  <c r="C171" i="6"/>
  <c r="D171" i="6"/>
  <c r="E171" i="6"/>
  <c r="F171" i="6"/>
  <c r="G171" i="6"/>
  <c r="B170" i="6"/>
  <c r="C170" i="6"/>
  <c r="D170" i="6"/>
  <c r="E170" i="6"/>
  <c r="F170" i="6"/>
  <c r="G170" i="6"/>
  <c r="B169" i="6"/>
  <c r="C169" i="6"/>
  <c r="D169" i="6"/>
  <c r="E169" i="6"/>
  <c r="F169" i="6"/>
  <c r="G169" i="6"/>
  <c r="B168" i="6"/>
  <c r="C168" i="6"/>
  <c r="D168" i="6"/>
  <c r="E168" i="6"/>
  <c r="F168" i="6"/>
  <c r="G168" i="6"/>
  <c r="B167" i="6"/>
  <c r="C167" i="6"/>
  <c r="D167" i="6"/>
  <c r="E167" i="6"/>
  <c r="F167" i="6"/>
  <c r="G167" i="6"/>
  <c r="B166" i="6"/>
  <c r="C166" i="6"/>
  <c r="D166" i="6"/>
  <c r="E166" i="6"/>
  <c r="F166" i="6"/>
  <c r="G166" i="6"/>
  <c r="B165" i="6"/>
  <c r="C165" i="6"/>
  <c r="D165" i="6"/>
  <c r="E165" i="6"/>
  <c r="F165" i="6"/>
  <c r="G165" i="6"/>
  <c r="B164" i="6"/>
  <c r="C164" i="6"/>
  <c r="D164" i="6"/>
  <c r="E164" i="6"/>
  <c r="F164" i="6"/>
  <c r="G164" i="6"/>
  <c r="B163" i="6"/>
  <c r="C163" i="6"/>
  <c r="D163" i="6"/>
  <c r="E163" i="6"/>
  <c r="F163" i="6"/>
  <c r="G163" i="6"/>
  <c r="B162" i="6"/>
  <c r="C162" i="6"/>
  <c r="D162" i="6"/>
  <c r="E162" i="6"/>
  <c r="F162" i="6"/>
  <c r="G162" i="6"/>
  <c r="B161" i="6"/>
  <c r="C161" i="6"/>
  <c r="D161" i="6"/>
  <c r="E161" i="6"/>
  <c r="F161" i="6"/>
  <c r="G161" i="6"/>
  <c r="B160" i="6"/>
  <c r="C160" i="6"/>
  <c r="D160" i="6"/>
  <c r="E160" i="6"/>
  <c r="F160" i="6"/>
  <c r="G160" i="6"/>
  <c r="B159" i="6"/>
  <c r="C159" i="6"/>
  <c r="D159" i="6"/>
  <c r="E159" i="6"/>
  <c r="F159" i="6"/>
  <c r="G159" i="6"/>
  <c r="B158" i="6"/>
  <c r="C158" i="6"/>
  <c r="D158" i="6"/>
  <c r="E158" i="6"/>
  <c r="F158" i="6"/>
  <c r="G158" i="6"/>
  <c r="B157" i="6"/>
  <c r="C157" i="6"/>
  <c r="D157" i="6"/>
  <c r="E157" i="6"/>
  <c r="F157" i="6"/>
  <c r="G157" i="6"/>
  <c r="B156" i="6"/>
  <c r="C156" i="6"/>
  <c r="D156" i="6"/>
  <c r="E156" i="6"/>
  <c r="F156" i="6"/>
  <c r="G156" i="6"/>
  <c r="B155" i="6"/>
  <c r="C155" i="6"/>
  <c r="D155" i="6"/>
  <c r="E155" i="6"/>
  <c r="F155" i="6"/>
  <c r="G155" i="6"/>
  <c r="B154" i="6"/>
  <c r="C154" i="6"/>
  <c r="D154" i="6"/>
  <c r="E154" i="6"/>
  <c r="F154" i="6"/>
  <c r="G154" i="6"/>
  <c r="B153" i="6"/>
  <c r="C153" i="6"/>
  <c r="D153" i="6"/>
  <c r="E153" i="6"/>
  <c r="F153" i="6"/>
  <c r="G153" i="6"/>
  <c r="B152" i="6"/>
  <c r="C152" i="6"/>
  <c r="D152" i="6"/>
  <c r="E152" i="6"/>
  <c r="F152" i="6"/>
  <c r="G152" i="6"/>
  <c r="B151" i="6"/>
  <c r="C151" i="6"/>
  <c r="D151" i="6"/>
  <c r="E151" i="6"/>
  <c r="F151" i="6"/>
  <c r="G151" i="6"/>
  <c r="B150" i="6"/>
  <c r="C150" i="6"/>
  <c r="D150" i="6"/>
  <c r="E150" i="6"/>
  <c r="F150" i="6"/>
  <c r="G150" i="6"/>
  <c r="B149" i="6"/>
  <c r="C149" i="6"/>
  <c r="D149" i="6"/>
  <c r="E149" i="6"/>
  <c r="F149" i="6"/>
  <c r="G149" i="6"/>
  <c r="B148" i="6"/>
  <c r="C148" i="6"/>
  <c r="D148" i="6"/>
  <c r="E148" i="6"/>
  <c r="F148" i="6"/>
  <c r="G148" i="6"/>
  <c r="B147" i="6"/>
  <c r="C147" i="6"/>
  <c r="D147" i="6"/>
  <c r="E147" i="6"/>
  <c r="F147" i="6"/>
  <c r="G147" i="6"/>
  <c r="B146" i="6"/>
  <c r="C146" i="6"/>
  <c r="D146" i="6"/>
  <c r="E146" i="6"/>
  <c r="F146" i="6"/>
  <c r="G146" i="6"/>
  <c r="B145" i="6"/>
  <c r="C145" i="6"/>
  <c r="D145" i="6"/>
  <c r="E145" i="6"/>
  <c r="F145" i="6"/>
  <c r="G145" i="6"/>
  <c r="B144" i="6"/>
  <c r="C144" i="6"/>
  <c r="D144" i="6"/>
  <c r="E144" i="6"/>
  <c r="F144" i="6"/>
  <c r="G144" i="6"/>
  <c r="B143" i="6"/>
  <c r="C143" i="6"/>
  <c r="D143" i="6"/>
  <c r="E143" i="6"/>
  <c r="F143" i="6"/>
  <c r="G143" i="6"/>
  <c r="B142" i="6"/>
  <c r="C142" i="6"/>
  <c r="D142" i="6"/>
  <c r="E142" i="6"/>
  <c r="F142" i="6"/>
  <c r="G142" i="6"/>
  <c r="B141" i="6"/>
  <c r="C141" i="6"/>
  <c r="D141" i="6"/>
  <c r="E141" i="6"/>
  <c r="F141" i="6"/>
  <c r="G141" i="6"/>
  <c r="B140" i="6"/>
  <c r="C140" i="6"/>
  <c r="D140" i="6"/>
  <c r="E140" i="6"/>
  <c r="F140" i="6"/>
  <c r="G140" i="6"/>
  <c r="B139" i="6"/>
  <c r="C139" i="6"/>
  <c r="D139" i="6"/>
  <c r="E139" i="6"/>
  <c r="F139" i="6"/>
  <c r="G139" i="6"/>
  <c r="B138" i="6"/>
  <c r="C138" i="6"/>
  <c r="D138" i="6"/>
  <c r="E138" i="6"/>
  <c r="F138" i="6"/>
  <c r="G138" i="6"/>
  <c r="B137" i="6"/>
  <c r="C137" i="6"/>
  <c r="D137" i="6"/>
  <c r="E137" i="6"/>
  <c r="F137" i="6"/>
  <c r="G137" i="6"/>
  <c r="B136" i="6"/>
  <c r="C136" i="6"/>
  <c r="D136" i="6"/>
  <c r="E136" i="6"/>
  <c r="F136" i="6"/>
  <c r="G136" i="6"/>
  <c r="B135" i="6"/>
  <c r="C135" i="6"/>
  <c r="D135" i="6"/>
  <c r="E135" i="6"/>
  <c r="F135" i="6"/>
  <c r="G135" i="6"/>
  <c r="B134" i="6"/>
  <c r="C134" i="6"/>
  <c r="D134" i="6"/>
  <c r="E134" i="6"/>
  <c r="F134" i="6"/>
  <c r="G134" i="6"/>
  <c r="B133" i="6"/>
  <c r="C133" i="6"/>
  <c r="D133" i="6"/>
  <c r="E133" i="6"/>
  <c r="F133" i="6"/>
  <c r="G133" i="6"/>
  <c r="B132" i="6"/>
  <c r="C132" i="6"/>
  <c r="D132" i="6"/>
  <c r="E132" i="6"/>
  <c r="F132" i="6"/>
  <c r="G132" i="6"/>
  <c r="B131" i="6"/>
  <c r="C131" i="6"/>
  <c r="D131" i="6"/>
  <c r="E131" i="6"/>
  <c r="F131" i="6"/>
  <c r="G131" i="6"/>
  <c r="B130" i="6"/>
  <c r="C130" i="6"/>
  <c r="D130" i="6"/>
  <c r="E130" i="6"/>
  <c r="F130" i="6"/>
  <c r="G130" i="6"/>
  <c r="B129" i="6"/>
  <c r="C129" i="6"/>
  <c r="D129" i="6"/>
  <c r="E129" i="6"/>
  <c r="F129" i="6"/>
  <c r="G129" i="6"/>
  <c r="B128" i="6"/>
  <c r="C128" i="6"/>
  <c r="D128" i="6"/>
  <c r="E128" i="6"/>
  <c r="F128" i="6"/>
  <c r="G128" i="6"/>
  <c r="B127" i="6"/>
  <c r="C127" i="6"/>
  <c r="D127" i="6"/>
  <c r="E127" i="6"/>
  <c r="F127" i="6"/>
  <c r="G127" i="6"/>
  <c r="B126" i="6"/>
  <c r="C126" i="6"/>
  <c r="D126" i="6"/>
  <c r="E126" i="6"/>
  <c r="F126" i="6"/>
  <c r="G126" i="6"/>
  <c r="B125" i="6"/>
  <c r="C125" i="6"/>
  <c r="D125" i="6"/>
  <c r="E125" i="6"/>
  <c r="F125" i="6"/>
  <c r="G125" i="6"/>
  <c r="B124" i="6"/>
  <c r="C124" i="6"/>
  <c r="D124" i="6"/>
  <c r="E124" i="6"/>
  <c r="F124" i="6"/>
  <c r="G124" i="6"/>
  <c r="B123" i="6"/>
  <c r="C123" i="6"/>
  <c r="D123" i="6"/>
  <c r="E123" i="6"/>
  <c r="F123" i="6"/>
  <c r="G123" i="6"/>
  <c r="B122" i="6"/>
  <c r="C122" i="6"/>
  <c r="D122" i="6"/>
  <c r="E122" i="6"/>
  <c r="F122" i="6"/>
  <c r="G122" i="6"/>
  <c r="B121" i="6"/>
  <c r="C121" i="6"/>
  <c r="D121" i="6"/>
  <c r="E121" i="6"/>
  <c r="F121" i="6"/>
  <c r="G121" i="6"/>
  <c r="B120" i="6"/>
  <c r="C120" i="6"/>
  <c r="D120" i="6"/>
  <c r="E120" i="6"/>
  <c r="F120" i="6"/>
  <c r="G120" i="6"/>
  <c r="B119" i="6"/>
  <c r="C119" i="6"/>
  <c r="D119" i="6"/>
  <c r="E119" i="6"/>
  <c r="F119" i="6"/>
  <c r="G119" i="6"/>
  <c r="B118" i="6"/>
  <c r="C118" i="6"/>
  <c r="D118" i="6"/>
  <c r="E118" i="6"/>
  <c r="F118" i="6"/>
  <c r="G118" i="6"/>
  <c r="B117" i="6"/>
  <c r="C117" i="6"/>
  <c r="D117" i="6"/>
  <c r="E117" i="6"/>
  <c r="F117" i="6"/>
  <c r="G117" i="6"/>
  <c r="B116" i="6"/>
  <c r="C116" i="6"/>
  <c r="D116" i="6"/>
  <c r="E116" i="6"/>
  <c r="F116" i="6"/>
  <c r="G116" i="6"/>
  <c r="B115" i="6"/>
  <c r="C115" i="6"/>
  <c r="D115" i="6"/>
  <c r="E115" i="6"/>
  <c r="F115" i="6"/>
  <c r="G115" i="6"/>
  <c r="B114" i="6"/>
  <c r="C114" i="6"/>
  <c r="D114" i="6"/>
  <c r="E114" i="6"/>
  <c r="F114" i="6"/>
  <c r="G114" i="6"/>
  <c r="B113" i="6"/>
  <c r="C113" i="6"/>
  <c r="D113" i="6"/>
  <c r="E113" i="6"/>
  <c r="F113" i="6"/>
  <c r="G113" i="6"/>
  <c r="B112" i="6"/>
  <c r="C112" i="6"/>
  <c r="D112" i="6"/>
  <c r="E112" i="6"/>
  <c r="F112" i="6"/>
  <c r="G112" i="6"/>
  <c r="B111" i="6"/>
  <c r="C111" i="6"/>
  <c r="D111" i="6"/>
  <c r="E111" i="6"/>
  <c r="F111" i="6"/>
  <c r="G111" i="6"/>
  <c r="B110" i="6"/>
  <c r="C110" i="6"/>
  <c r="D110" i="6"/>
  <c r="E110" i="6"/>
  <c r="F110" i="6"/>
  <c r="G110" i="6"/>
  <c r="B109" i="6"/>
  <c r="C109" i="6"/>
  <c r="D109" i="6"/>
  <c r="E109" i="6"/>
  <c r="F109" i="6"/>
  <c r="G109" i="6"/>
  <c r="B108" i="6"/>
  <c r="C108" i="6"/>
  <c r="D108" i="6"/>
  <c r="E108" i="6"/>
  <c r="F108" i="6"/>
  <c r="G108" i="6"/>
  <c r="B107" i="6"/>
  <c r="C107" i="6"/>
  <c r="D107" i="6"/>
  <c r="E107" i="6"/>
  <c r="F107" i="6"/>
  <c r="G107" i="6"/>
  <c r="B106" i="6"/>
  <c r="C106" i="6"/>
  <c r="D106" i="6"/>
  <c r="E106" i="6"/>
  <c r="F106" i="6"/>
  <c r="G106" i="6"/>
  <c r="B105" i="6"/>
  <c r="C105" i="6"/>
  <c r="D105" i="6"/>
  <c r="E105" i="6"/>
  <c r="F105" i="6"/>
  <c r="G105" i="6"/>
  <c r="B104" i="6"/>
  <c r="C104" i="6"/>
  <c r="D104" i="6"/>
  <c r="E104" i="6"/>
  <c r="F104" i="6"/>
  <c r="G104" i="6"/>
  <c r="B103" i="6"/>
  <c r="C103" i="6"/>
  <c r="D103" i="6"/>
  <c r="E103" i="6"/>
  <c r="F103" i="6"/>
  <c r="G103" i="6"/>
  <c r="B102" i="6"/>
  <c r="C102" i="6"/>
  <c r="D102" i="6"/>
  <c r="E102" i="6"/>
  <c r="F102" i="6"/>
  <c r="G102" i="6"/>
  <c r="B101" i="6"/>
  <c r="C101" i="6"/>
  <c r="D101" i="6"/>
  <c r="E101" i="6"/>
  <c r="F101" i="6"/>
  <c r="G101" i="6"/>
  <c r="B100" i="6"/>
  <c r="C100" i="6"/>
  <c r="D100" i="6"/>
  <c r="E100" i="6"/>
  <c r="F100" i="6"/>
  <c r="G100" i="6"/>
  <c r="B99" i="6"/>
  <c r="C99" i="6"/>
  <c r="D99" i="6"/>
  <c r="E99" i="6"/>
  <c r="F99" i="6"/>
  <c r="G99" i="6"/>
  <c r="B98" i="6"/>
  <c r="C98" i="6"/>
  <c r="D98" i="6"/>
  <c r="E98" i="6"/>
  <c r="F98" i="6"/>
  <c r="G98" i="6"/>
  <c r="B97" i="6"/>
  <c r="C97" i="6"/>
  <c r="D97" i="6"/>
  <c r="E97" i="6"/>
  <c r="F97" i="6"/>
  <c r="G97" i="6"/>
  <c r="B96" i="6"/>
  <c r="C96" i="6"/>
  <c r="D96" i="6"/>
  <c r="E96" i="6"/>
  <c r="F96" i="6"/>
  <c r="G96" i="6"/>
  <c r="B95" i="6"/>
  <c r="C95" i="6"/>
  <c r="D95" i="6"/>
  <c r="E95" i="6"/>
  <c r="F95" i="6"/>
  <c r="G95" i="6"/>
  <c r="B94" i="6"/>
  <c r="C94" i="6"/>
  <c r="D94" i="6"/>
  <c r="E94" i="6"/>
  <c r="F94" i="6"/>
  <c r="G94" i="6"/>
  <c r="B93" i="6"/>
  <c r="C93" i="6"/>
  <c r="D93" i="6"/>
  <c r="E93" i="6"/>
  <c r="F93" i="6"/>
  <c r="G93" i="6"/>
  <c r="B92" i="6"/>
  <c r="C92" i="6"/>
  <c r="D92" i="6"/>
  <c r="E92" i="6"/>
  <c r="F92" i="6"/>
  <c r="G92" i="6"/>
  <c r="B91" i="6"/>
  <c r="C91" i="6"/>
  <c r="D91" i="6"/>
  <c r="E91" i="6"/>
  <c r="F91" i="6"/>
  <c r="G91" i="6"/>
  <c r="B90" i="6"/>
  <c r="C90" i="6"/>
  <c r="D90" i="6"/>
  <c r="E90" i="6"/>
  <c r="F90" i="6"/>
  <c r="G90" i="6"/>
  <c r="B89" i="6"/>
  <c r="C89" i="6"/>
  <c r="D89" i="6"/>
  <c r="E89" i="6"/>
  <c r="F89" i="6"/>
  <c r="G89" i="6"/>
  <c r="B88" i="6"/>
  <c r="C88" i="6"/>
  <c r="D88" i="6"/>
  <c r="E88" i="6"/>
  <c r="F88" i="6"/>
  <c r="G88" i="6"/>
  <c r="B87" i="6"/>
  <c r="C87" i="6"/>
  <c r="D87" i="6"/>
  <c r="E87" i="6"/>
  <c r="F87" i="6"/>
  <c r="G87" i="6"/>
  <c r="B86" i="6"/>
  <c r="C86" i="6"/>
  <c r="D86" i="6"/>
  <c r="E86" i="6"/>
  <c r="F86" i="6"/>
  <c r="G86" i="6"/>
  <c r="B85" i="6"/>
  <c r="C85" i="6"/>
  <c r="D85" i="6"/>
  <c r="E85" i="6"/>
  <c r="F85" i="6"/>
  <c r="G85" i="6"/>
  <c r="B84" i="6"/>
  <c r="C84" i="6"/>
  <c r="D84" i="6"/>
  <c r="E84" i="6"/>
  <c r="F84" i="6"/>
  <c r="G84" i="6"/>
  <c r="B83" i="6"/>
  <c r="C83" i="6"/>
  <c r="D83" i="6"/>
  <c r="E83" i="6"/>
  <c r="F83" i="6"/>
  <c r="G83" i="6"/>
  <c r="B82" i="6"/>
  <c r="C82" i="6"/>
  <c r="D82" i="6"/>
  <c r="E82" i="6"/>
  <c r="F82" i="6"/>
  <c r="G82" i="6"/>
  <c r="B81" i="6"/>
  <c r="C81" i="6"/>
  <c r="D81" i="6"/>
  <c r="E81" i="6"/>
  <c r="F81" i="6"/>
  <c r="G81" i="6"/>
  <c r="B80" i="6"/>
  <c r="C80" i="6"/>
  <c r="D80" i="6"/>
  <c r="E80" i="6"/>
  <c r="F80" i="6"/>
  <c r="G80" i="6"/>
  <c r="B79" i="6"/>
  <c r="C79" i="6"/>
  <c r="D79" i="6"/>
  <c r="E79" i="6"/>
  <c r="F79" i="6"/>
  <c r="G79" i="6"/>
  <c r="B78" i="6"/>
  <c r="C78" i="6"/>
  <c r="D78" i="6"/>
  <c r="E78" i="6"/>
  <c r="F78" i="6"/>
  <c r="G78" i="6"/>
  <c r="B77" i="6"/>
  <c r="C77" i="6"/>
  <c r="D77" i="6"/>
  <c r="E77" i="6"/>
  <c r="F77" i="6"/>
  <c r="G77" i="6"/>
  <c r="B76" i="6"/>
  <c r="C76" i="6"/>
  <c r="D76" i="6"/>
  <c r="E76" i="6"/>
  <c r="F76" i="6"/>
  <c r="G76" i="6"/>
  <c r="B75" i="6"/>
  <c r="C75" i="6"/>
  <c r="D75" i="6"/>
  <c r="E75" i="6"/>
  <c r="F75" i="6"/>
  <c r="G75" i="6"/>
  <c r="B74" i="6"/>
  <c r="C74" i="6"/>
  <c r="D74" i="6"/>
  <c r="E74" i="6"/>
  <c r="F74" i="6"/>
  <c r="G74" i="6"/>
  <c r="B73" i="6"/>
  <c r="C73" i="6"/>
  <c r="D73" i="6"/>
  <c r="E73" i="6"/>
  <c r="F73" i="6"/>
  <c r="G73" i="6"/>
  <c r="B72" i="6"/>
  <c r="C72" i="6"/>
  <c r="D72" i="6"/>
  <c r="E72" i="6"/>
  <c r="F72" i="6"/>
  <c r="G72" i="6"/>
  <c r="B71" i="6"/>
  <c r="C71" i="6"/>
  <c r="D71" i="6"/>
  <c r="E71" i="6"/>
  <c r="F71" i="6"/>
  <c r="G71" i="6"/>
  <c r="B70" i="6"/>
  <c r="C70" i="6"/>
  <c r="D70" i="6"/>
  <c r="E70" i="6"/>
  <c r="F70" i="6"/>
  <c r="G70" i="6"/>
  <c r="B69" i="6"/>
  <c r="C69" i="6"/>
  <c r="D69" i="6"/>
  <c r="E69" i="6"/>
  <c r="F69" i="6"/>
  <c r="G69" i="6"/>
  <c r="B68" i="6"/>
  <c r="C68" i="6"/>
  <c r="D68" i="6"/>
  <c r="E68" i="6"/>
  <c r="F68" i="6"/>
  <c r="G68" i="6"/>
  <c r="B67" i="6"/>
  <c r="C67" i="6"/>
  <c r="D67" i="6"/>
  <c r="E67" i="6"/>
  <c r="F67" i="6"/>
  <c r="G67" i="6"/>
  <c r="B66" i="6"/>
  <c r="C66" i="6"/>
  <c r="D66" i="6"/>
  <c r="E66" i="6"/>
  <c r="F66" i="6"/>
  <c r="G66" i="6"/>
  <c r="B65" i="6"/>
  <c r="C65" i="6"/>
  <c r="D65" i="6"/>
  <c r="E65" i="6"/>
  <c r="F65" i="6"/>
  <c r="G65" i="6"/>
  <c r="B64" i="6"/>
  <c r="C64" i="6"/>
  <c r="D64" i="6"/>
  <c r="E64" i="6"/>
  <c r="F64" i="6"/>
  <c r="G64" i="6"/>
  <c r="B63" i="6"/>
  <c r="C63" i="6"/>
  <c r="D63" i="6"/>
  <c r="E63" i="6"/>
  <c r="F63" i="6"/>
  <c r="G63" i="6"/>
  <c r="B62" i="6"/>
  <c r="C62" i="6"/>
  <c r="D62" i="6"/>
  <c r="E62" i="6"/>
  <c r="F62" i="6"/>
  <c r="G62" i="6"/>
  <c r="B61" i="6"/>
  <c r="C61" i="6"/>
  <c r="D61" i="6"/>
  <c r="E61" i="6"/>
  <c r="F61" i="6"/>
  <c r="G61" i="6"/>
  <c r="B60" i="6"/>
  <c r="C60" i="6"/>
  <c r="D60" i="6"/>
  <c r="E60" i="6"/>
  <c r="F60" i="6"/>
  <c r="G60" i="6"/>
  <c r="B59" i="6"/>
  <c r="C59" i="6"/>
  <c r="D59" i="6"/>
  <c r="E59" i="6"/>
  <c r="F59" i="6"/>
  <c r="G59" i="6"/>
  <c r="B58" i="6"/>
  <c r="C58" i="6"/>
  <c r="D58" i="6"/>
  <c r="E58" i="6"/>
  <c r="F58" i="6"/>
  <c r="G58" i="6"/>
  <c r="B57" i="6"/>
  <c r="C57" i="6"/>
  <c r="D57" i="6"/>
  <c r="E57" i="6"/>
  <c r="F57" i="6"/>
  <c r="G57" i="6"/>
  <c r="B56" i="6"/>
  <c r="C56" i="6"/>
  <c r="D56" i="6"/>
  <c r="E56" i="6"/>
  <c r="F56" i="6"/>
  <c r="G56" i="6"/>
  <c r="B55" i="6"/>
  <c r="C55" i="6"/>
  <c r="D55" i="6"/>
  <c r="E55" i="6"/>
  <c r="F55" i="6"/>
  <c r="G55" i="6"/>
  <c r="B54" i="6"/>
  <c r="C54" i="6"/>
  <c r="D54" i="6"/>
  <c r="E54" i="6"/>
  <c r="F54" i="6"/>
  <c r="G54" i="6"/>
  <c r="B53" i="6"/>
  <c r="C53" i="6"/>
  <c r="D53" i="6"/>
  <c r="E53" i="6"/>
  <c r="F53" i="6"/>
  <c r="G53" i="6"/>
  <c r="B52" i="6"/>
  <c r="C52" i="6"/>
  <c r="D52" i="6"/>
  <c r="E52" i="6"/>
  <c r="F52" i="6"/>
  <c r="G52" i="6"/>
  <c r="B51" i="6"/>
  <c r="C51" i="6"/>
  <c r="D51" i="6"/>
  <c r="E51" i="6"/>
  <c r="F51" i="6"/>
  <c r="G51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B46" i="6"/>
  <c r="C46" i="6"/>
  <c r="D46" i="6"/>
  <c r="E46" i="6"/>
  <c r="F46" i="6"/>
  <c r="G46" i="6"/>
  <c r="B45" i="6"/>
  <c r="C45" i="6"/>
  <c r="D45" i="6"/>
  <c r="E45" i="6"/>
  <c r="F45" i="6"/>
  <c r="G45" i="6"/>
  <c r="B44" i="6"/>
  <c r="C44" i="6"/>
  <c r="D44" i="6"/>
  <c r="E44" i="6"/>
  <c r="F44" i="6"/>
  <c r="G44" i="6"/>
  <c r="B43" i="6"/>
  <c r="C43" i="6"/>
  <c r="D43" i="6"/>
  <c r="E43" i="6"/>
  <c r="F43" i="6"/>
  <c r="G43" i="6"/>
  <c r="B42" i="6"/>
  <c r="C42" i="6"/>
  <c r="D42" i="6"/>
  <c r="E42" i="6"/>
  <c r="F42" i="6"/>
  <c r="G42" i="6"/>
  <c r="B41" i="6"/>
  <c r="C41" i="6"/>
  <c r="D41" i="6"/>
  <c r="E41" i="6"/>
  <c r="F41" i="6"/>
  <c r="G41" i="6"/>
  <c r="B40" i="6"/>
  <c r="C40" i="6"/>
  <c r="D40" i="6"/>
  <c r="E40" i="6"/>
  <c r="F40" i="6"/>
  <c r="G40" i="6"/>
  <c r="B39" i="6"/>
  <c r="C39" i="6"/>
  <c r="D39" i="6"/>
  <c r="E39" i="6"/>
  <c r="F39" i="6"/>
  <c r="G39" i="6"/>
  <c r="B38" i="6"/>
  <c r="C38" i="6"/>
  <c r="D38" i="6"/>
  <c r="E38" i="6"/>
  <c r="F38" i="6"/>
  <c r="G38" i="6"/>
  <c r="B37" i="6"/>
  <c r="C37" i="6"/>
  <c r="D37" i="6"/>
  <c r="E37" i="6"/>
  <c r="F37" i="6"/>
  <c r="G37" i="6"/>
  <c r="B36" i="6"/>
  <c r="C36" i="6"/>
  <c r="D36" i="6"/>
  <c r="E36" i="6"/>
  <c r="F36" i="6"/>
  <c r="G36" i="6"/>
  <c r="B35" i="6"/>
  <c r="C35" i="6"/>
  <c r="D35" i="6"/>
  <c r="E35" i="6"/>
  <c r="F35" i="6"/>
  <c r="G35" i="6"/>
  <c r="B34" i="6"/>
  <c r="C34" i="6"/>
  <c r="D34" i="6"/>
  <c r="E34" i="6"/>
  <c r="F34" i="6"/>
  <c r="G34" i="6"/>
  <c r="B33" i="6"/>
  <c r="C33" i="6"/>
  <c r="D33" i="6"/>
  <c r="E33" i="6"/>
  <c r="F33" i="6"/>
  <c r="G33" i="6"/>
  <c r="B32" i="6"/>
  <c r="C32" i="6"/>
  <c r="D32" i="6"/>
  <c r="E32" i="6"/>
  <c r="F32" i="6"/>
  <c r="G32" i="6"/>
  <c r="B31" i="6"/>
  <c r="C31" i="6"/>
  <c r="D31" i="6"/>
  <c r="E31" i="6"/>
  <c r="F31" i="6"/>
  <c r="G31" i="6"/>
  <c r="B30" i="6"/>
  <c r="C30" i="6"/>
  <c r="D30" i="6"/>
  <c r="E30" i="6"/>
  <c r="F30" i="6"/>
  <c r="G30" i="6"/>
  <c r="B29" i="6"/>
  <c r="C29" i="6"/>
  <c r="D29" i="6"/>
  <c r="E29" i="6"/>
  <c r="F29" i="6"/>
  <c r="G29" i="6"/>
  <c r="B28" i="6"/>
  <c r="C28" i="6"/>
  <c r="D28" i="6"/>
  <c r="E28" i="6"/>
  <c r="F28" i="6"/>
  <c r="G28" i="6"/>
  <c r="B27" i="6"/>
  <c r="C27" i="6"/>
  <c r="D27" i="6"/>
  <c r="E27" i="6"/>
  <c r="F27" i="6"/>
  <c r="G27" i="6"/>
  <c r="B26" i="6"/>
  <c r="C26" i="6"/>
  <c r="D26" i="6"/>
  <c r="E26" i="6"/>
  <c r="F26" i="6"/>
  <c r="G26" i="6"/>
  <c r="B25" i="6"/>
  <c r="C25" i="6"/>
  <c r="D25" i="6"/>
  <c r="E25" i="6"/>
  <c r="F25" i="6"/>
  <c r="G25" i="6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B11" i="6"/>
  <c r="C11" i="6"/>
  <c r="D11" i="6"/>
  <c r="E11" i="6"/>
  <c r="F11" i="6"/>
  <c r="G11" i="6"/>
  <c r="B10" i="6"/>
  <c r="C10" i="6"/>
  <c r="D10" i="6"/>
  <c r="E10" i="6"/>
  <c r="F10" i="6"/>
  <c r="G10" i="6"/>
  <c r="B9" i="6"/>
  <c r="C9" i="6"/>
  <c r="D9" i="6"/>
  <c r="E9" i="6"/>
  <c r="F9" i="6"/>
  <c r="G9" i="6"/>
  <c r="B8" i="6"/>
  <c r="C8" i="6"/>
  <c r="D8" i="6"/>
  <c r="E8" i="6"/>
  <c r="F8" i="6"/>
  <c r="G8" i="6"/>
  <c r="B7" i="6"/>
  <c r="C7" i="6"/>
  <c r="D7" i="6"/>
  <c r="E7" i="6"/>
  <c r="F7" i="6"/>
  <c r="G7" i="6"/>
  <c r="B6" i="6"/>
  <c r="C6" i="6"/>
  <c r="D6" i="6"/>
  <c r="E6" i="6"/>
  <c r="F6" i="6"/>
  <c r="G6" i="6"/>
  <c r="B5" i="6"/>
  <c r="C5" i="6"/>
  <c r="D5" i="6"/>
  <c r="E5" i="6"/>
  <c r="F5" i="6"/>
  <c r="G5" i="6"/>
  <c r="B4" i="6"/>
  <c r="C4" i="6"/>
  <c r="D4" i="6"/>
  <c r="E4" i="6"/>
  <c r="F4" i="6"/>
  <c r="G4" i="6"/>
  <c r="B3" i="6"/>
  <c r="C3" i="6"/>
  <c r="D3" i="6"/>
  <c r="E3" i="6"/>
  <c r="F3" i="6"/>
  <c r="G3" i="6"/>
  <c r="B2" i="6"/>
  <c r="C2" i="6"/>
  <c r="D2" i="6"/>
  <c r="E2" i="6"/>
  <c r="F2" i="6"/>
  <c r="G2" i="6"/>
  <c r="B1" i="6"/>
  <c r="C1" i="6"/>
  <c r="D1" i="6"/>
  <c r="E1" i="6"/>
  <c r="F1" i="6"/>
  <c r="G1" i="6"/>
  <c r="G1" i="4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F1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E1" i="4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1001" i="4"/>
  <c r="E1002" i="4"/>
  <c r="E1003" i="4"/>
  <c r="E1004" i="4"/>
  <c r="E1005" i="4"/>
  <c r="E1006" i="4"/>
  <c r="E1007" i="4"/>
  <c r="E1008" i="4"/>
  <c r="E1009" i="4"/>
  <c r="E1010" i="4"/>
  <c r="E1011" i="4"/>
  <c r="E1012" i="4"/>
  <c r="E1013" i="4"/>
  <c r="E1014" i="4"/>
  <c r="D1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C1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B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G1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F1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E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D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B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</calcChain>
</file>

<file path=xl/sharedStrings.xml><?xml version="1.0" encoding="utf-8"?>
<sst xmlns="http://schemas.openxmlformats.org/spreadsheetml/2006/main" count="6828" uniqueCount="2196">
  <si>
    <t xml:space="preserve">            "rechargeable": "Y", "nationalimageurl":null, "glasses":"N", "hoursthurs":"Please Call", "state":null, "retailerimageurl":null, "hoursfri":"Please Call", "acceptedmaterialsurl":null, "latitude":"45.3915017200558", "url":null, "postalcode":"K2A 0E8", "province":"ON", "sustainabilityurl":null, "hoursmon":"Please Call", "longitude":"-75.755143747251", "uid":-123812032, "retailerlinkurl":null, "hourssat":"Please Call", "clientkey":"43407", "name":"Mountain Equipment Co-op", "locationlinkurl":null, "address1":"366 Richmond Rd",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"phone":"613-729-2700", "address2":null, "locationimageurl":null, "_distance":"7.55",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</si>
  <si>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"latitude":"45.2240975", "url":null, "postalcode":"K4M 1A8", "province":"ON", "sustainabilityurl":null, "hoursmon":"Please Call", "longitude":"-75.68488125", "uid":159003776, "retailerlinkurl":null, "hourssat":"Please Call", "clientkey":"29318", "name":"Manotick Home Hardware", "locationlinkurl":null, "address1":"1166 Beaverwood Rd (PO Box 970)", "icon":"preferred", "bho":null, "_distanceuom":"mile", "hourssun":"Please Call", "computers":"N", "cfl":"N", "regionalimageurl":null, "city":"Manotick", "singleuse":"Y", "fax":null, "country":"CA", "logourl":"http://www.call2recycle.org/notpress/where2getit/call2recycle.png", "phone":"613-692-3591", "address2":null, "locationimageurl":null, "_distance":"7.70",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</si>
  <si>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"hoursthurs":"8h à 21h", "state":null, "retailerimageurl":null, "hoursfri":"8h à 21h", "acceptedmaterialsurl":"http://www.rona.ca/corporate/social-engagement", "latitude":"45.4116065217391", "url":"http://www.rona.ca", "postalcode":"J9J 3M3", "province":"QC", "sustainabilityurl":"http://www.rona.ca/corporate/corporate-responsibility", "hoursmon":"8h à 18h", "longitude":"-75.818777826087", "uid":1182180000, "retailerlinkurl":null, "hourssat":"8h à 17h", "clientkey":"121793", "name":"RONA", "locationlinkurl":null, "address1":"435 Ch McConnell", "icon":"preferred", "bho":null, "_distanceuom":"mile", "hourssun":"Veuillez appeler le point de dépôt.", "computers":"N", "cfl":"Y", "regionalimageurl":null, "city":"Gatineau", "singleuse":"Y", "fax":null, "country":"CA", "logourl":"http://www.call2recycle.org/notpress/where2getit/rona.png", "phone":"819-684-3275", "address2":null, "locationimageurl":null, "_distance":"8.41", "inktoner":"N", "nationalinkurl":null, "regionallinkurl":null, "cellphones":"Y", "hourstues":"8h à 18h", "consumerelectronics":"N", "hourswed":"8h à 18h",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</si>
  <si>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"latitude":"45.411005", "url":null, "postalcode":"J9J 1V2", "province":"QC", "sustainabilityurl":null, "hoursmon":"Veuillez appeler le point de dépôt.", "longitude":"-75.839105", "uid":947269010, "retailerlinkurl":null, "hourssat":"Veuillez appeler le point de dépôt.", "clientkey":"165740", "name":"Pharmacie Brunet", "locationlinkurl":null, "address1":"795 Wilfrid Lavigne",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"phone":"819-684-8222", "address2":null, "locationimageurl":null, "_distance":"8.47",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</si>
  <si>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"latitude":"45.31561", "url":null, "postalcode":"K2H 5Z2", "province":"ON", "sustainabilityurl":null, "hoursmon":"Please Call", "longitude":"-75.84883", "uid":-1543474305, "retailerlinkurl":null, "hourssat":"Please Call", "clientkey":"105711", "name":"Ottawa Fastener Supply Ltd", "locationlinkurl":null, "address1":"2205 Robertson Rd",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"phone":"613-828-4117", "address2":null, "locationimageurl":null, "_distance":"2.50",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</si>
  <si>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"latitude":"45.31561", "url":"http://www.canadiantire.ca", "postalcode":"K2H 5Z2", "province":"ON", "sustainabilityurl":null, "hoursmon":"8:00am-9:00pm", "longitude":"-75.84883", "uid":372104883, "retailerlinkurl":null, "hourssat":"Please Call", "clientkey":"164063", "name":"Canadian Tire", "locationlinkurl":null, "address1":"2135 Robertson Rd", "icon":"normal", "bho":null, "_distanceuom":"mile", "hourssun":"Please Call", "computers":"N", "cfl":"Y", "regionalimageurl":null, "city":"Nepean", "singleuse":"Y", "fax":null, "country":"CA", "logourl":"http://www.call2recycle.org/notpress/where2getit/canadiantire.png", "phone":"613-829-9580", "address2":null, "locationimageurl":null, "_distance":"2.50",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</si>
  <si>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"latitude":"45.30262", "url":"http://www.thesource.ca", "postalcode":"K2M 1C9", "province":"ON", "sustainabilityurl":"http://www.thesource.ca/sitelets/jobs/environment.asp", "hoursmon":"Please Call", "longitude":"-75.876055", "uid":78301543, "retailerlinkurl":null, "hourssat":"Please Call", "clientkey":"64267", "name":"The Source", "locationlinkurl":null, "address1":"300 Eagleson Rd", "icon":"normal", "bho":null, "_distanceuom":"mile", "hourssun":"Please Call", "computers":"N", "cfl":"N", "regionalimageurl":null, "city":"Kanata", "singleuse":"Y", "fax":null, "country":"CA", "logourl":"http://www.call2recycle.org/notpress/where2getit/thesource.png", "phone":"613-254-7298", "address2":null, "locationimageurl":null, "_distance":"3.21",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</si>
  <si>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"latitude":"45.3361577807865", "url":null, "postalcode":"K2H 7T3", "province":"ON", "sustainabilityurl":null, "hoursmon":"Please Call", "longitude":"-75.7994028475483", "uid":341261029, "retailerlinkurl":null, "hourssat":"Please Call", "clientkey":"162234", "name":"Foxy Recycle", "locationlinkurl":null, "address1":"2940 Baseline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"phone":"613-726-3699", "address2":null, "locationimageurl":null, "_distance":"3.26",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</si>
  <si>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"latitude":"45.2686415669868", "url":null, "postalcode":"K2J 4B1", "province":"ON", "sustainabilityurl":null, "hoursmon":"Please Call", "longitude":"-75.7511392975935", "uid":602206728, "retailerlinkurl":null, "hourssat":"Please Call", "clientkey":"150388", "name":"Best Buy Canada", "locationlinkurl":null, "address1":"3777 Strandherd Dr", "icon":"normal", "bho":null, "_distanceuom":"mile", "hourssun":"Please Call", "computers":"N", "cfl":"N", "regionalimageurl":null, "city":"Nepean", "singleuse":"Y", "fax":null, "country":"CA", "logourl":"http://www.call2recycle.org/notpress/where2getit/bestbuy.png", "phone":"613-843-5625", "address2":null, "locationimageurl":null, "_distance":"3.33",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</si>
  <si>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"latitude":"45.2686323504802", "url":null, "postalcode":"K2J 5M4", "province":"ON", "sustainabilityurl":null, "hoursmon":"Please Call", "longitude":"-75.7511639463902", "uid":-1675423248, "retailerlinkurl":null, "hourssat":"Please Call", "clientkey":"75909", "name":"Home Depot", "locationlinkurl":null, "address1":"3779 Strandherd Dr", "icon":"preferred", "bho":null, "_distanceuom":"mile", "hourssun":"Please Call", "computers":"N", "cfl":"N", "regionalimageurl":null, "city":"Nepean", "singleuse":"Y", "fax":null, "country":"CA", "logourl":"http://www.call2recycle.org/notpress/where2getit/homedepot.png", "phone":"613-843-7900", "address2":null, "locationimageurl":null, "_distance":"3.33",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</si>
  <si>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"latitude":"45.27155", "url":"http://www.canadiantire.ca", "postalcode":"K2J 4Y6", "province":"ON", "sustainabilityurl":null, "hoursmon":"8:00am-9:00pm", "longitude":"-75.74702", "uid":-451185972, "retailerlinkurl":null, "hourssat":"Please Call", "clientkey":"163961", "name":"Canadian Tire", "locationlinkurl":null, "address1":"2501 Greenbank Rd", "icon":"preferred", "bho":null, "_distanceuom":"mile", "hourssun":"Please Call", "computers":"N", "cfl":"Y", "regionalimageurl":null, "city":"Nepean", "singleuse":"Y", "fax":null, "country":"CA", "logourl":"http://www.call2recycle.org/notpress/where2getit/canadiantire.png", "phone":"613-823-5278", "address2":null, "locationimageurl":null, "_distance":"3.43",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</si>
  <si>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"latitude":"45.27028", "url":"http://www.thesource.ca", "postalcode":"K2J 5G5", "province":"ON", "sustainabilityurl":"http://www.thesource.ca/sitelets/jobs/environment.asp", "hoursmon":"Please Call", "longitude":"-75.74192", "uid":-270871333, "retailerlinkurl":null, "hourssat":"Please Call", "clientkey":"85514", "name":"The Source", "locationlinkurl":null, "address1":"81 Riocan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"phone":"613-823-1995", "address2":null, "locationimageurl":null, "_distance":"3.69",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</si>
  <si>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"latitude":"45.27069125", "url":null, "postalcode":"K2J 5G5", "province":"ON", "sustainabilityurl":null, "hoursmon":"Please Call", "longitude":"-75.7408525", "uid":-2116053867, "retailerlinkurl":null, "hourssat":"Please Call", "clientkey":"68079", "name":"Staples", "locationlinkurl":null, "address1":"101 Marketplace Ave",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"phone":"613-825-0457", "address2":null, "locationimageurl":null, "_distance":"3.73",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</si>
  <si>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"latitude":"45.34921", "url":"http://www.thesource.ca", "postalcode":"K2B 8C1", "province":"ON", "sustainabilityurl":"http://www.thesource.ca/sitelets/jobs/environment.asp", "hoursmon":"Please Call", "longitude":"-75.80515", "uid":-1490884080, "retailerlinkurl":null, "hourssat":"Please Call", "clientkey":"800", "name":"The Source", "locationlinkurl":null, "address1":"100 Bayshore Dr.", "icon":"normal", "bho":null, "_distanceuom":"mile", "hourssun":"Please Call", "computers":"N", "cfl":"N", "regionalimageurl":null, "city":"Nepean", "singleuse":"Y", "fax":null, "country":"CA", "logourl":"http://www.call2recycle.org/notpress/where2getit/thesource.png", "phone":"613-820-6194", "address2":null, "locationimageurl":null, "_distance":"4.11",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</si>
  <si>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"latitude":"45.3169700050834", "url":null, "postalcode":"K2L 4E9", "province":"ON", "sustainabilityurl":null, "hoursmon":"Please Call", "longitude":"-75.8900513218109", "uid":636392824, "retailerlinkurl":null, "hourssat":"Please Call", "clientkey":"169584", "name":"Franklin Empire", "locationlinkurl":null, "address1":"140 Hearst Way", "icon":"normal", "bho":null, "_distanceuom":"mile", "hourssun":"Please Call", "computers":"N", "cfl":"N", "regionalimageurl":null, "city":"Kanata", "singleuse":"Y", "fax":null, "country":"CA", "logourl":"http://www.call2recycle.org/notpress/where2getit/call2recycle.png", "phone":"613-596-1144", "address2":null, "locationimageurl":null, "_distance":"4.20",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</si>
  <si>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"latitude":"45.3481964767298", "url":null, "postalcode":"K2C 1E6", "province":"ON", "sustainabilityurl":null, "hoursmon":"Please Call", "longitude":"-75.7863466375104", "uid":400726441, "retailerlinkurl":null, "hourssat":"Please Call", "clientkey":"157976", "name":"ListenUp! Canada", "locationlinkurl":null, "address1":"2730 Iris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"phone":"613-721-1052", "address2":null, "locationimageurl":null, "_distance":"4.23",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</si>
  <si>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"latitude":"45.3488851541784", "url":"http://www.thesource.ca", "postalcode":"K2G 1V7", "province":"ON", "sustainabilityurl":"http://www.thesource.ca/sitelets/jobs/environment.asp", "hoursmon":"Please Call", "longitude":"-75.7608445840817", "uid":2018958409, "retailerlinkurl":null, "hourssat":"Please Call", "clientkey":"155888", "name":"The Source", "locationlinkurl":null, "address1":"1379 Woodroffe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"phone":"613-224-1683", "address2":null, "locationimageurl":null, "_distance":"4.79",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</si>
  <si>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"latitude":"45.3022741666667", "url":null, "postalcode":"K2T 1C4", "province":"ON", "sustainabilityurl":null, "hoursmon":"Please Call", "longitude":"-75.9142483333333", "uid":1182181844, "retailerlinkurl":null, "hourssat":"Please Call", "clientkey":"43543", "name":"Home Depot", "locationlinkurl":null, "address1":"10 Frank Nighbor Place", "icon":"preferred", "bho":null, "_distanceuom":"mile", "hourssun":"Please Call", "computers":"N", "cfl":"N", "regionalimageurl":null, "city":"Kanata", "singleuse":"Y", "fax":null, "country":"CA", "logourl":"http://www.call2recycle.org/notpress/where2getit/homedepot.png", "phone":"613-271-7577", "address2":null, "locationimageurl":null, "_distance":"5.01",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</si>
  <si>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"latitude":"45.33296", "url":"http://www.rona.ca", "postalcode":"K2G 5X6", "province":"ON", "sustainabilityurl":"http://www.rona.ca/corporate/corporate-responsibility", "hoursmon":"Please Call", "longitude":"-75.72896", "uid":1182200902, "retailerlinkurl":null, "hourssat":"Please Call", "clientkey":"121783", "name":"RONA", "locationlinkurl":null, "address1":"585 West Hunt Club Rd", "icon":"preferred", "bho":null, "_distanceuom":"mile", "hourssun":"Please Call", "computers":"N", "cfl":"Y", "regionalimageurl":null, "city":"Ottawa", "singleuse":"Y", "fax":null, "country":"CA", "logourl":"http://www.call2recycle.org/notpress/where2getit/rona.png", "phone":"613-226-5636", "address2":null, "locationimageurl":null, "_distance":"5.04",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</si>
  <si>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"latitude":"45.3529242478139", "url":null, "postalcode":"K2C 0C6", "province":"ON", "sustainabilityurl":null, "hoursmon":"Please Call", "longitude":"-75.7593245369859", "uid":1182188856, "retailerlinkurl":null, "hourssat":"Please Call", "clientkey":"43537", "name":"Home Depot", "locationlinkurl":null, "address1":"1900 Baseline Rd",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"phone":"613-723-5900", "address2":null, "locationimageurl":null, "_distance":"5.07",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</si>
  <si>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"_distance":"5.28",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</si>
  <si>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"latitude":"45.3362070935906", "url":"http://www.canadiantire.ca", "postalcode":"K2G 1E6", "province":"ON", "sustainabilityurl":null, "hoursmon":"8:00am-9:00pm", "longitude":"-75.7250272826182", "uid":1182180623, "retailerlinkurl":null, "hourssat":"Please Call", "clientkey":"1352", "name":"Canadian Tire", "locationlinkurl":null, "address1":"1820 Merivale Rd", "icon":"normal", "bho":null, "_distanceuom":"mile", "hourssun":"Please Call", "computers":"N", "cfl":"Y", "regionalimageurl":null, "city":"Nepean", "singleuse":"Y", "fax":null, "country":"CA", "logourl":"http://www.call2recycle.org/notpress/where2getit/canadiantire.png", "phone":"613-224-9330", "address2":null, "locationimageurl":null, "_distance":"5.32",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</si>
  <si>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"latitude":"45.3077106580804", "url":null, "postalcode":"K2T 1B7", "province":"ON", "sustainabilityurl":null, "hoursmon":"Please Call", "longitude":"-75.9191627451347", "uid":1696469732, "retailerlinkurl":null, "hourssat":"Please Call", "clientkey":"102514", "name":"Staples", "locationlinkurl":null, "address1":"8141 Campeau Dr", "icon":"preferred", "bho":null, "_distanceuom":"mile", "hourssun":"Please Call", "computers":"N", "cfl":"N", "regionalimageurl":null, "city":"Kanata", "singleuse":"Y", "fax":null, "country":"CA", "logourl":"http://www.call2recycle.org/notpress/where2getit/staples.png", "phone":"613-592-3538", "address2":null, "locationimageurl":null, "_distance":"5.32",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</si>
  <si>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"latitude":"45.307406755956", "url":"http://www.canadiantire.ca", "postalcode":"K2T 1B7", "province":"ON", "sustainabilityurl":null, "hoursmon":"8:00am-9:00pm", "longitude":"-75.9196711967659", "uid":-1050672914, "retailerlinkurl":null, "hourssat":"Please Call", "clientkey":"1561", "name":"Canadian Tire", "locationlinkurl":null, "address1":"8181 Campeau Dr", "icon":"preferred", "bho":null, "_distanceuom":"mile", "hourssun":"Please Call", "computers":"N", "cfl":"Y", "regionalimageurl":null, "city":"Kanata", "singleuse":"Y", "fax":null, "country":"CA", "logourl":"http://www.call2recycle.org/notpress/where2getit/canadiantire.png", "phone":"613-599-5105", "address2":null, "locationimageurl":null, "_distance":"5.34",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</si>
  <si>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"latitude":"45.3456195926914", "url":"http://www.thesource.ca", "postalcode":"K2G 4A1", "province":"ON", "sustainabilityurl":"http://www.thesource.ca/sitelets/jobs/environment.asp", "hoursmon":"Please Call", "longitude":"-75.7304456845579", "uid":1044141446, "retailerlinkurl":null, "hourssat":"Please Call", "clientkey":"788", "name":"The Source", "locationlinkurl":null, "address1":"1642 Merivale Rd",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"phone":"613-224-9648", "address2":null, "locationimageurl":null, "_distance":"5.55",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</si>
  <si>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"latitude":"45.3489677777778", "url":null, "postalcode":"K2G 5J8", "province":"ON", "sustainabilityurl":null, "hoursmon":"Please Call", "longitude":"-75.7324555555556", "uid":406327070, "retailerlinkurl":null, "hourssat":"Please Call", "clientkey":"168563", "name":"uBreakiFix", "locationlinkurl":null, "address1":"1600 Merivale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"phone":"613-422-8243", "address2":null, "locationimageurl":null, "_distance":"5.64",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</si>
  <si>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"latitude":"45.35091", "url":null, "postalcode":"K2G 4B5", "province":"ON", "sustainabilityurl":null, "hoursmon":"Please Call", "longitude":"-75.73358", "uid":400726454, "retailerlinkurl":null, "hourssat":"Please Call", "clientkey":"157988", "name":"ListenUp! Canada", "locationlinkurl":null, "address1":"1580 Merivale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"phone":"613-727-3132", "address2":null, "locationimageurl":null, "_distance":"5.70",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</si>
  <si>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"latitude":"45.35311", "url":null, "postalcode":"K2G 3J4", "province":"ON", "sustainabilityurl":null, "hoursmon":"Please Call", "longitude":"-75.73469", "uid":1616638467, "retailerlinkurl":null, "hourssat":"Please Call", "clientkey":"67954", "name":"Staples", "locationlinkurl":null, "address1":"1595A Merivale Rd",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"phone":"613-226-7989", "address2":null, "locationimageurl":null, "_distance":"5.78",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</si>
  <si>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"latitude":"45.3705308333333", "url":null, "postalcode":"K2A 1H2", "province":"ON", "sustainabilityurl":null, "hoursmon":"Please Call", "longitude":"-75.7700666666667", "uid":119637965, "retailerlinkurl":null, "hourssat":"Please Call", "clientkey":"41292", "name":"Sears (Canada)", "locationlinkurl":null, "address1":"2165 Carling Ave", "icon":"normal", "bho":null, "_distanceuom":"mile", "hourssun":"Please Call", "computers":"N", "cfl":"N", "regionalimageurl":null, "city":"Ottawa", "singleuse":"Y", "fax":null, "country":"CA", "logourl":"http://www.call2recycle.org/notpress/where2getit/sears.png", "phone":"613-729-2561", "address2":null, "locationimageurl":null, "_distance":"5.94",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</si>
  <si>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"latitude":"45.37061", "url":null, "postalcode":"K2A 1H1", "province":"ON", "sustainabilityurl":null, "hoursmon":"Please Call", "longitude":"-75.76937", "uid":1583818347, "retailerlinkurl":null, "hourssat":"Please Call", "clientkey":"150839", "name":"Staples", "locationlinkurl":null, "address1":"2148 Carling Ave",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"phone":"613-729-4585", "address2":null, "locationimageurl":null, "_distance":"5.96",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</si>
  <si>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"latitude":"45.3710585714286", "url":"http://www.thesource.ca", "postalcode":"K2A 1H2", "province":"ON", "sustainabilityurl":"http://www.thesource.ca/sitelets/jobs/environment.asp", "hoursmon":"Please Call", "longitude":"-75.7688328571429", "uid":1182173715, "retailerlinkurl":null, "hourssat":"Please Call", "clientkey":"726", "name":"The Source", "locationlinkurl":null, "address1":"2121 Carling Ave",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"phone":"613-722-6052", "address2":null, "locationimageurl":null, "_distance":"6.00",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</si>
  <si>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"latitude":"45.372818", "url":null, "postalcode":"K2A 1H2", "province":"ON", "sustainabilityurl":null, "hoursmon":"Please Call", "longitude":"-75.7679092", "uid":341261751, "retailerlinkurl":null, "hourssat":"Please Call", "clientkey":"159906", "name":"Best Buy", "locationlinkurl":null, "address1":"8-2121 Carling Avenue", "icon":"normal", "bho":null, "_distanceuom":"mile", "hourssun":"Please Call", "computers":"N", "cfl":"N", "regionalimageurl":null, "city":"Ottawa", "singleuse":"Y", "fax":null, "country":"CA", "logourl":"http://www.call2recycle.org/notpress/where2getit/bestbuy.png", "phone":"--", "address2":null, "locationimageurl":null, "_distance":"6.13",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</si>
  <si>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"hoursthurs":"9h à 21h", "state":null, "retailerimageurl":null, "hoursfri":"9h à 21h", "acceptedmaterialsurl":null, "latitude":"45.39552", "url":null, "postalcode":"J9H 6A6", "province":"QC", "sustainabilityurl":null, "hoursmon":"9h à 21h", "longitude":"-75.83552", "uid":112504680, "retailerlinkurl":null, "hourssat":"9h à 21h", "clientkey":"155069", "name":"Jean Coutu", "locationlinkurl":null, "address1":"181 rue Principale", "icon":"preferred", "bho":null, "_distanceuom":"mile", "hourssun":"9h à 21h", "computers":"N", "cfl":"N", "regionalimageurl":null, "city":"Aylmer", "singleuse":"Y", "fax":null, "country":"CA", "logourl":"http://www.call2recycle.org/notpress/where2getit/call2recycle.png", "phone":"819-684-0006", "address2":null, "locationimageurl":null, "_distance":"7.38",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</si>
  <si>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"hoursthurs":"10h à 21h", "state":null, "retailerimageurl":null, "hoursfri":"10h à 21h", "acceptedmaterialsurl":"http://www.thesource.ca/estore/tradeupandsave.aspx", "latitude":"45.39552", "url":"http://www.thesource.ca", "postalcode":"J9H 6A6", "province":"QC", "sustainabilityurl":"http://www.thesource.ca/sitelets/jobs/environment.asp", "hoursmon":"10h à 18h", "longitude":"-75.83552", "uid":947268765, "retailerlinkurl":null, "hourssat":"9h à 17h", "clientkey":"2545", "name":"La Source", "locationlinkurl":null, "address1":"181 Rue Principale Unit A-2", "icon":"preferred", "bho":null, "_distanceuom":"mile", "hourssun":"12h à 17h", "computers":"N", "cfl":"N", "regionalimageurl":null, "city":"Gatineau", "singleuse":"Y", "fax":null, "country":"CA", "logourl":"http://www.call2recycle.org/notpress/where2getit/thesource.png", "phone":"819-684-1359", "address2":null, "locationimageurl":null, "_distance":"7.38", "inktoner":"N", "nationalinkurl":null, "regionallinkurl":null, "cellphones":"Y", "hourstues":"10h à 18h", "consumerelectronics":"Y", "hourswed":"10h à 18h", "rank":"1"</t>
  </si>
  <si>
    <t xml:space="preserve">            "rechargeable": "Y", "nationalimageurl":null, "glasses":"N", "hoursthurs":"Please Call", "state":null, "retailerimageurl":null, "hoursfri":"Please Call", "acceptedmaterialsurl":null, "latitude":"45.3997827272727", "url":null, "postalcode":"K1Y 0X6", "province":"ON", "sustainabilityurl":null, "hoursmon":"Please Call", "longitude":"-75.7320581818182", "uid":400726477, "retailerlinkurl":null, "hourssat":"Please Call", "clientkey":"158014", "name":"ListenUp! Canada", "locationlinkurl":null, "address1":"118 Holland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"phone":"613-728-9170", "address2":null, "locationimageurl":null, "_distance":"8.54",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</si>
  <si>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"hoursthurs":"9:00 am - 9:00 pm", "state":null, "retailerimageurl":null, "hoursfri":"9:00 am - 9:00 pm", "acceptedmaterialsurl":null, "latitude":"45.4199387682437", "url":null, "postalcode":"J9J 1Z4", "province":"QC", "sustainabilityurl":null, "hoursmon":"9:00 am - 9:00 pm", "longitude":"-75.8095308031074", "uid":1009111095, "retailerlinkurl":null, "hourssat":"9:00 am - 9:00 pm", "clientkey":"163588", "name":"Jean Coutu", "locationlinkurl":null, "address1":"535 ch Vanier", "icon":"preferred", "bho":null, "_distanceuom":"mile", "hourssun":"9:00 am - 9:00 pm", "computers":"N", "cfl":"N", "regionalimageurl":null, "city":"Gatineau", "singleuse":"Y", "fax":null, "country":"CA", "logourl":"http://www.call2recycle.org/notpress/where2getit/call2recycle.png", "phone":"819-682-0670", "address2":null, "locationimageurl":null, "_distance":"8.99", "inktoner":"N", "nationalinkurl":null, "regionallinkurl":null, "cellphones":"Y", "hourstues":"9:00 am - 9:00 pm", "consumerelectronics":"N", "hourswed":"9:00 am - 9:00 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</si>
  <si>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"_distance":"9.01",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</si>
  <si>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"_distance":"9.01",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</si>
  <si>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"_distance":"9.03",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</si>
  <si>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"_distance":"9.12",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</si>
  <si>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"latitude":"45.386778716225", "url":"http://www.thesource.ca", "postalcode":"K1H 8K2", "province":"ON", "sustainabilityurl":"http://www.thesource.ca/sitelets/jobs/environment.asp", "hoursmon":"Please Call", "longitude":"-75.6796023225593", "uid":875341033, "retailerlinkurl":null, "hourssat":"Please Call", "clientkey":"733", "name":"The Source", "locationlinkurl":null, "address1":"2269 Riverside Dr.",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"phone":"613-737-1079", "address2":null, "locationimageurl":null, "_distance":"9.30",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</si>
  <si>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"latitude":"45.3996469", "url":"http://www.thesource.ca", "postalcode":"K1S 5J3", "province":"ON", "sustainabilityurl":"http://www.thesource.ca/sitelets/jobs/environment.asp", "hoursmon":"Please Call", "longitude":"-75.6837603", "uid":708492625, "retailerlinkurl":null, "hourssat":"Please Call", "clientkey":"161872", "name":"The Source", "locationlinkurl":null, "address1":"725 Exhibition Way", "icon":"normal", "bho":null, "_distanceuom":"mile", "hourssun":"Please Call", "computers":"N", "cfl":"N", "regionalimageurl":null, "city":"Ottawa", "singleuse":"Y", "fax":null, "country":"CA", "logourl":"http://www.call2recycle.org/notpress/where2getit/thesource.png", "phone":"613-565-4808", "address2":null, "locationimageurl":null, "_distance":"9.83",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</si>
  <si>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"acceptedmaterialsurl":"http://www.thesource.ca/estore/tradeupandsave.aspx", "latitude":"45.43336", "url":"http://www.thesource.ca", "postalcode":"J9A 3G1", "province":"QC", "sustainabilityurl":"http://www.thesource.ca/sitelets/jobs/environment.asp", "hoursmon":"Veuillez appeler le point de dépôt.", "longitude":"-75.78517", "uid":-209324509, "retailerlinkurl":null, "hourssat":"9h à 17h", "clientkey":"63299", "name":"La Source", "locationlinkurl":null, "address1":"45-b Boul Du Plateau",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"logourl":"http://www.call2recycle.org/notpress/where2getit/thesource.png", "phone":"819-772-4751", "address2":null, "locationimageurl":null, "_distance":"10.00", "inktoner":"N", "nationalinkurl":null, "regionallinkurl":null, "cellphones":"Y", "hourstues":"Veuillez appeler le point de dépôt.", "consumerelectronics":"Y", "hourswed":"Veuillez appeler le point de dépôt.", "rank":"1"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</si>
  <si>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"latitude":"45.433308", "url":"http://www.canadiantire.ca", "postalcode":"J9A 0C7", "province":"QC", "sustainabilityurl":null, "hoursmon":"8h à 21h", "longitude":"-75.779701", "uid":341261531, "retailerlinkurl":null, "hourssat":"8h à 17h", "clientkey":"2208", "name":"Canadian Tire", "locationlinkurl":null, "address1":"213 boul des Grives", "icon":"preferred", "bho":null, "_distanceuom":"mile", "hourssun":"9h à 17h", "computers":"N", "cfl":"Y", "regionalimageurl":null, "city":"Gatineau", "singleuse":"Y", "fax":null, "country":"CA", "logourl":"http://www.call2recycle.org/notpress/where2getit/canadiantire.png", "phone":"819-684-0660", "address2":null, "locationimageurl":null, "_distance":"10.04",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</si>
  <si>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"hoursthurs":"9h à 21h", "state":null, "retailerimageurl":null, "hoursfri":"9h à 21h", "acceptedmaterialsurl":null, "latitude":"45.4350193869702", "url":null, "postalcode":"J9A 0N4", "province":"QC", "sustainabilityurl":null, "hoursmon":"9h à 21h", "longitude":"-75.7807949680794", "uid":1986316455, "retailerlinkurl":null, "hourssat":"9h à 21h", "clientkey":"155109", "name":"Jean Coutu", "locationlinkurl":null, "address1":"205 Boulevard Du Plateau",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"phone":"819-771-4515", "address2":null, "locationimageurl":null, "_distance":"10.14",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</si>
  <si>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"latitude":"45.4109122222222", "url":null, "postalcode":"K2P 1Z2", "province":"ON", "sustainabilityurl":null, "hoursmon":"Please Call", "longitude":"-75.6928911111111", "uid":400726480, "retailerlinkurl":null, "hourssat":"Please Call", "clientkey":"158015", "name":"ListenUp! Canada", "locationlinkurl":null, "address1":"477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"phone":"613-238-6839", "address2":null, "locationimageurl":null, "_distance":"10.18",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</si>
  <si>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"hoursthurs":"8h à 21h", "state":null, "retailerimageurl":null, "hoursfri":"Veuillez appeler le point de dépôt.", "acceptedmaterialsurl":"http://www.rona.ca/corporate/social-engagement", "latitude":"45.4357610482227", "url":"http://www.rona.ca", "postalcode":"J9A 3G1", "province":"QC", "sustainabilityurl":"http://www.rona.ca/corporate/corporate-responsibility", "hoursmon":"8h à 21h", "longitude":"-75.7778724318387", "uid":1182183432, "retailerlinkurl":null, "hourssat":"8h à 17h", "clientkey":"121792", "name":"RONA", "locationlinkurl":null, "address1":"165 Boulevard Du Plateau",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"phone":"819-776-3400", "address2":null, "locationimageurl":null, "_distance":"10.22",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</si>
  <si>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"latitude":"45.4130966666667", "url":null, "postalcode":"K2P 1Y6", "province":"ON", "sustainabilityurl":null, "hoursmon":"Please Call", "longitude":"-75.6944033333333", "uid":1002575604, "retailerlinkurl":null, "hourssat":"Please Call", "clientkey":"67974", "name":"Staples", "locationlinkurl":null, "address1":"403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"phone":"613-235-2525", "address2":null, "locationimageurl":null, "_distance":"10.27",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</si>
  <si>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"hoursthurs":"8h à 21h", "state":null, "retailerimageurl":null, "hoursfri":"8h à 21h", "acceptedmaterialsurl":null, "latitude":"45.4360653869305", "url":null, "postalcode":"J9A 3G1", "province":"QC", "sustainabilityurl":null, "hoursmon":"8h à 21h", "longitude":"-75.7730653768985", "uid":1524026992, "retailerlinkurl":null, "hourssat":"9h à 17h", "clientkey":"67912", "name":"Bureau en Gros", "locationlinkurl":null, "address1":"55 Boul Du Plateau", "icon":"preferred", "bho":null, "_distanceuom":"mile", "hourssun":"10h à 17h", "computers":"N", "cfl":"N", "regionalimageurl":null, "city":"Gatineau", "singleuse":"Y", "fax":null, "country":"CA", "logourl":"http://www.call2recycle.org/notpress/where2getit/staples.png", "phone":"819-770-2332", "address2":null, "locationimageurl":null, "_distance":"10.28",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</si>
  <si>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"latitude":"45.4158166666667", "url":null, "postalcode":"K2P 1X5", "province":"ON", "sustainabilityurl":null, "hoursmon":"Please Call", "longitude":"-75.6967733333333", "uid":-1980238968, "retailerlinkurl":null, "hourssat":"Please Call", "clientkey":"75373", "name":"Henrys", "locationlinkurl":null, "address1":"267 Bank St",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"phone":"613-232-5368", "address2":null, "locationimageurl":null, "_distance":"10.36", "inktoner":"N", "nationalinkurl":null, "regionallinkurl":null, "cellphones":"Y", "hourstues":"Please Call", "consumerelectronics":"N", "hourswed":"Please Call", "rank":"1"</t>
  </si>
  <si>
    <t xml:space="preserve">    "code": 1</t>
  </si>
  <si>
    <t xml:space="preserve">        "collectionname":"poi",</t>
  </si>
  <si>
    <t xml:space="preserve">        "collectioncount":17,</t>
  </si>
  <si>
    <t xml:space="preserve">        "activeobject":"",</t>
  </si>
  <si>
    <t xml:space="preserve">        "collection":[ {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</si>
  <si>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"_distance":"6.69",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</si>
  <si>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</si>
  <si>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"latitude":"45.2240975", "url":null, "postalcode":"K4M 1A8", "province":"ON", "sustainabilityurl":null, "hoursmon":"Please Call", "longitude":"-75.68488125", "uid":159003776, "retailerlinkurl":null, "hourssat":"Please Call", "clientkey":"29318", "name":"Manotick Home Hardware", "locationlinkurl":null, "address1":"1166 Beaverwood Rd (PO Box 970)", "icon":"preferred", "bho":null, "_distanceuom":"mile", "hourssun":"Please Call", "computers":"N", "cfl":"N", "regionalimageurl":null, "city":"Manotick", "singleuse":"Y", "fax":null, "country":"CA", "logourl":"http://www.call2recycle.org/notpress/where2getit/call2recycle.png", "phone":"613-692-3591", "address2":null, "locationimageurl":null, "_distance":"10.02",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</si>
  <si>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"_distance":"10.21",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</si>
  <si>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"latitude":"45.1045758467051", "url":null, "postalcode":"K0C 2K0", "province":"ON", "sustainabilityurl":null, "hoursmon":"Please Call", "longitude":"-75.3214423553231", "uid":1414108904, "retailerlinkurl":null, "hourssat":"Please Call", "clientkey":"147082", "name":"Township of North Dundas", "locationlinkurl":null, "address1":"12620 Boyne Rd", "icon":"normal", "bho":null, "_distanceuom":"mile", "hourssun":"Please Call", "computers":"N", "cfl":"N", "regionalimageurl":null, "city":"Winchester", "singleuse":"Y", "fax":null, "country":"CA", "logourl":"http://www.call2recycle.org/notpress/where2getit/call2recycle.png", "phone":"613-774-5157", "address2":null, "locationimageurl":null, "_distance":"10.23",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</si>
  <si>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"_distance":"13.36",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</si>
  <si>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"latitude":"45.27069125", "url":null, "postalcode":"K2J 5G5", "province":"ON", "sustainabilityurl":null, "hoursmon":"Please Call", "longitude":"-75.7408525", "uid":-2116053867, "retailerlinkurl":null, "hourssat":"Please Call", "clientkey":"68079", "name":"Staples", "locationlinkurl":null, "address1":"101 Marketplace Ave", "icon":"preferred", "bho":null, "_distanceuom":"mile", "hourssun":"Please Call", "computers":"N", "cfl":"N", "regionalimageurl":null, "city":"Nepean", "singleuse":"Y", "fax":null, "country":"CA", "logourl":"http://www.call2recycle.org/notpress/where2getit/staples.png", "phone":"613-825-0457", "address2":null, "locationimageurl":null, "_distance":"13.51",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</si>
  <si>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"latitude":"45.27028", "url":"http://www.thesource.ca", "postalcode":"K2J 5G5", "province":"ON", "sustainabilityurl":"http://www.thesource.ca/sitelets/jobs/environment.asp", "hoursmon":"Please Call", "longitude":"-75.74192", "uid":-270871333, "retailerlinkurl":null, "hourssat":"Please Call", "clientkey":"85514", "name":"The Source", "locationlinkurl":null, "address1":"81 Riocan Ave",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"phone":"613-823-1995", "address2":null, "locationimageurl":null, "_distance":"13.55",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</si>
  <si>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"_distance":"13.71",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</si>
  <si>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"_distance":"13.71",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</si>
  <si>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"latitude":"45.27155", "url":"http://www.canadiantire.ca", "postalcode":"K2J 4Y6", "province":"ON", "sustainabilityurl":null, "hoursmon":"8:00am-9:00pm", "longitude":"-75.74702", "uid":-451185972, "retailerlinkurl":null, "hourssat":"Please Call", "clientkey":"163961", "name":"Canadian Tire", "locationlinkurl":null, "address1":"2501 Greenbank Rd", "icon":"preferred", "bho":null, "_distanceuom":"mile", "hourssun":"Please Call", "computers":"N", "cfl":"Y", "regionalimageurl":null, "city":"Nepean", "singleuse":"Y", "fax":null, "country":"CA", "logourl":"http://www.call2recycle.org/notpress/where2getit/canadiantire.png", "phone":"613-823-5278", "address2":null, "locationimageurl":null, "_distance":"13.81",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</si>
  <si>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"latitude":"45.0301839", "url":null, "postalcode":"K0G 1J0", "province":"ON", "sustainabilityurl":null, "hoursmon":"Please Call", "longitude":"-75.6314132", "uid":1618865795, "retailerlinkurl":null, "hourssat":"Please Call", "clientkey":"134401", "name":"Staples", "locationlinkurl":null, "address1":"302 Colonnade Dr", "icon":"preferred", "bho":null, "_distanceuom":"mile", "hourssun":"Please Call", "computers":"N", "cfl":"N", "regionalimageurl":null, "city":"Kemptville", "singleuse":"Y", "fax":null, "country":"CA", "logourl":"http://www.call2recycle.org/notpress/where2getit/staples.png", "phone":"613-258-5900", "address2":null, "locationimageurl":null, "_distance":"13.82",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</si>
  <si>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"latitude":"45.2686323504802", "url":null, "postalcode":"K2J 5M4", "province":"ON", "sustainabilityurl":null, "hoursmon":"Please Call", "longitude":"-75.7511639463902", "uid":-1675423248, "retailerlinkurl":null, "hourssat":"Please Call", "clientkey":"75909", "name":"Home Depot", "locationlinkurl":null, "address1":"3779 Strandherd Dr", "icon":"preferred", "bho":null, "_distanceuom":"mile", "hourssun":"Please Call", "computers":"N", "cfl":"N", "regionalimageurl":null, "city":"Nepean", "singleuse":"Y", "fax":null, "country":"CA", "logourl":"http://www.call2recycle.org/notpress/where2getit/homedepot.png", "phone":"613-843-7900", "address2":null, "locationimageurl":null, "_distance":"13.93",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</si>
  <si>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"latitude":"45.2686415669868", "url":null, "postalcode":"K2J 4B1", "province":"ON", "sustainabilityurl":null, "hoursmon":"Please Call", "longitude":"-75.7511392975935", "uid":602206728, "retailerlinkurl":null, "hourssat":"Please Call", "clientkey":"150388", "name":"Best Buy Canada", "locationlinkurl":null, "address1":"3777 Strandherd Dr", "icon":"normal", "bho":null, "_distanceuom":"mile", "hourssun":"Please Call", "computers":"N", "cfl":"N", "regionalimageurl":null, "city":"Nepean", "singleuse":"Y", "fax":null, "country":"CA", "logourl":"http://www.call2recycle.org/notpress/where2getit/bestbuy.png", "phone":"613-843-5625", "address2":null, "locationimageurl":null, "_distance":"13.93",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</si>
  <si>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"latitude":"45.3843547110849", "url":null, "postalcode":"K1G 6L3", "province":"ON", "sustainabilityurl":null, "hoursmon":"Please Call", "longitude":"-75.6101776002356", "uid":677051361, "retailerlinkurl":null, "hourssat":"Please Call", "clientkey":"169704", "name":"Princess Auto", "locationlinkurl":null, "address1":"1111 Ages Dr", "icon":"preferred", "bho":null, "_distanceuom":"mile", "hourssun":"Please Call", "computers":"N", "cfl":"N", "regionalimageurl":null, "city":"Ottawa", "singleuse":"Y", "fax":null, "country":"CA", "logourl":"http://www.call2recycle.org/notpress/where2getit/PrincessAuto_150x150.png", "phone":"613-247-1657", "address2":null, "locationimageurl":null, "_distance":"14.18",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</si>
  <si>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"_distance":"14.19",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</si>
  <si>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"_distance":"14.27", "inktoner":"N", "nationalinkurl":null, "regionallinkurl":null, "cellphones":"Y", "hourstues":"Please Call", "consumerelectronics":"N", "hourswed":"Please Call", "rank":"0"</t>
  </si>
  <si>
    <t xml:space="preserve">        "collectioncount":5,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</si>
  <si>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"_distance":"7.59",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</si>
  <si>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"_distance":"7.64",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</si>
  <si>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"_distance":"9.09",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</si>
  <si>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"_distance":"13.66",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</si>
  <si>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"_distance":"14.09", "inktoner":"N", "nationalinkurl":null, "regionallinkurl":null, "cellphones":"Y", "hourstues":"Please Call", "consumerelectronics":"N", "hourswed":"Please Call", "rank":"1"</t>
  </si>
  <si>
    <t xml:space="preserve">        "collectioncount":6,</t>
  </si>
  <si>
    <t xml:space="preserve">            "rechargeable": "Y", "nationalimageurl":null, "glasses":"N", "hoursthurs":"Please Call", "state":null, "retailerimageurl":null, "hoursfri":"Please Call", "acceptedmaterialsurl":null, "latitude":"44.6217044", "url":null, "postalcode":"K6T 1A8", "province":"ON", "sustainabilityurl":null, "hoursmon":"Please Call", "longitude":"-75.7652559", "uid":823804128, "retailerlinkurl":null, "hourssat":"Please Call", "clientkey":"23803", "name":"Christie and Walther", "locationlinkurl":null, "address1":"4504 South Ave Unit 17", "icon":"preferred", "bho":null, "_distanceuom":"mile", "hourssun":"Please Call", "computers":"N", "cfl":"N", "regionalimageurl":null, "city":"Elizabethtown", "singleuse":"Y", "fax":null, "country":"CA", "logourl":"http://www.call2recycle.org/notpress/where2getit/call2recycle.png", "phone":"613-342-6005", "address2":null, "locationimageurl":null, "_distance":"9.28",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</si>
  <si>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"latitude":"44.6032662", "url":"http://www.rona.ca", "postalcode":"K6V 7H2", "province":"ON", "sustainabilityurl":"http://www.rona.ca/corporate/corporate-responsibility", "hoursmon":"Please Call", "longitude":"-75.7139239", "uid":45496955, "retailerlinkurl":null, "hourssat":"Please Call", "clientkey":"125511", "name":"RONA", "locationlinkurl":null, "address1":"550 Boulevard Stewart", "icon":"preferred", "bho":null, "_distanceuom":"mile", "hourssun":"Please Call", "computers":"N", "cfl":"Y", "regionalimageurl":null, "city":"Brockville", "singleuse":"Y", "fax":null, "country":"CA", "logourl":"http://www.call2recycle.org/notpress/where2getit/rona.png", "phone":"613-342-8714", "address2":null, "locationimageurl":null, "_distance":"12.07",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</si>
  <si>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"latitude":"44.60479", "url":"http://www.thesource.ca", "postalcode":"K6V 3G9", "province":"ON", "sustainabilityurl":"http://www.thesource.ca/sitelets/jobs/environment.asp", "hoursmon":"Please Call", "longitude":"-75.69913", "uid":821563769, "retailerlinkurl":null, "hourssat":"Please Call", "clientkey":"514", "name":"The Source", "locationlinkurl":null, "address1":"2399 Parkedale Ave", "icon":"normal", "bho":null, "_distanceuom":"mile", "hourssun":"Please Call", "computers":"N", "cfl":"N", "regionalimageurl":null, "city":"Brockville", "singleuse":"Y", "fax":null, "country":"CA", "logourl":"http://www.call2recycle.org/notpress/where2getit/thesource.png", "phone":"613-342-8298", "address2":null, "locationimageurl":null, "_distance":"12.73",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</si>
  <si>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"latitude":"44.6040935", "url":null, "postalcode":"K6V 3G9", "province":"ON", "sustainabilityurl":null, "hoursmon":"Please Call", "longitude":"-75.6989553", "uid":1617757542, "retailerlinkurl":null, "hourssat":"Please Call", "clientkey":"95084", "name":"Staples", "locationlinkurl":null, "address1":"1000 Island Mall", "icon":"preferred", "bho":null, "_distanceuom":"mile", "hourssun":"Please Call", "computers":"N", "cfl":"N", "regionalimageurl":null, "city":"Brockville", "singleuse":"Y", "fax":null, "country":"CA", "logourl":"http://www.call2recycle.org/notpress/where2getit/staples.png", "phone":"613-498-2616", "address2":null, "locationimageurl":null, "_distance":"12.75",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</si>
  <si>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"latitude":"44.6107622222222", "url":null, "postalcode":"K6V 5T2", "province":"ON", "sustainabilityurl":null, "hoursmon":"Please Call", "longitude":"-75.690042962963", "uid":-511708424, "retailerlinkurl":null, "hourssat":"Please Call", "clientkey":"94840", "name":"Home Depot", "locationlinkurl":null, "address1":"2120 Parkdale Ave", "icon":"preferred", "bho":null, "_distanceuom":"mile", "hourssun":"Please Call", "computers":"N", "cfl":"N", "regionalimageurl":null, "city":"Brockville", "singleuse":"Y", "fax":null, "country":"CA", "logourl":"http://www.call2recycle.org/notpress/where2getit/homedepot.png", "phone":"613-498-9600", "address2":null, "locationimageurl":null, "_distance":"13.05",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</si>
  <si>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"latitude":"44.59284", "url":null, "postalcode":"K6V 4V5", "province":"ON", "sustainabilityurl":null, "hoursmon":"Please Call", "longitude":"-75.68881", "uid":502592046, "retailerlinkurl":null, "hourssat":"Please Call", "clientkey":"158012", "name":"ListenUp! Canada", "locationlinkurl":null, "address1":"68 William St", "icon":"normal", "bho":null, "_distanceuom":"mile", "hourssun":"Please Call", "computers":"N", "cfl":"N", "regionalimageurl":null, "city":"Brockville", "singleuse":"Y", "fax":null, "country":"CA", "logourl":"http://www.call2recycle.org/notpress/where2getit/call2recycle.png", "phone":"613-342-7821", "address2":null, "locationimageurl":null, "_distance":"13.47", "inktoner":"N", "nationalinkurl":null, "regionallinkurl":null, "cellphones":"Y", "hourstues":"Please Call", "consumerelectronics":"N", "hourswed":"Please Call", "rank":"0"</t>
  </si>
  <si>
    <t xml:space="preserve">        "collectioncount":15,</t>
  </si>
  <si>
    <t xml:space="preserve">            "rechargeable": "Y", "nationalimageurl":null, "glasses":"N", "hoursthurs":"Please Call", "state":null, "retailerimageurl":null, "hoursfri":"Please Call", "acceptedmaterialsurl":null, "latitude":"44.2641926530612", "url":null, "postalcode":"K7K 6Z4", "province":"ON", "sustainabilityurl":null, "hoursmon":"Please Call", "longitude":"-76.5095706122449", "uid":-885553436, "retailerlinkurl":null, "hourssat":"Please Call", "clientkey":"161388", "name":"Kingston Area Recycling Centre", "locationlinkurl":null, "address1":"196 Lappans Lane",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"phone":"613-546-4291", "address2":null, "locationimageurl":null, "_distance":"11.85",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</si>
  <si>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"latitude":"44.2742812222652", "url":null, "postalcode":"K7P 2T4", "province":"ON", "sustainabilityurl":null, "hoursmon":"Please Call", "longitude":"-76.5654773740755", "uid":717072692, "retailerlinkurl":null, "hourssat":"Please Call", "clientkey":"75426", "name":"Christie and Walther", "locationlinkurl":null, "address1":"719 Fortune Cres",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"phone":"613-634-3636", "address2":null, "locationimageurl":null, "_distance":"12.82",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</si>
  <si>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"latitude":"44.2581559259259", "url":"http://www.rona.ca", "postalcode":"K7M 3G4", "province":"ON", "sustainabilityurl":"http://www.rona.ca/corporate/corporate-responsibility", "hoursmon":"Please Call", "longitude":"-76.5518459259259", "uid":1182194036, "retailerlinkurl":null, "hourssat":"Please Call", "clientkey":"121748", "name":"RONA", "locationlinkurl":null, "address1":"2342 Princess St", "icon":"preferred", "bho":null, "_distanceuom":"mile", "hourssun":"Please Call", "computers":"N", "cfl":"Y", "regionalimageurl":null, "city":"Kingston", "singleuse":"Y", "fax":null, "country":"CA", "logourl":"http://www.call2recycle.org/notpress/where2getit/rona.png", "phone":"613-531-6225", "address2":null, "locationimageurl":null, "_distance":"13.29",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</si>
  <si>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"latitude":"44.2617269559147", "url":null, "postalcode":"K7P 2S5", "province":"ON", "sustainabilityurl":null, "hoursmon":"Please Call", "longitude":"-76.559581905584", "uid":677051369, "retailerlinkurl":null, "hourssat":"Please Call", "clientkey":"169739", "name":"Princess Auto", "locationlinkurl":null, "address1":"1016 Centennial Dr", "icon":"normal", "bho":null, "_distanceuom":"mile", "hourssun":"Please Call", "computers":"N", "cfl":"N", "regionalimageurl":null, "city":"Kingston", "singleuse":"Y", "fax":null, "country":"CA", "logourl":"http://www.call2recycle.org/notpress/where2getit/PrincessAuto_150x150.png", "phone":"613-530-3790", "address2":null, "locationimageurl":null, "_distance":"13.31",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</si>
  <si>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"latitude":"44.23259", "url":null, "postalcode":"K7K 1A5", "province":"ON", "sustainabilityurl":null, "hoursmon":"Please Call", "longitude":"-76.4832707142857", "uid":1620024613, "retailerlinkurl":null, "hourssat":"Please Call", "clientkey":"68067", "name":"Staples", "locationlinkurl":null, "address1":"105 Queen St", "icon":"preferred", "bho":null, "_distanceuom":"mile", "hourssun":"Please Call", "computers":"N", "cfl":"N", "regionalimageurl":null, "city":"Kingston", "singleuse":"Y", "fax":null, "country":"CA", "logourl":"http://www.call2recycle.org/notpress/where2getit/staples.png", "phone":"613-542-3585", "address2":null, "locationimageurl":null, "_distance":"13.36",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</si>
  <si>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"latitude":"44.337385", "url":"http://www.canadiantire.ca", "postalcode":"K7G 1H4", "province":"ON", "sustainabilityurl":null, "hoursmon":"8:00am-9:00pm", "longitude":"-76.1504239285714", "uid":1182179187, "retailerlinkurl":null, "hourssat":"Please Call", "clientkey":"1505", "name":"Canadian Tire", "locationlinkurl":null, "address1":"705 King St E", "icon":"preferred", "bho":null, "_distanceuom":"mile", "hourssun":"Please Call", "computers":"N", "cfl":"Y", "regionalimageurl":null, "city":"Gananoque", "singleuse":"Y", "fax":null, "country":"CA", "logourl":"http://www.call2recycle.org/notpress/where2getit/canadiantire.png", "phone":"613-382-3729", "address2":null, "locationimageurl":null, "_distance":"13.39",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</si>
  <si>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"latitude":"44.230993125", "url":null, "postalcode":"K7L 2N7", "province":"ON", "sustainabilityurl":null, "hoursmon":"Please Call", "longitude":"-76.485105", "uid":400726485, "retailerlinkurl":null, "hourssat":"Please Call", "clientkey":"158017", "name":"ListenUp! Canada", "locationlinkurl":null, "address1":"149 Brock St",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"phone":"613-546-2250", "address2":null, "locationimageurl":null, "_distance":"13.49",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</si>
  <si>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"latitude":"44.261456779661", "url":null, "postalcode":"K7P 0G1", "province":"ON", "sustainabilityurl":null, "hoursmon":"Please Call", "longitude":"-76.5688013559322", "uid":1182177926, "retailerlinkurl":null, "hourssat":"Please Call", "clientkey":"135460", "name":"Lowes", "locationlinkurl":null, "address1":"1035 Gardiners Rd", "icon":"preferred", "bho":null, "_distanceuom":"mile", "hourssun":"Please Call", "computers":"N", "cfl":"N", "regionalimageurl":null, "city":"Kingston", "singleuse":"Y", "fax":null, "country":"CA", "logourl":"http://www.call2recycle.org/notpress/where2getit/lowes.png", "phone":"613-634-5410", "address2":null, "locationimageurl":null, "_distance":"13.61",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</si>
  <si>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"latitude":"44.25836", "url":null, "postalcode":"K7P 0G3", "province":"ON", "sustainabilityurl":null, "hoursmon":"Please Call", "longitude":"-76.56869", "uid":540400462, "retailerlinkurl":null, "hourssat":"Please Call", "clientkey":"161202", "name":"Fastenal", "locationlinkurl":null, "address1":"101-1225 Gardiners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"phone":"613-389-3968", "address2":null, "locationimageurl":null, "_distance":"13.77",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</si>
  <si>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"latitude":"44.2564347058824", "url":"http://www.thesource.ca", "postalcode":"K7M 7H4", "province":"ON", "sustainabilityurl":"http://www.thesource.ca/sitelets/jobs/environment.asp", "hoursmon":"Please Call", "longitude":"-76.5687373529412", "uid":839391491, "retailerlinkurl":null, "hourssat":"Please Call", "clientkey":"560", "name":"The Source", "locationlinkurl":null, "address1":"945 Gardiners Rd Unit L-044", "icon":"normal", "bho":null, "_distanceuom":"mile", "hourssun":"Please Call", "computers":"N", "cfl":"N", "regionalimageurl":null, "city":"Kingston", "singleuse":"Y", "fax":null, "country":"CA", "logourl":"http://www.call2recycle.org/notpress/where2getit/thesource.png", "phone":"613-389-8201", "address2":null, "locationimageurl":null, "_distance":"13.88",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</si>
  <si>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"latitude":"44.23799", "url":null, "postalcode":"K7M 4X4", "province":"ON", "sustainabilityurl":null, "hoursmon":"Please Call", "longitude":"-76.54389", "uid":-328628634, "retailerlinkurl":null, "hourssat":"Please Call", "clientkey":"164253", "name":"Hock Shop Canada", "locationlinkurl":null, "address1":"1300 Bath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"phone":"613-766-1577", "address2":null, "locationimageurl":null, "_distance":"14.25",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</si>
  <si>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"latitude":"44.2509278198464", "url":null, "postalcode":"K7P 2N7", "province":"ON", "sustainabilityurl":null, "hoursmon":"Please Call", "longitude":"-76.5710049038168", "uid":400726487, "retailerlinkurl":null, "hourssat":"Please Call", "clientkey":"158018", "name":"ListenUp! Canada", "locationlinkurl":null, "address1":"770 Blackburn Mews", "icon":"preferred", "bho":null, "_distanceuom":"mile", "hourssun":"Please Call", "computers":"N", "cfl":"N", "regionalimageurl":null, "city":"Kingston", "singleuse":"Y", "fax":null, "country":"CA", "logourl":"http://www.call2recycle.org/notpress/where2getit/call2recycle.png", "phone":"613-634-0304", "address2":null, "locationimageurl":null, "_distance":"14.25",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</si>
  <si>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"latitude":"44.2426689227649", "url":null, "postalcode":"K7M 9B8", "province":"ON", "sustainabilityurl":null, "hoursmon":"Please Call", "longitude":"-76.5678108991268", "uid":1641920065, "retailerlinkurl":null, "hourssat":"Please Call", "clientkey":"68068", "name":"Staples", "locationlinkurl":null, "address1":"616 Gardiners Rd", "icon":"preferred", "bho":null, "_distanceuom":"mile", "hourssun":"Please Call", "computers":"N", "cfl":"N", "regionalimageurl":null, "city":"Kingston", "singleuse":"Y", "fax":null, "country":"CA", "logourl":"http://www.call2recycle.org/notpress/where2getit/staples.png", "phone":"613-634-2112", "address2":null, "locationimageurl":null, "_distance":"14.62",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</si>
  <si>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"latitude":"44.2421917434511", "url":null, "postalcode":"K7M 3X9", "province":"ON", "sustainabilityurl":null, "hoursmon":"Please Call", "longitude":"-76.5677826218341", "uid":1182199389, "retailerlinkurl":null, "hourssat":"Please Call", "clientkey":"43542", "name":"Home Depot", "locationlinkurl":null, "address1":"606 Gardiners Rd", "icon":"preferred", "bho":null, "_distanceuom":"mile", "hourssun":"Please Call", "computers":"N", "cfl":"N", "regionalimageurl":null, "city":"Kingston", "singleuse":"Y", "fax":null, "country":"CA", "logourl":"http://www.call2recycle.org/notpress/where2getit/homedepot.png", "phone":"613-384-3511", "address2":null, "locationimageurl":null, "_distance":"14.65",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</si>
  <si>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"latitude":"44.2416552182819", "url":null, "postalcode":"K7M 4W7", "province":"ON", "sustainabilityurl":null, "hoursmon":"Please Call", "longitude":"-76.5713681266807", "uid":557016331, "retailerlinkurl":null, "hourssat":"Please Call", "clientkey":"140322", "name":"United Rentals", "locationlinkurl":null, "address1":"710 Development Dr",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"phone":"613-389-5211", "address2":null, "locationimageurl":null, "_distance":"14.78", "inktoner":"N", "nationalinkurl":null, "regionallinkurl":null, "cellphones":"Y", "hourstues":"Please Call", "consumerelectronics":"N", "hourswed":"Please Call", "rank":"0"</t>
  </si>
  <si>
    <t xml:space="preserve">        "collectioncount":7,</t>
  </si>
  <si>
    <t xml:space="preserve">            "rechargeable": "Y", "nationalimageurl":null, "glasses":"N", "hoursthurs":"Please Call", "state":null, "retailerimageurl":null, "hoursfri":"Please Call", "acceptedmaterialsurl":null, "latitude":"44.24091", "url":null, "postalcode":"K7R 3V3", "province":"ON", "sustainabilityurl":null, "hoursmon":"Please Call", "longitude":"-76.96616", "uid":400726488, "retailerlinkurl":null, "hourssat":"Please Call", "clientkey":"158019", "name":"ListenUp! Canada", "locationlinkurl":null, "address1":"307A Bridge St W", "icon":"normal", "bho":null, "_distanceuom":"mile", "hourssun":"Please Call", "computers":"N", "cfl":"N", "regionalimageurl":null, "city":"Napanee", "singleuse":"Y", "fax":null, "country":"CA", "logourl":"http://www.call2recycle.org/notpress/where2getit/call2recycle.png", "phone":"613-354-7000", "address2":null, "locationimageurl":null, "_distance":"7.04",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</si>
  <si>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"latitude":"44.2594669387755", "url":"http://www.thesource.ca", "postalcode":"K7R 3L2", "province":"ON", "sustainabilityurl":"http://www.thesource.ca/sitelets/jobs/environment.asp", "hoursmon":"Please Call", "longitude":"-76.9696418367347", "uid":1846587724, "retailerlinkurl":null, "hourssat":"Please Call", "clientkey":"104804", "name":"The Source", "locationlinkurl":null, "address1":"89D Jim Kimmett Blvd Units 3/4", "icon":"normal", "bho":null, "_distanceuom":"mile", "hourssun":"Please Call", "computers":"N", "cfl":"N", "regionalimageurl":null, "city":"Napanee", "singleuse":"Y", "fax":null, "country":"CA", "logourl":"http://www.call2recycle.org/notpress/where2getit/thesource.png", "phone":"613-354-6366", "address2":null, "locationimageurl":null, "_distance":"7.22",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</si>
  <si>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"latitude":"44.2076483867091", "url":null, "postalcode":"K8N 4Z5", "province":"ON", "sustainabilityurl":null, "hoursmon":"Please Call", "longitude":"-77.3954193747183", "uid":1502209940, "retailerlinkurl":null, "hourssat":"Please Call", "clientkey":"148151", "name":"Foxboro Fasteners", "locationlinkurl":null, "address1":"407 Farnham Road", "icon":"normal", "bho":null, "_distanceuom":"mile", "hourssun":"Please Call", "computers":"N", "cfl":"N", "regionalimageurl":null, "city":"Belleville", "singleuse":"Y", "fax":null, "country":"CA", "logourl":"http://www.call2recycle.org/notpress/where2getit/call2recycle.png", "phone":"613-969-1933", "address2":null, "locationimageurl":null, "_distance":"14.37",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</si>
  <si>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"latitude":"44.1844877777778", "url":null, "postalcode":"K8P 3C3", "province":"ON", "sustainabilityurl":null, "hoursmon":"Please Call", "longitude":"-77.3944644444445", "uid":1064589726, "retailerlinkurl":null, "hourssat":"Please Call", "clientkey":"112461", "name":"Pharmasave", "locationlinkurl":null, "address1":"305 North Front St Unit 13", "icon":"preferred", "bho":null, "_distanceuom":"mile", "hourssun":"Please Call", "computers":"N", "cfl":"N", "regionalimageurl":null, "city":"Belleville", "singleuse":"Y", "fax":null, "country":"CA", "logourl":"http://www.call2recycle.org/notpress/where2getit/call2recycle.png", "phone":"613-962-4576", "address2":null, "locationimageurl":null, "_distance":"14.52",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</si>
  <si>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"_distance":"14.67",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</si>
  <si>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"latitude":"44.1957464158726", "url":null, "postalcode":"K8N 4Z5", "province":"ON", "sustainabilityurl":null, "hoursmon":"Please Call", "longitude":"-77.400609762801", "uid":1182183405, "retailerlinkurl":null, "hourssat":"Please Call", "clientkey":"116687", "name":"Lowes", "locationlinkurl":null, "address1":"219 Millennium Pky", "icon":"preferred", "bho":null, "_distanceuom":"mile", "hourssun":"Please Call", "computers":"N", "cfl":"N", "regionalimageurl":null, "city":"Belleville", "singleuse":"Y", "fax":null, "country":"CA", "logourl":"http://www.call2recycle.org/notpress/where2getit/lowes.png", "phone":"613-771-2945", "address2":null, "locationimageurl":null, "_distance":"14.71",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</si>
  <si>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"latitude":"44.18638", "url":null, "postalcode":"K8P 5L2", "province":"ON", "sustainabilityurl":null, "hoursmon":"Please Call", "longitude":"-77.4044", "uid":1878910180, "retailerlinkurl":null, "hourssat":"Please Call", "clientkey":"68042", "name":"Staples", "locationlinkurl":null, "address1":"190 Bell Blvd", "icon":"preferred", "bho":null, "_distanceuom":"mile", "hourssun":"Please Call", "computers":"N", "cfl":"N", "regionalimageurl":null, "city":"Belleville", "singleuse":"Y", "fax":null, "country":"CA", "logourl":"http://www.call2recycle.org/notpress/where2getit/staples.png", "phone":"613-961-7399", "address2":null, "locationimageurl":null, "_distance":"14.99", "inktoner":"N", "nationalinkurl":null, "regionallinkurl":null, "cellphones":"Y", "hourstues":"Please Call", "consumerelectronics":"N", "hourswed":"Please Call", "rank":"1"</t>
  </si>
  <si>
    <t xml:space="preserve">        "collectioncount":4,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</si>
  <si>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"latitude":"44.13611", "url":"http://www.rona.ca", "postalcode":"K8V 5W6", "province":"ON", "sustainabilityurl":"http://www.rona.ca/corporate/corporate-responsibility", "hoursmon":"Please Call", "longitude":"-77.58462", "uid":791543757, "retailerlinkurl":null, "hourssat":"Please Call", "clientkey":"68497", "name":"RONA", "locationlinkurl":null, "address1":"234 Glen Miller Rd", "icon":"preferred", "bho":null, "_distanceuom":"mile", "hourssun":"Please Call", "computers":"N", "cfl":"Y", "regionalimageurl":null, "city":"Trenton", "singleuse":"Y", "fax":null, "country":"CA", "logourl":"http://www.call2recycle.org/notpress/where2getit/rona.png", "phone":"613-394-3351", "address2":null, "locationimageurl":null, "_distance":"6.96",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</si>
  <si>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"latitude":"44.104645", "url":"http://www.thesource.ca", "postalcode":"K8V 5Z9", "province":"ON", "sustainabilityurl":"http://www.thesource.ca/sitelets/jobs/environment.asp", "hoursmon":"Please Call", "longitude":"-77.55904375", "uid":1182194626, "retailerlinkurl":null, "hourssat":"Please Call", "clientkey":"675", "name":"The Source", "locationlinkurl":null, "address1":"260 Dundas St E", "icon":"normal", "bho":null, "_distanceuom":"mile", "hourssun":"Please Call", "computers":"N", "cfl":"N", "regionalimageurl":null, "city":"Trenton", "singleuse":"Y", "fax":null, "country":"CA", "logourl":"http://www.call2recycle.org/notpress/where2getit/thesource.png", "phone":"613-394-4253", "address2":null, "locationimageurl":null, "_distance":"8.34",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</si>
  <si>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"latitude":"44.2890461052992", "url":"http://www.rona.ca", "postalcode":"K0L 1L0", "province":"ON", "sustainabilityurl":"http://www.rona.ca/corporate/corporate-responsibility", "hoursmon":"Please Call", "longitude":"-77.8092744786324", "uid":1182174305, "retailerlinkurl":null, "hourssat":"Please Call", "clientkey":"134514", "name":"RONA Campbellford", "locationlinkurl":null, "address1":"509 Grand Rd", "icon":"normal", "bho":null, "_distanceuom":"mile", "hourssun":"Please Call", "computers":"N", "cfl":"Y", "regionalimageurl":null, "city":"Campbellford", "singleuse":"Y", "fax":null, "country":"CA", "logourl":"http://www.call2recycle.org/notpress/where2getit/rona.png", "phone":"705-653-1440", "address2":null, "locationimageurl":null, "_distance":"12.01",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</si>
  <si>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"latitude":"44.2918933333333", "url":"http://www.rona.ca", "postalcode":"K0K 3E0", "province":"ON", "sustainabilityurl":"http://www.rona.ca/corporate/corporate-responsibility", "hoursmon":"Please Call", "longitude":"-77.5647533333333", "uid":989641543, "retailerlinkurl":null, "hourssat":"Please Call", "clientkey":"122264", "name":"RONA", "locationlinkurl":null, "address1":"436 Front St W", "icon":"preferred", "bho":null, "_distanceuom":"mile", "hourssun":"Please Call", "computers":"N", "cfl":"Y", "regionalimageurl":null, "city":"Stirling", "singleuse":"Y", "fax":null, "country":"CA", "logourl":"http://www.call2recycle.org/notpress/where2getit/rona.png", "phone":"613-395-3361", "address2":null, "locationimageurl":null, "_distance":"13.91",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</si>
  <si>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"latitude":"43.96331", "url":null, "postalcode":"L1A 3Y9", "province":"ON", "sustainabilityurl":null, "hoursmon":"Please Call", "longitude":"-78.29078", "uid":400726459, "retailerlinkurl":null, "hourssat":"Please Call", "clientkey":"157995", "name":"ListenUp! Canada", "locationlinkurl":null, "address1":"Medical Centre 249 Ontario St", "icon":"normal", "bho":null, "_distanceuom":"mile", "hourssun":"Please Call", "computers":"N", "cfl":"N", "regionalimageurl":null, "city":"Port Hope", "singleuse":"Y", "fax":null, "country":"CA", "logourl":"http://www.call2recycle.org/notpress/where2getit/call2recycle.png", "phone":"905-885-0759", "address2":null, "locationimageurl":null, "_distance":"7.42",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</si>
  <si>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"latitude":"43.9076045270157", "url":"http://www.rona.ca", "postalcode":"L1B 1C2", "province":"ON", "sustainabilityurl":"http://www.rona.ca/corporate/corporate-responsibility", "hoursmon":"Please Call", "longitude":"-78.5910229561934", "uid":477915148, "retailerlinkurl":null, "hourssat":"Please Call", "clientkey":"102292", "name":"RONA", "locationlinkurl":null, "address1":"275 Toronto St", "icon":"normal", "bho":null, "_distanceuom":"mile", "hourssun":"Please Call", "computers":"N", "cfl":"Y", "regionalimageurl":null, "city":"Newcastle", "singleuse":"Y", "fax":null, "country":"CA", "logourl":"http://www.call2recycle.org/notpress/where2getit/rona.png", "phone":"905-987-4560", "address2":null, "locationimageurl":null, "_distance":"10.88",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</si>
  <si>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"latitude":"43.9763283741377", "url":null, "postalcode":"K9A 0A8", "province":"ON", "sustainabilityurl":null, "hoursmon":"Please Call", "longitude":"-78.2001281293115", "uid":1939212591, "retailerlinkurl":null, "hourssat":"Please Call", "clientkey":"129684", "name":"Home Depot", "locationlinkurl":null, "address1":"1050 Depalma Dr", "icon":"preferred", "bho":null, "_distanceuom":"mile", "hourssun":"Please Call", "computers":"N", "cfl":"N", "regionalimageurl":null, "city":"Cobourg", "singleuse":"Y", "fax":null, "country":"CA", "logourl":"http://www.call2recycle.org/notpress/where2getit/homedepot.png", "phone":"905-377-7600", "address2":null, "locationimageurl":null, "_distance":"11.42",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</si>
  <si>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"latitude":"43.9711534146341", "url":"http://www.thesource.ca", "postalcode":"K9A 5H7", "province":"ON", "sustainabilityurl":"http://www.thesource.ca/sitelets/jobs/environment.asp", "hoursmon":"Please Call", "longitude":"-78.2002748780488", "uid":550548885, "retailerlinkurl":null, "hourssat":"Please Call", "clientkey":"66214", "name":"The Source", "locationlinkurl":null, "address1":"1111 Elgin W", "icon":"normal", "bho":null, "_distanceuom":"mile", "hourssun":"Please Call", "computers":"N", "cfl":"N", "regionalimageurl":null, "city":"Cobourg", "singleuse":"Y", "fax":null, "country":"CA", "logourl":"http://www.call2recycle.org/notpress/where2getit/thesource.png", "phone":"905-377-9845", "address2":null, "locationimageurl":null, "_distance":"11.49",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</si>
  <si>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"latitude":"43.97172", "url":null, "postalcode":"K9A 5W4", "province":"ON", "sustainabilityurl":null, "hoursmon":"Please Call", "longitude":"-78.19779", "uid":1624452340, "retailerlinkurl":null, "hourssat":"Please Call", "clientkey":"141904", "name":"Staples", "locationlinkurl":null, "address1":"1025 Elgin St W", "icon":"preferred", "bho":null, "_distanceuom":"mile", "hourssun":"Please Call", "computers":"N", "cfl":"N", "regionalimageurl":null, "city":"Cobourg", "singleuse":"Y", "fax":null, "country":"CA", "logourl":"http://www.call2recycle.org/notpress/where2getit/staples.png", "phone":"905-377-0458", "address2":null, "locationimageurl":null, "_distance":"11.61",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</si>
  <si>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"latitude":"43.91057", "url":null, "postalcode":"L1C 1P2", "province":"ON", "sustainabilityurl":null, "hoursmon":"Please Call", "longitude":"-78.68024", "uid":110453962, "retailerlinkurl":null, "hourssat":"Please Call", "clientkey":"130850", "name":"Staples", "locationlinkurl":null, "address1":"185 King St E", "icon":"preferred", "bho":null, "_distanceuom":"mile", "hourssun":"Please Call", "computers":"N", "cfl":"N", "regionalimageurl":null, "city":"Bowmanville", "singleuse":"Y", "fax":null, "country":"CA", "logourl":"http://www.call2recycle.org/notpress/where2getit/staples.png", "phone":"905-623-1700", "address2":null, "locationimageurl":null, "_distance":"14.44", "inktoner":"N", "nationalinkurl":null, "regionallinkurl":null, "cellphones":"Y", "hourstues":"Please Call", "consumerelectronics":"N", "hourswed":"Please Call", "rank":"1"</t>
  </si>
  <si>
    <t xml:space="preserve">        "collectioncount":29,</t>
  </si>
  <si>
    <t xml:space="preserve">            "rechargeable": "Y", "nationalimageurl":null, "glasses":"N", "hoursthurs":"Please Call", "state":null, "retailerimageurl":null, "hoursfri":"Please Call", "acceptedmaterialsurl":null, "latitude":"43.920755913993", "url":null, "postalcode":"L1R 3K5", "province":"ON", "sustainabilityurl":null, "hoursmon":"Please Call", "longitude":"-78.9489120086596", "uid":1182200200, "retailerlinkurl":null, "hourssat":"Please Call", "clientkey":"94841", "name":"Home Depot", "locationlinkurl":null, "address1":"4200 Garden St", "icon":"preferred", "bho":null, "_distanceuom":"mile", "hourssun":"Please Call", "computers":"N", "cfl":"N", "regionalimageurl":null, "city":"Whitby", "singleuse":"Y", "fax":null, "country":"CA", "logourl":"http://www.call2recycle.org/notpress/where2getit/homedepot.png", "phone":"905-655-2905", "address2":null, "locationimageurl":null, "_distance":"2.42",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</si>
  <si>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"latitude":"43.9184340778853", "url":null, "postalcode":"L1R 0H4", "province":"ON", "sustainabilityurl":null, "hoursmon":"Please Call", "longitude":"-78.9437186560068", "uid":1663274639, "retailerlinkurl":null, "hourssat":"Please Call", "clientkey":"152205", "name":"Staples", "locationlinkurl":null, "address1":"320 Taunton Rd E", "icon":"preferred", "bho":null, "_distanceuom":"mile", "hourssun":"Please Call", "computers":"N", "cfl":"N", "regionalimageurl":null, "city":"Whitby", "singleuse":"Y", "fax":null, "country":"CA", "logourl":"http://www.call2recycle.org/notpress/where2getit/staples.png", "phone":"--", "address2":null, "locationimageurl":null, "_distance":"2.42",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</si>
  <si>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"latitude":"43.9191693112809", "url":"http://www.canadiantire.ca", "postalcode":"L1R 3K5", "province":"ON", "sustainabilityurl":null, "hoursmon":"8:00am-9:00pm", "longitude":"-78.9481985068482", "uid":1182188826, "retailerlinkurl":null, "hourssat":"Please Call", "clientkey":"42452", "name":"Canadian Tire", "locationlinkurl":null, "address1":"4100 Garden Street", "icon":"preferred", "bho":null, "_distanceuom":"mile", "hourssun":"Please Call", "computers":"N", "cfl":"Y", "regionalimageurl":null, "city":"Whitby", "singleuse":"Y", "fax":null, "country":"CA", "logourl":"http://www.call2recycle.org/notpress/where2getit/canadiantire.png", "phone":"905-430-4962", "address2":null, "locationimageurl":null, "_distance":"2.49",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</si>
  <si>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"latitude":"43.9363815152165", "url":"http://www.canadiantire.ca", "postalcode":"L1K 2B8", "province":"ON", "sustainabilityurl":null, "hoursmon":"8:00am-9:00pm", "longitude":"-78.8589058995898", "uid":119639356, "retailerlinkurl":null, "hourssat":"Please Call", "clientkey":"1397", "name":"Canadian Tire", "locationlinkurl":null, "address1":"1333 Wilson Rd N", "icon":"preferred", "bho":null, "_distanceuom":"mile", "hourssun":"Please Call", "computers":"N", "cfl":"Y", "regionalimageurl":null, "city":"Oshawa", "singleuse":"Y", "fax":null, "country":"CA", "logourl":"http://www.call2recycle.org/notpress/where2getit/canadiantire.png", "phone":"905-433-5575", "address2":null, "locationimageurl":null, "_distance":"3.18",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</si>
  <si>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"latitude":"43.942966", "url":null, "postalcode":"L1H 7K5", "province":"ON", "sustainabilityurl":null, "hoursmon":"Please Call", "longitude":"-78.850946", "uid":1182192339, "retailerlinkurl":null, "hourssat":"Please Call", "clientkey":"43516", "name":"Home Depot", "locationlinkurl":null, "address1":"1481 Harmony Rd N", "icon":"preferred", "bho":null, "_distanceuom":"mile", "hourssun":"Please Call", "computers":"N", "cfl":"N", "regionalimageurl":null, "city":"Oshawa", "singleuse":"Y", "fax":null, "country":"CA", "logourl":"http://www.call2recycle.org/notpress/where2getit/homedepot.png", "phone":"905-743-5600", "address2":null, "locationimageurl":null, "_distance":"3.47",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</si>
  <si>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"latitude":"43.899208284362", "url":null, "postalcode":"L1N 9G5", "province":"ON", "sustainabilityurl":null, "hoursmon":"Please Call", "longitude":"-78.9427566576219", "uid":777785331, "retailerlinkurl":null, "hourssat":"Please Call", "clientkey":"151594", "name":"MOHLTC - EHSB - Oshawa CACC", "locationlinkurl":null, "address1":"590 Rossland Rd E",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"phone":"905-430-5542", "address2":null, "locationimageurl":null, "_distance":"3.63",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</si>
  <si>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"latitude":"43.9411300455574", "url":"http://www.thesource.ca", "postalcode":"L1H 7K5", "province":"ON", "sustainabilityurl":"http://www.thesource.ca/sitelets/jobs/environment.asp", "hoursmon":"Please Call", "longitude":"-78.8423105538002", "uid":-511708337, "retailerlinkurl":null, "hourssat":"Please Call", "clientkey":"138811", "name":"The Source", "locationlinkurl":null, "address1":"991 Taunton Rd E Unit B", "icon":"normal", "bho":null, "_distanceuom":"mile", "hourssun":"Please Call", "computers":"N", "cfl":"N", "regionalimageurl":null, "city":"Oshawa", "singleuse":"Y", "fax":null, "country":"CA", "logourl":"http://www.call2recycle.org/notpress/where2getit/thesource.png", "phone":"905-723-3407", "address2":null, "locationimageurl":null, "_distance":"3.92",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</si>
  <si>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"latitude":"43.8889624", "url":null, "postalcode":"L1N 7B3", "province":"ON", "sustainabilityurl":null, "hoursmon":"Please Call", "longitude":"-78.9352684", "uid":797673804, "retailerlinkurl":null, "hourssat":"Please Call", "clientkey":"158020", "name":"ListenUp! Canada", "locationlinkurl":null, "address1":"604 Garden St",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"phone":"905-668-5440", "address2":null, "locationimageurl":null, "_distance":"4.22",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</si>
  <si>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"latitude":"43.8935839199709", "url":null, "postalcode":"L1J 2K9", "province":"ON", "sustainabilityurl":null, "hoursmon":"Please Call", "longitude":"-78.8812031841397", "uid":400726451, "retailerlinkurl":null, "hourssat":"Please Call", "clientkey":"157983", "name":"ListenUp! Canada", "locationlinkurl":null, "address1":"470 King St W", "icon":"preferred", "bho":null, "_distanceuom":"mile", "hourssun":"Please Call", "computers":"N", "cfl":"N", "regionalimageurl":null, "city":"Oshawa", "singleuse":"Y", "fax":null, "country":"CA", "logourl":"http://www.call2recycle.org/notpress/where2getit/call2recycle.png", "phone":"905-438-7997", "address2":null, "locationimageurl":null, "_distance":"4.30",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</si>
  <si>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"latitude":"43.88695", "url":null, "postalcode":"L1J 2K5", "province":"ON", "sustainabilityurl":null, "hoursmon":"Please Call", "longitude":"-78.87582125", "uid":1755605297, "retailerlinkurl":null, "hourssat":"Please Call", "clientkey":"67972", "name":"Staples", "locationlinkurl":null, "address1":"410 Gibb St West", "icon":"preferred", "bho":null, "_distanceuom":"mile", "hourssun":"Please Call", "computers":"N", "cfl":"N", "regionalimageurl":null, "city":"Oshawa", "singleuse":"Y", "fax":null, "country":"CA", "logourl":"http://www.call2recycle.org/notpress/where2getit/staples.png", "phone":"905-434-1947", "address2":null, "locationimageurl":null, "_distance":"4.83",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</si>
  <si>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"latitude":"43.8791536206897", "url":null, "postalcode":"L1J 0B6", "province":"ON", "sustainabilityurl":null, "hoursmon":"Please Call", "longitude":"-78.882005862069", "uid":1503277685, "retailerlinkurl":null, "hourssat":"Please Call", "clientkey":"121716", "name":"Lowes", "locationlinkurl":null, "address1":"685 Laval Drive", "icon":"preferred", "bho":null, "_distanceuom":"mile", "hourssun":"Please Call", "computers":"N", "cfl":"N", "regionalimageurl":null, "city":"Oshawa", "singleuse":"Y", "fax":null, "country":"CA", "logourl":"http://www.call2recycle.org/notpress/where2getit/lowes.png", "phone":"905-436-4940", "address2":null, "locationimageurl":null, "_distance":"5.20",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</si>
  <si>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"latitude":"43.8669056517861", "url":null, "postalcode":"L1N 9K6", "province":"ON", "sustainabilityurl":null, "hoursmon":"Please Call", "longitude":"-78.9008313585739", "uid":1182192234, "retailerlinkurl":null, "hourssat":"Please Call", "clientkey":"39384", "name":"Home Depot", "locationlinkurl":null, "address1":"1700 Victoria St E", "icon":"preferred", "bho":null, "_distanceuom":"mile", "hourssun":"Please Call", "computers":"N", "cfl":"N", "regionalimageurl":null, "city":"Whitby", "singleuse":"Y", "fax":null, "country":"CA", "logourl":"http://www.call2recycle.org/notpress/where2getit/homedepot.png", "phone":"905-571-5900",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</si>
  <si>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"latitude":"43.8656465070742", "url":null, "postalcode":"L1N 9W7", "province":"ON", "sustainabilityurl":null, "hoursmon":"Please Call", "longitude":"-78.9044570195808", "uid":677051365, "retailerlinkurl":null, "hourssat":"Please Call", "clientkey":"169718", "name":"Princess Auto", "locationlinkurl":null, "address1":"1550 Victoria St E", "icon":"preferred", "bho":null, "_distanceuom":"mile", "hourssun":"Please Call", "computers":"N", "cfl":"N", "regionalimageurl":null, "city":"Whitby", "singleuse":"Y", "fax":null, "country":"CA", "logourl":"http://www.call2recycle.org/notpress/where2getit/PrincessAuto_150x150.png", "phone":"905-665-8581", "address2":null, "locationimageurl":null, "_distance":"5.82",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</si>
  <si>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"latitude":"43.8596828812545", "url":null, "postalcode":"L1N 8M2", "province":"ON", "sustainabilityurl":null, "hoursmon":"Please Call", "longitude":"-78.896106598816", "uid":540400459, "retailerlinkurl":null, "hourssat":"Please Call", "clientkey":"161198", "name":"Fastenal", "locationlinkurl":null, "address1":"1801 Wentworth St", "icon":"normal", "bho":null, "_distanceuom":"mile", "hourssun":"Please Call", "computers":"N", "cfl":"N", "regionalimageurl":null, "city":"Whitby", "singleuse":"Y", "fax":null, "country":"CA", "logourl":"http://www.call2recycle.org/notpress/where2getit/call2recycle.png", "phone":"905-723-3500", "address2":null, "locationimageurl":null, "_distance":"6.29",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</si>
  <si>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"latitude":"43.8646801818182", "url":null, "postalcode":"L1Z 1G1", "province":"ON", "sustainabilityurl":null, "hoursmon":"Please Call", "longitude":"-79.0104941818182", "uid":1182180484, "retailerlinkurl":null, "hourssat":"Please Call", "clientkey":"43488", "name":"Home Depot", "locationlinkurl":null, "address1":"256-260 Kingston Rd E", "icon":"preferred", "bho":null, "_distanceuom":"mile", "hourssun":"Please Call", "computers":"N", "cfl":"N", "regionalimageurl":null, "city":"Ajax", "singleuse":"Y", "fax":null, "country":"CA", "logourl":"http://www.call2recycle.org/notpress/where2getit/homedepot.png", "phone":"905-428-7939", "address2":null, "locationimageurl":null, "_distance":"7.36",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</si>
  <si>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"latitude":"43.8638147", "url":"http://www.thesource.ca", "postalcode":"L1Z 1E8", "province":"ON", "sustainabilityurl":"http://www.thesource.ca/sitelets/jobs/environment.asp", "hoursmon":"Please Call", "longitude":"-79.0254152", "uid":1182177089, "retailerlinkurl":null, "hourssat":"Please Call", "clientkey":"469", "name":"The Source", "locationlinkurl":null, "address1":"135 Harwood Ave N Unit B8/216", "icon":"preferred", "bho":null, "_distanceuom":"mile", "hourssun":"Please Call", "computers":"N", "cfl":"N", "regionalimageurl":null, "city":"Ajax", "singleuse":"Y", "fax":null, "country":"CA", "logourl":"http://www.call2recycle.org/notpress/where2getit/thesource.png", "phone":"905-427-8617", "address2":null, "locationimageurl":null, "_distance":"7.88",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</si>
  <si>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"latitude":"43.859581", "url":null, "postalcode":"L1S 7L8", "province":"ON", "sustainabilityurl":null, "hoursmon":"Please Call", "longitude":"-79.026064", "uid":1650628782, "retailerlinkurl":null, "hourssat":"Please Call", "clientkey":"151924", "name":"Staples", "locationlinkurl":null, "address1":"16 Harwood Ave S", "icon":"preferred", "bho":null, "_distanceuom":"mile", "hourssun":"Please Call", "computers":"N", "cfl":"N", "regionalimageurl":null, "city":"Ajax", "singleuse":"Y", "fax":null, "country":"CA", "logourl":"http://www.call2recycle.org/notpress/where2getit/staples.png", "phone":"905-686-1422", "address2":null, "locationimageurl":null, "_distance":"8.13",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</si>
  <si>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"latitude":"43.84796", "url":null, "postalcode":"L1V 4H7", "province":"ON", "sustainabilityurl":null, "hoursmon":"Please Call", "longitude":"-79.07391", "uid":-996409985, "retailerlinkurl":null, "hourssat":"Please Call", "clientkey":"135452", "name":"Lowes", "locationlinkurl":null, "address1":"1899 Brock Rd", "icon":"preferred", "bho":null, "_distanceuom":"mile", "hourssun":"Please Call", "computers":"N", "cfl":"N", "regionalimageurl":null, "city":"Pickering", "singleuse":"Y", "fax":null, "country":"CA", "logourl":"http://www.call2recycle.org/notpress/where2getit/lowes.png", "phone":"905-619-7530", "address2":null, "locationimageurl":null, "_distance":"10.36",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</si>
  <si>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"latitude":"43.84316", "url":null, "postalcode":"L1V 6K5", "province":"ON", "sustainabilityurl":null, "hoursmon":"Please Call", "longitude":"-79.06844", "uid":1697151289, "retailerlinkurl":null, "hourssat":"Please Call", "clientkey":"102523", "name":"Staples", "locationlinkurl":null, "address1":"1755 Pickering Pky", "icon":"preferred", "bho":null, "_distanceuom":"mile", "hourssun":"Please Call", "computers":"N", "cfl":"N", "regionalimageurl":null, "city":"Pickering", "singleuse":"Y", "fax":null, "country":"CA", "logourl":"http://www.call2recycle.org/notpress/where2getit/staples.png", "phone":"905-683-4620", "address2":null, "locationimageurl":null, "_distance":"10.39",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</si>
  <si>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"latitude":"43.8434917861008", "url":"http://www.canadiantire.ca", "postalcode":"L1V 7C7", "province":"ON", "sustainabilityurl":null, "hoursmon":"8:00am-9:00pm", "longitude":"-79.0698554505003", "uid":1182173765, "retailerlinkurl":null, "hourssat":"Please Call", "clientkey":"1582", "name":"Canadian Tire", "locationlinkurl":null, "address1":"1735 Pickering Pky", "icon":"preferred", "bho":null, "_distanceuom":"mile", "hourssun":"Please Call", "computers":"N", "cfl":"Y", "regionalimageurl":null, "city":"Pickering", "singleuse":"Y", "fax":null, "country":"CA", "logourl":"http://www.call2recycle.org/notpress/where2getit/canadiantire.png", "phone":"905-686-2308", "address2":null, "locationimageurl":null, "_distance":"10.43",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</si>
  <si>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"latitude":"43.90952", "url":"http://www.canadiantire.ca", "postalcode":"L1C 0K5", "province":"ON", "sustainabilityurl":null, "hoursmon":"8:00am-9:00pm", "longitude":"-78.71215", "uid":1717512590, "retailerlinkurl":null, "hourssat":"Please Call", "clientkey":"1680", "name":"Canadian Tire", "locationlinkurl":null, "address1":"2000 Green Rd", "icon":"preferred", "bho":null, "_distanceuom":"mile", "hourssun":"Please Call", "computers":"N", "cfl":"Y", "regionalimageurl":null, "city":"Bowmanville", "singleuse":"Y", "fax":null, "country":"CA", "logourl":"http://www.call2recycle.org/notpress/where2getit/canadiantire.png", "phone":"905-623-5000", "address2":null, "locationimageurl":null, "_distance":"10.71",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</si>
  <si>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"latitude":"43.8345991836735", "url":null, "postalcode":"L1W 3S1", "province":"ON", "sustainabilityurl":null, "hoursmon":"Please Call", "longitude":"-79.0699165306122", "uid":1182187077, "retailerlinkurl":null, "hourssat":"Please Call", "clientkey":"124613", "name":"Batteries Expert", "locationlinkurl":null, "address1":"Business Building 1755 Plummer Street", "icon":"preferred", "bho":null, "_distanceuom":"mile", "hourssun":"Please Call", "computers":"N", "cfl":"N", "regionalimageurl":null, "city":"Pickering", "singleuse":"Y", "fax":null, "country":"CA", "logourl":"http://www.call2recycle.org/notpress/where2getit/call2recycle.png", "phone":"905-831-5068", "address2":null, "locationimageurl":null, "_distance":"10.87",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</si>
  <si>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"latitude":"43.91096", "url":null, "postalcode":"L1C 0C3", "province":"ON", "sustainabilityurl":null, "hoursmon":"Please Call", "longitude":"-78.70816", "uid":1182187071, "retailerlinkurl":null, "hourssat":"Please Call", "clientkey":"129681", "name":"Home Depot", "locationlinkurl":null, "address1":"120 Clarington Blvd", "icon":"preferred", "bho":null, "_distanceuom":"mile", "hourssun":"Please Call", "computers":"N", "cfl":"N", "regionalimageurl":null, "city":"Bowmanville", "singleuse":"Y", "fax":null, "country":"CA", "logourl":"http://www.call2recycle.org/notpress/where2getit/homedepot.png", "phone":"905-697-5170", "address2":null, "locationimageurl":null, "_distance":"10.88",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</si>
  <si>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"latitude":"43.8381477777778", "url":"http://www.thesource.ca", "postalcode":"L1V 1B8", "province":"ON", "sustainabilityurl":"http://www.thesource.ca/sitelets/jobs/environment.asp", "hoursmon":"Please Call", "longitude":"-79.0872377777778", "uid":211152299, "retailerlinkurl":null, "hourssat":"Please Call", "clientkey":"611", "name":"The Source", "locationlinkurl":null, "address1":"1355 Kingston Rd Upper Level", "icon":"normal", "bho":null, "_distanceuom":"mile", "hourssun":"Please Call", "computers":"N", "cfl":"N", "regionalimageurl":null, "city":"Pickering", "singleuse":"Y", "fax":null, "country":"CA", "logourl":"http://www.call2recycle.org/notpress/where2getit/thesource.png", "phone":"905-839-3568", "address2":null, "locationimageurl":null, "_distance":"11.31",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</si>
  <si>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"latitude":"43.829046715547", "url":null, "postalcode":"L1V 1B5", "province":"ON", "sustainabilityurl":null, "hoursmon":"Please Call", "longitude":"-79.0984834069593", "uid":1937908277, "retailerlinkurl":null, "hourssat":"Please Call", "clientkey":"154623", "name":"Home Depot", "locationlinkurl":null, "address1":"1105 Kingston Rd", "icon":"preferred", "bho":null, "_distanceuom":"mile", "hourssun":"Please Call", "computers":"N", "cfl":"N", "regionalimageurl":null, "city":"Pickering", "singleuse":"Y", "fax":null, "country":"CA", "logourl":"http://www.call2recycle.org/notpress/where2getit/homedepot.png", "phone":"905-421-2000", "address2":null, "locationimageurl":null, "_distance":"12.15",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</si>
  <si>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"latitude":"43.91057", "url":null, "postalcode":"L1C 1P2", "province":"ON", "sustainabilityurl":null, "hoursmon":"Please Call", "longitude":"-78.68024", "uid":110453962, "retailerlinkurl":null, "hourssat":"Please Call", "clientkey":"130850", "name":"Staples", "locationlinkurl":null, "address1":"185 King St E", "icon":"preferred", "bho":null, "_distanceuom":"mile", "hourssun":"Please Call", "computers":"N", "cfl":"N", "regionalimageurl":null, "city":"Bowmanville", "singleuse":"Y", "fax":null, "country":"CA", "logourl":"http://www.call2recycle.org/notpress/where2getit/staples.png", "phone":"905-623-1700", "address2":null, "locationimageurl":null, "_distance":"12.24",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</si>
  <si>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"latitude":"44.09409625", "url":null, "postalcode":"L9P 1S9", "province":"ON", "sustainabilityurl":null, "hoursmon":"Please Call", "longitude":"-79.1307016666667", "uid":1610631607, "retailerlinkurl":null, "hourssat":"Please Call", "clientkey":"151575", "name":"Staples", "locationlinkurl":null, "address1":"4 Banff Rd", "icon":"normal", "bho":null, "_distanceuom":"mile", "hourssun":"Please Call", "computers":"N", "cfl":"N", "regionalimageurl":null, "city":"Uxbridge", "singleuse":"Y", "fax":null, "country":"CA", "logourl":"http://www.call2recycle.org/notpress/where2getit/staples.png", "phone":"905-862-2614", "address2":null, "locationimageurl":null, "_distance":"14.48",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</si>
  <si>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"latitude":"43.80644", "url":null, "postalcode":"L1V 1B8", "province":"ON", "sustainabilityurl":null, "hoursmon":"Please Call", "longitude":"-79.13402", "uid":341261752, "retailerlinkurl":null, "hourssat":"Please Call", "clientkey":"159907", "name":"Best Buy", "locationlinkurl":null, "address1":"78-1355 Kingston Road", "icon":"normal", "bho":null, "_distanceuom":"mile", "hourssun":"Please Call", "computers":"N", "cfl":"N", "regionalimageurl":null, "city":"Pickering", "singleuse":"Y", "fax":null, "country":"CA", "logourl":"http://www.call2recycle.org/notpress/where2getit/bestbuy.png", "phone":"--", "address2":null, "locationimageurl":null, "_distance":"14.51",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</si>
  <si>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"latitude":"44.1077506739765", "url":null, "postalcode":"L9P 1V9", "province":"ON", "sustainabilityurl":null, "hoursmon":"Please Call", "longitude":"-79.1229455265324", "uid":502592000, "retailerlinkurl":null, "hourssat":"Please Call", "clientkey":"157940", "name":"ListenUp! Canada", "locationlinkurl":null, "address1":"29 Toronto St S", "icon":"normal", "bho":null, "_distanceuom":"mile", "hourssun":"Please Call", "computers":"N", "cfl":"N", "regionalimageurl":null, "city":"Uxbridge", "singleuse":"Y", "fax":null, "country":"CA", "logourl":"http://www.call2recycle.org/notpress/where2getit/call2recycle.png", "phone":"905-852-5933", "address2":null, "locationimageurl":null, "_distance":"14.88", "inktoner":"N", "nationalinkurl":null, "regionallinkurl":null, "cellphones":"Y", "hourstues":"Please Call", "consumerelectronics":"N", "hourswed":"Please Call", "rank":"0"</t>
  </si>
  <si>
    <t xml:space="preserve">        "collectioncount":50,</t>
  </si>
  <si>
    <t xml:space="preserve">            "rechargeable": "Y", "nationalimageurl":null, "glasses":"N", "hoursthurs":"Please Call", "state":null, "retailerimageurl":null, "hoursfri":"Please Call", "acceptedmaterialsurl":null, "latitude":"43.8652224", "url":null, "postalcode":"L3R 1N1", "province":"ON", "sustainabilityurl":null, "hoursmon":"Please Call", "longitude":"-79.2924453", "uid":400726445, "retailerlinkurl":null, "hourssat":"Please Call", "clientkey":"157979", "name":"ListenUp! Canada", "locationlinkurl":null, "address1":"4981 Highway #7 E",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"phone":"905-479-6886", "address2":null, "locationimageurl":null, "_distance":"1.93",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</si>
  <si>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"latitude":"43.8655657142857", "url":null, "postalcode":"L3R 4M9", "province":"ON", "sustainabilityurl":null, "hoursmon":"Please Call", "longitude":"-79.2913528571429", "uid":341261761, "retailerlinkurl":null, "hourssat":"Please Call", "clientkey":"159878", "name":"Best Buy", "locationlinkurl":null, "address1":"Markville Shopping Centre 5000 Highway 7", "icon":"normal", "bho":null, "_distanceuom":"mile", "hourssun":"Please Call", "computers":"N", "cfl":"N", "regionalimageurl":null, "city":"Markham", "singleuse":"Y", "fax":null, "country":"CA", "logourl":"http://www.call2recycle.org/notpress/where2getit/bestbuy.png", "phone":"--", "address2":null, "locationimageurl":null, "_distance":"1.96",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</si>
  <si>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"latitude":"43.8511025", "url":null, "postalcode":"L3R 0J5", "province":"ON", "sustainabilityurl":null, "hoursmon":"Please Call", "longitude":"-79.3522558333333", "uid":-511708502, "retailerlinkurl":null, "hourssat":"Please Call", "clientkey":"68074", "name":"Staples", "locationlinkurl":null, "address1":"3175 Hwy 7", "icon":"preferred", "bho":null, "_distanceuom":"mile", "hourssun":"Please Call", "computers":"N", "cfl":"N", "regionalimageurl":null, "city":"Markham", "singleuse":"Y", "fax":null, "country":"CA", "logourl":"http://www.call2recycle.org/notpress/where2getit/staples.png", "phone":"905-479-3101", "address2":null, "locationimageurl":null, "_distance":"2.26",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</si>
  <si>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"latitude":"43.850865", "url":null, "postalcode":"L3R 0J6", "province":"ON", "sustainabilityurl":null, "hoursmon":"Please Call", "longitude":"-79.353385", "uid":1929443535, "retailerlinkurl":null, "hourssat":"Please Call", "clientkey":"43530", "name":"Home Depot", "locationlinkurl":null, "address1":"3155 Hwy 7",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"phone":"905-940-5900", "address2":null, "locationimageurl":null, "_distance":"2.30",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</si>
  <si>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"latitude":"43.8497606481056", "url":null, "postalcode":"L3R 4X7", "province":"ON", "sustainabilityurl":null, "hoursmon":"Please Call", "longitude":"-79.3580154079469", "uid":677051376, "retailerlinkurl":null, "hourssat":"Please Call", "clientkey":"169749", "name":"Princess Auto", "locationlinkurl":null, "address1":"8500 Woodbine Ave", "icon":"normal", "bho":null, "_distanceuom":"mile", "hourssun":"Please Call", "computers":"N", "cfl":"N", "regionalimageurl":null, "city":"Markham", "singleuse":"Y", "fax":null, "country":"CA", "logourl":"http://www.call2recycle.org/notpress/where2getit/PrincessAuto_150x150.png", "phone":"905-944-9696", "address2":null, "locationimageurl":null, "_distance":"2.50",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</si>
  <si>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"latitude":"43.8410172451317", "url":null, "postalcode":"L3R 9X5", "province":"ON", "sustainabilityurl":null, "hoursmon":"Please Call", "longitude":"-79.3261101042016", "uid":-357744056, "retailerlinkurl":null, "hourssat":"Please Call", "clientkey":"124575", "name":"Go Wireless Inc Canada (Parent)", "locationlinkurl":null, "address1":"95 Royal Crest Crt",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"phone":"905-940-8750", "address2":null, "locationimageurl":null, "_distance":"2.56",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</si>
  <si>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"latitude":"43.8401537747984", "url":null, "postalcode":"L3R 9X5", "province":"ON", "sustainabilityurl":null, "hoursmon":"Please Call", "longitude":"-79.3284351589818", "uid":-34328401, "retailerlinkurl":null, "hourssat":"Please Call", "clientkey":"124576", "name":"Go Wireless Canada", "locationlinkurl":null, "address1":"5-95 Royal Crest Crt", "icon":"preferred", "bho":null, "_distanceuom":"mile", "hourssun":"Please Call", "computers":"N", "cfl":"N", "regionalimageurl":null, "city":"Markham", "singleuse":"Y", "fax":null, "country":"CA", "logourl":"http://www.call2recycle.org/notpress/where2getit/call2recycle.png", "phone":"905-432-3665", "address2":null, "locationimageurl":null, "_distance":"2.62",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</si>
  <si>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"latitude":"43.8912729740915", "url":null, "postalcode":"L3P 7R1", "province":"ON", "sustainabilityurl":null, "hoursmon":"Please Call", "longitude":"-79.2658992414536", "uid":1182177810, "retailerlinkurl":null, "hourssat":"Please Call", "clientkey":"134433", "name":"Pinnacle Hobby", "locationlinkurl":null, "address1":"5970 16th Ave Unit 114-116", "icon":"normal", "bho":null, "_distanceuom":"mile", "hourssun":"Please Call", "computers":"N", "cfl":"N", "regionalimageurl":null, "city":"Markham", "singleuse":"Y", "fax":null, "country":"CA", "logourl":"http://www.call2recycle.org/notpress/where2getit/call2recycle.png", "phone":"905-471-9634", "address2":null, "locationimageurl":null, "_distance":"3.16",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</si>
  <si>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"latitude":"43.90374", "url":null, "postalcode":"L6E 0G5", "province":"ON", "sustainabilityurl":null, "hoursmon":"Please Call", "longitude":"-79.26985", "uid":1986321695, "retailerlinkurl":null, "hourssat":"Please Call", "clientkey":"129685", "name":"Home Depot", "locationlinkurl":null, "address1":"1201 Castlemore Avenue",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"phone":"905-201-5500", "address2":null, "locationimageurl":null, "_distance":"3.34",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</si>
  <si>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"latitude":"43.899563", "url":null, "postalcode":"L4S 1M6", "province":"ON", "sustainabilityurl":null, "hoursmon":"Please Call", "longitude":"-79.391825", "uid":1641920080, "retailerlinkurl":null, "hourssat":"Please Call", "clientkey":"112811", "name":"Home Depot", "locationlinkurl":null, "address1":"1706 Elgin Mills Rd E", "icon":"preferred", "bho":null, "_distanceuom":"mile", "hourssun":"Please Call", "computers":"N", "cfl":"N", "regionalimageurl":null, "city":"Richmond Hill", "singleuse":"Y", "fax":null, "country":"CA", "logourl":"http://www.call2recycle.org/notpress/where2getit/homedepot.png", "phone":"905-787-7200", "address2":null, "locationimageurl":null, "_distance":"3.56",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</si>
  <si>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"latitude":"43.89947", "url":null, "postalcode":"L4S 0B2", "province":"ON", "sustainabilityurl":null, "hoursmon":"Please Call", "longitude":"-79.39223", "uid":1679417588, "retailerlinkurl":null, "hourssat":"Please Call", "clientkey":"111904", "name":"Staples", "locationlinkurl":null, "address1":"1700 Elgin Mills Rd E", "icon":"preferred", "bho":null, "_distanceuom":"mile", "hourssun":"Please Call", "computers":"N", "cfl":"N", "regionalimageurl":null, "city":"Richmond Hill", "singleuse":"Y", "fax":null, "country":"CA", "logourl":"http://www.call2recycle.org/notpress/where2getit/staples.png", "phone":"905-770-1600", "address2":null, "locationimageurl":null, "_distance":"3.58",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</si>
  <si>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"latitude":"43.8516", "url":null, "postalcode":"L3S 4K7", "province":"ON", "sustainabilityurl":null, "hoursmon":"Please Call", "longitude":"-79.25286", "uid":1918893685, "retailerlinkurl":null, "hourssat":"Please Call", "clientkey":"43533", "name":"Home Depot", "locationlinkurl":null, "address1":"50 Kirkham Dr", "icon":"preferred", "bho":null, "_distanceuom":"mile", "hourssun":"Please Call", "computers":"N", "cfl":"N", "regionalimageurl":null, "city":"Markham", "singleuse":"Y", "fax":null, "country":"CA", "logourl":"http://www.call2recycle.org/notpress/where2getit/homedepot.png", "phone":"905-201-2590", "address2":null, "locationimageurl":null, "_distance":"4.11",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</si>
  <si>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"latitude":"43.8504080701754", "url":null, "postalcode":"L4B 3M6", "province":"ON", "sustainabilityurl":null, "hoursmon":"Please Call", "longitude":"-79.4092054385965", "uid":500086259, "retailerlinkurl":null, "hourssat":"Please Call", "clientkey":"157999", "name":"ListenUp! Canada", "locationlinkurl":null, "address1":"9019 Bayview Ave", "icon":"normal", "bho":null, "_distanceuom":"mile", "hourssun":"Please Call", "computers":"N", "cfl":"N", "regionalimageurl":null, "city":"Richmd Hill", "singleuse":"Y", "fax":null, "country":"CA", "logourl":"http://www.call2recycle.org/notpress/where2getit/call2recycle.png", "phone":"905-889-2199", "address2":null, "locationimageurl":null, "_distance":"4.53",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</si>
  <si>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"latitude":"43.8146", "url":"http://www.rona.ca", "postalcode":"M1V 4V3", "province":"ON", "sustainabilityurl":"http://www.rona.ca/corporate/corporate-responsibility", "hoursmon":"Please Call", "longitude":"-79.29221", "uid":1182201033, "retailerlinkurl":null, "hourssat":"Please Call", "clientkey":"121766", "name":"RONA", "locationlinkurl":null, "address1":"3750 Midland Ave", "icon":"preferred", "bho":null, "_distanceuom":"mile", "hourssun":"Please Call", "computers":"N", "cfl":"Y", "regionalimageurl":null, "city":"Scarborough", "singleuse":"Y", "fax":null, "country":"CA", "logourl":"http://www.call2recycle.org/notpress/where2getit/rona.png", "phone":"416-396-3453", "address2":null, "locationimageurl":null, "_distance":"4.71",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</si>
  <si>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"latitude":"43.8340925", "url":null, "postalcode":"M1V 5P7", "province":"ON", "sustainabilityurl":null, "hoursmon":"Please Call", "longitude":"-79.2526589", "uid":1584828643, "retailerlinkurl":null, "hourssat":"Please Call", "clientkey":"123107", "name":"Lowes", "locationlinkurl":null, "address1":"6005 Steeles Ave E", "icon":"preferred", "bho":null, "_distanceuom":"mile", "hourssun":"Please Call", "computers":"N", "cfl":"N", "regionalimageurl":null, "city":"Scarborough", "singleuse":"Y", "fax":null, "country":"CA", "logourl":"http://www.call2recycle.org/notpress/where2getit/lowes.png", "phone":"416-940-4827", "address2":null, "locationimageurl":null, "_distance":"4.78",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</si>
  <si>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"latitude":"43.8414159822526", "url":null, "postalcode":"L4B 4K1", "province":"ON", "sustainabilityurl":null, "hoursmon":"Please Call", "longitude":"-79.4228972184826", "uid":1182178280, "retailerlinkurl":null, "hourssat":"Please Call", "clientkey":"43532", "name":"Home Depot", "locationlinkurl":null, "address1":"50 Red Maple Rd", "icon":"preferred", "bho":null, "_distanceuom":"mile", "hourssun":"Please Call", "computers":"N", "cfl":"N", "regionalimageurl":null, "city":"Richmond Hill", "singleuse":"Y", "fax":null, "country":"CA", "logourl":"http://www.call2recycle.org/notpress/where2getit/homedepot.png", "phone":"905-763-2311", "address2":null, "locationimageurl":null, "_distance":"5.42",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</si>
  <si>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"latitude":"43.8410902360863", "url":null, "postalcode":"L4B 4M6", "province":"ON", "sustainabilityurl":null, "hoursmon":"Please Call", "longitude":"-79.4226223429902", "uid":1801568494, "retailerlinkurl":null, "hourssat":"Please Call", "clientkey":"153546", "name":"Staples Canada/Business Depot", "locationlinkurl":null, "address1":"45 Red Maple Rd", "icon":"preferred", "bho":null, "_distanceuom":"mile", "hourssun":"Please Call", "computers":"N", "cfl":"N", "regionalimageurl":null, "city":"Richmond Hill", "singleuse":"Y", "fax":null, "country":"CA", "logourl":"http://www.call2recycle.org/notpress/where2getit/staples.png", "phone":"905-882-6995", "address2":null, "locationimageurl":null, "_distance":"5.42",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</si>
  <si>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"latitude":"43.8003307", "url":null, "postalcode":"M1T 3T6", "province":"ON", "sustainabilityurl":null, "hoursmon":"Please Call", "longitude":"-79.3004262", "uid":400726416, "retailerlinkurl":null, "hourssat":"Please Call", "clientkey":"157955", "name":"ListenUp! Canada", "locationlinkurl":null, "address1":"Business Building 3850 Finch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"phone":"416-494-6901", "address2":null, "locationimageurl":null, "_distance":"5.53",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</si>
  <si>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"latitude":"43.8106164", "url":null, "postalcode":"M1S 5A5", "province":"ON", "sustainabilityurl":null, "hoursmon":"Please Call", "longitude":"-79.2528031", "uid":1182182490, "retailerlinkurl":null, "hourssat":"Please Call", "clientkey":"78029", "name":"Federal Wireless Communication Inc.", "locationlinkurl":null, "address1":"5250 Finch Ave E Unit 11",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"phone":"416-321-6606", "address2":null, "locationimageurl":null, "_distance":"5.94",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</si>
  <si>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"latitude":"43.9568185393775", "url":"http://www.canadiantire.ca", "postalcode":"L4A 0K2", "province":"ON", "sustainabilityurl":null, "hoursmon":"8:00am-9:00pm", "longitude":"-79.2786247921156", "uid":1751302932, "retailerlinkurl":null, "hourssat":"Please Call", "clientkey":"1451", "name":"Canadian Tire", "locationlinkurl":null, "address1":"1090 Hoover Park Drive", "icon":"preferred", "bho":null, "_distanceuom":"mile", "hourssun":"Please Call", "computers":"N", "cfl":"Y", "regionalimageurl":null, "city":"Stouffville", "singleuse":"Y", "fax":null, "country":"CA", "logourl":"http://www.call2recycle.org/notpress/where2getit/canadiantire.png", "phone":"905-640-5800", "address2":null, "locationimageurl":null, "_distance":"5.94",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</si>
  <si>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"latitude":"43.9582946871189", "url":null, "postalcode":"L4A 0K2", "province":"ON", "sustainabilityurl":null, "hoursmon":"Please Call", "longitude":"-79.2718495160064", "uid":1709658346, "retailerlinkurl":null, "hourssat":"Please Call", "clientkey":"125479", "name":"Staples", "locationlinkurl":null, "address1":"1010 Hoover Park Dr", "icon":"preferred", "bho":null, "_distanceuom":"mile", "hourssun":"Please Call", "computers":"N", "cfl":"N", "regionalimageurl":null, "city":"Stouffville", "singleuse":"Y", "fax":null, "country":"CA", "logourl":"http://www.call2recycle.org/notpress/where2getit/staples.png", "phone":"905-642-6800", "address2":null, "locationimageurl":null, "_distance":"6.18",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</si>
  <si>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"latitude":"43.8093601645066", "url":null, "postalcode":"M1B 2W4", "province":"ON", "sustainabilityurl":null, "hoursmon":"Please Call", "longitude":"-79.2435452702725", "uid":537951723, "retailerlinkurl":null, "hourssat":"Please Call", "clientkey":"161193", "name":"Fastenal", "locationlinkurl":null, "address1":"2200 Markham Rd Unit 8",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"phone":"416-646-1681", "address2":null, "locationimageurl":null, "_distance":"6.30",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</si>
  <si>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"latitude":"43.9649619587629", "url":"http://www.thesource.ca", "postalcode":"L4A 1H3", "province":"ON", "sustainabilityurl":"http://www.thesource.ca/sitelets/jobs/environment.asp", "hoursmon":"Please Call", "longitude":"-79.2758659793814", "uid":1618865817, "retailerlinkurl":null, "hourssat":"Please Call", "clientkey":"58744", "name":"The Source", "locationlinkurl":null, "address1":"Business Building 5402 Main St Unit D", "icon":"preferred", "bho":null, "_distanceuom":"mile", "hourssun":"Please Call", "computers":"N", "cfl":"N", "regionalimageurl":null, "city":"Stouffville", "singleuse":"Y", "fax":null, "country":"CA", "logourl":"http://www.call2recycle.org/notpress/where2getit/thesource.png", "phone":"905-642-4776", "address2":null, "locationimageurl":null, "_distance":"6.51",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</si>
  <si>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"latitude":"43.7899618", "url":"http://www.canadiantire.ca", "postalcode":"M1S 3V5", "province":"ON", "sustainabilityurl":null, "hoursmon":"8:00am-9:00pm", "longitude":"-79.2610837", "uid":1182180694, "retailerlinkurl":null, "hourssat":"Please Call", "clientkey":"1662", "name":"Canadian Tire", "locationlinkurl":null, "address1":"4630 Sheppard Ave E", "icon":"normal", "bho":null, "_distanceuom":"mile", "hourssun":"Please Call", "computers":"N", "cfl":"Y", "regionalimageurl":null, "city":"Scarborough", "singleuse":"Y", "fax":null, "country":"CA", "logourl":"http://www.call2recycle.org/notpress/where2getit/canadiantire.png", "phone":"416-298-0000", "address2":null, "locationimageurl":null, "_distance":"6.91",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</si>
  <si>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"latitude":"43.8091281818182", "url":null, "postalcode":"M1B 4Z8", "province":"ON", "sustainabilityurl":null, "hoursmon":"Please Call", "longitude":"-79.2214209090909", "uid":1054244941, "retailerlinkurl":null, "hourssat":"Please Call", "clientkey":"158003", "name":"ListenUp! Canada", "locationlinkurl":null, "address1":"1371 Neilson Rd", "icon":"preferred", "bho":null, "_distanceuom":"mile", "hourssun":"Please Call", "computers":"N", "cfl":"N", "regionalimageurl":null, "city":"Scarborough", "singleuse":"Y", "fax":null, "country":"CA", "logourl":"http://www.call2recycle.org/notpress/where2getit/call2recycle.png", "phone":"416-282-5574", "address2":null, "locationimageurl":null, "_distance":"7.09",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</si>
  <si>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"latitude":"43.785577392966", "url":null, "postalcode":"M1S 3P8", "province":"ON", "sustainabilityurl":null, "hoursmon":"Please Call", "longitude":"-79.2556527454995", "uid":636392811, "retailerlinkurl":null, "hourssat":"Please Call", "clientkey":"169562", "name":"Franklin Empire", "locationlinkurl":null, "address1":"12 Milner Ave",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"phone":"416-299-4443", "address2":null, "locationimageurl":null, "_distance":"7.31",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</si>
  <si>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"latitude":"43.7958802857143", "url":"http://www.thesource.ca", "postalcode":"M2M 3X4", "province":"ON", "sustainabilityurl":"http://www.thesource.ca/sitelets/jobs/environment.asp", "hoursmon":"Please Call", "longitude":"-79.4195102857143", "uid":567211750, "retailerlinkurl":null, "hourssat":"Please Call", "clientkey":"673", "name":"The Source", "locationlinkurl":null, "address1":"6338 Yonge St Unit 32",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"phone":"416-223-1943", "address2":null, "locationimageurl":null, "_distance":"7.32",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</si>
  <si>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"latitude":"43.7957925", "url":"http://www.canadiantire.ca", "postalcode":"M2M 3X4", "province":"ON", "sustainabilityurl":null, "hoursmon":"8:00am-9:00pm", "longitude":"-79.41948875", "uid":121745434, "retailerlinkurl":null, "hourssat":"Please Call", "clientkey":"1506", "name":"Canadian Tire", "locationlinkurl":null, "address1":"6310 Yonge St", "icon":"preferred", "bho":null, "_distanceuom":"mile", "hourssun":"Please Call", "computers":"N", "cfl":"Y", "regionalimageurl":null, "city":"Willowdale", "singleuse":"Y", "fax":null, "country":"CA", "logourl":"http://www.call2recycle.org/notpress/where2getit/canadiantire.png", "phone":"416-222-2511", "address2":null, "locationimageurl":null, "_distance":"7.33",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</si>
  <si>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"latitude":"43.78416", "url":null, "postalcode":"M1S 5K7", "province":"ON", "sustainabilityurl":null, "hoursmon":"Please Call", "longitude":"-79.25592", "uid":677051374, "retailerlinkurl":null, "hourssat":"Please Call", "clientkey":"169748", "name":"Princess Auto", "locationlinkurl":null, "address1":"1455 McCowan Rd", "icon":"normal", "bho":null, "_distanceuom":"mile", "hourssun":"Please Call", "computers":"N", "cfl":"N", "regionalimageurl":null, "city":"Scarborough", "singleuse":"Y", "fax":null, "country":"CA", "logourl":"http://www.call2recycle.org/notpress/where2getit/PrincessAuto_150x150.png", "phone":"647-253-5600", "address2":null, "locationimageurl":null, "_distance":"7.39",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</si>
  <si>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"latitude":"43.7707414", "url":null, "postalcode":"M2K 1E2", "province":"ON", "sustainabilityurl":null, "hoursmon":"Please Call", "longitude":"-79.3658736", "uid":1913164362, "retailerlinkurl":null, "hourssat":"Please Call", "clientkey":"141590", "name":"Canadian College of Naturopathic Medicine", "locationlinkurl":null, "address1":"1255 Sheppard Ave E", "icon":"preferred", "bho":null, "_distanceuom":"mile", "hourssun":"Please Call", "computers":"N", "cfl":"N", "regionalimageurl":null, "city":"North York", "singleuse":"Y", "fax":null, "country":"CA", "logourl":"http://www.call2recycle.org/notpress/where2getit/call2recycle.png", "phone":"416-498-1255", "address2":null, "locationimageurl":null, "_distance":"7.67",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</si>
  <si>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"latitude":"43.775466", "url":null, "postalcode":"M1P 4P5", "province":"ON", "sustainabilityurl":null, "hoursmon":"Please Call", "longitude":"-79.25395", "uid":341261756, "retailerlinkurl":null, "hourssat":"Please Call", "clientkey":"159869", "name":"Best Buy", "locationlinkurl":null, "address1":"Scarborough Town Centre 300 Borough Drive", "icon":"normal", "bho":null, "_distanceuom":"mile", "hourssun":"Please Call", "computers":"N", "cfl":"N", "regionalimageurl":null, "city":"Scarborough", "singleuse":"Y", "fax":null, "country":"CA", "logourl":"http://www.call2recycle.org/notpress/where2getit/bestbuy.png", "phone":"--", "address2":null, "locationimageurl":null, "_distance":"7.97",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</si>
  <si>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"latitude":"43.8082546569289", "url":"http://www.thesource.ca", "postalcode":"L4J 4P8", "province":"ON", "sustainabilityurl":"http://www.thesource.ca/sitelets/jobs/environment.asp", "hoursmon":"Please Call", "longitude":"-79.4543521119226", "uid":211152293, "retailerlinkurl":null, "hourssat":"Please Call", "clientkey":"447", "name":"The Source", "locationlinkurl":null, "address1":"159-1 Promenade Cir", "icon":"normal", "bho":null, "_distanceuom":"mile", "hourssun":"Please Call", "computers":"N", "cfl":"N", "regionalimageurl":null, "city":"Thornhill", "singleuse":"Y", "fax":null, "country":"CA", "logourl":"http://www.call2recycle.org/notpress/where2getit/thesource.png", "phone":"905-889-0074", "address2":null, "locationimageurl":null, "_distance":"7.98",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</si>
  <si>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"latitude":"43.77976", "url":null, "postalcode":"M2M 3X4", "province":"ON", "sustainabilityurl":null, "hoursmon":"Please Call", "longitude":"-79.41556", "uid":341261758, "retailerlinkurl":null, "hourssat":"Please Call", "clientkey":"159872", "name":"Best Buy", "locationlinkurl":null, "address1":"106-6464 Yonge Street", "icon":"normal", "bho":null, "_distanceuom":"mile", "hourssun":"Please Call", "computers":"N", "cfl":"N", "regionalimageurl":null, "city":"North York", "singleuse":"Y", "fax":null, "country":"CA", "logourl":"http://www.call2recycle.org/notpress/where2getit/bestbuy.png", "phone":"--", "address2":null, "locationimageurl":null, "_distance":"8.11",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</si>
  <si>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"latitude":"43.76262", "url":null, "postalcode":"M1R 4E6", "province":"ON", "sustainabilityurl":null, "hoursmon":"Please Call", "longitude":"-79.29468", "uid":-2116053969, "retailerlinkurl":null, "hourssat":"Please Call", "clientkey":"156624", "name":"Home Depot", "locationlinkurl":null, "address1":"428 Ellesmere Rd", "icon":"preferred", "bho":null, "_distanceuom":"mile", "hourssun":"Please Call", "computers":"N", "cfl":"N", "regionalimageurl":null, "city":"Scarborough", "singleuse":"Y", "fax":null, "country":"CA", "logourl":"http://www.call2recycle.org/notpress/where2getit/homedepot.png", "phone":"416-609-1800", "address2":null, "locationimageurl":null, "_distance":"8.14",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</si>
  <si>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"latitude":"43.75861", "url":null, "postalcode":"M1R 4B7", "province":"ON", "sustainabilityurl":null, "hoursmon":"Please Call", "longitude":"-79.31211", "uid":-1182935221, "retailerlinkurl":null, "hourssat":"Please Call", "clientkey":"102528", "name":"Staples", "locationlinkurl":null, "address1":"95 Ellesmere Road",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"phone":"416-444-5237", "address2":null, "locationimageurl":null, "_distance":"8.29",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</si>
  <si>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"latitude":"43.79976", "url":null, "postalcode":"M1V 1K4", "province":"ON", "sustainabilityurl":null, "hoursmon":"Please Call", "longitude":"-79.19677", "uid":-1895093122, "retailerlinkurl":null, "hourssat":"Please Call", "clientkey":"144667", "name":"Staples", "locationlinkurl":null, "address1":"850 Milner Ave.",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"phone":"416-208-7728", "address2":null, "locationimageurl":null, "_distance":"8.44",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</si>
  <si>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"latitude":"43.8014078156504", "url":null, "postalcode":"M1B 5N6", "province":"ON", "sustainabilityurl":null, "hoursmon":"Please Call", "longitude":"-79.1945958807861", "uid":1928299190, "retailerlinkurl":null, "hourssat":"Please Call", "clientkey":"129688", "name":"Home Depot", "locationlinkurl":null, "address1":"60 Grand Marshall Drive",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"phone":"416-283-3166", "address2":null, "locationimageurl":null, "_distance":"8.45",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</si>
  <si>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"latitude":"43.7644127", "url":"http://www.rona.ca", "postalcode":"M2N 3B1", "province":"ON", "sustainabilityurl":"http://www.rona.ca/corporate/corporate-responsibility", "hoursmon":"Please Call", "longitude":"-79.3993942", "uid":1182192166, "retailerlinkurl":null, "hourssat":"Please Call", "clientkey":"38931", "name":"RONA", "locationlinkurl":null, "address1":"258 Sheppard Ave E", "icon":"preferred", "bho":null, "_distanceuom":"mile", "hourssun":"Please Call", "computers":"N", "cfl":"Y", "regionalimageurl":null, "city":"North York", "singleuse":"Y", "fax":null, "country":"CA", "logourl":"http://www.call2recycle.org/notpress/where2getit/rona.png", "phone":"416-225-7726", "address2":null, "locationimageurl":null, "_distance":"8.65",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</si>
  <si>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"latitude":"43.81358", "url":"http://www.canadiantire.ca", "postalcode":"L4J 8R9", "province":"ON", "sustainabilityurl":null, "hoursmon":"8:00am-9:00pm", "longitude":"-79.47625", "uid":-473872855, "retailerlinkurl":null, "hourssat":"Please Call", "clientkey":"163898", "name":"Canadian Tire", "locationlinkurl":null, "address1":"8081 Dufferin St", "icon":"preferred", "bho":null, "_distanceuom":"mile", "hourssun":"Please Call", "computers":"N", "cfl":"Y", "regionalimageurl":null, "city":"Thornhill", "singleuse":"Y", "fax":null, "country":"CA", "logourl":"http://www.call2recycle.org/notpress/where2getit/canadiantire.png", "phone":"905-889-7455", "address2":null, "locationimageurl":null, "_distance":"8.68",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</si>
  <si>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"latitude":"43.768118", "url":null, "postalcode":"M2N 6Z4", "province":"ON", "sustainabilityurl":null, "hoursmon":"Please Call", "longitude":"-79.412616", "uid":-725079944, "retailerlinkurl":null, "hourssat":"Please Call", "clientkey":"24275", "name":"Best Buy Canada", "locationlinkurl":null, "address1":"5095 Yonge St.", "icon":"preferred", "bho":null, "_distanceuom":"mile", "hourssun":"Please Call", "computers":"N", "cfl":"N", "regionalimageurl":null, "city":"North York", "singleuse":"Y", "fax":null, "country":"CA", "logourl":"http://www.call2recycle.org/notpress/where2getit/bestbuy.png", "phone":"416-642-7980",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</si>
  <si>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"latitude":"43.817102051282", "url":null, "postalcode":"L4K 3N6", "province":"ON", "sustainabilityurl":null, "hoursmon":"Please Call", "longitude":"-79.4836097435897", "uid":1182176133, "retailerlinkurl":null, "hourssat":"Please Call", "clientkey":"110691", "name":"Kelcom", "locationlinkurl":null, "address1":"161 North Rivermede Rd", "icon":"preferred", "bho":null, "_distanceuom":"mile", "hourssun":"Please Call", "computers":"N", "cfl":"N", "regionalimageurl":null, "city":"Concord", "singleuse":"Y", "fax":null, "country":"CA", "logourl":"http://www.call2recycle.org/notpress/where2getit/call2recycle.png", "phone":"905-761-6070", "address2":null, "locationimageurl":null, "_distance":"8.88",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</si>
  <si>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"latitude":"43.78216", "url":null, "postalcode":"M1E 5E9", "province":"ON", "sustainabilityurl":null, "hoursmon":"Please Call", "longitude":"-79.207", "uid":400726458, "retailerlinkurl":null, "hourssat":"Please Call", "clientkey":"157994", "name":"ListenUp! Canada", "locationlinkurl":null, "address1":"Medical Business Building 2863 Ellesmere Rd",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"phone":"416-283-1940", "address2":null, "locationimageurl":null, "_distance":"8.92",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</si>
  <si>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"latitude":"43.7984506", "url":null, "postalcode":"L4J 7R5", "province":"ON", "sustainabilityurl":null, "hoursmon":"Please Call", "longitude":"-79.4709573", "uid":1849729758, "retailerlinkurl":null, "hourssat":"Please Call", "clientkey":"102526", "name":"Staples", "locationlinkurl":null, "address1":"1450 Clark Ave W Unit 1", "icon":"preferred", "bho":null, "_distanceuom":"mile", "hourssun":"Please Call", "computers":"N", "cfl":"N", "regionalimageurl":null, "city":"Thornhill", "singleuse":"Y", "fax":null, "country":"CA", "logourl":"http://www.call2recycle.org/notpress/where2getit/staples.png", "phone":"905-669-5096", "address2":null, "locationimageurl":null, "_distance":"9.05",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</si>
  <si>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"latitude":"43.811413837805", "url":null, "postalcode":"L4K 3M7", "province":"ON", "sustainabilityurl":null, "hoursmon":"Please Call", "longitude":"-79.4880696655048", "uid":119641491, "retailerlinkurl":null, "hourssat":"Please Call", "clientkey":"110196", "name":"Trion Power Tools Services Inc.", "locationlinkurl":null, "address1":"176 Rivermede Rd Unit 78",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"phone":"905-738-5060", "address2":null, "locationimageurl":null, "_distance":"9.27",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</si>
  <si>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"latitude":"43.7441644444444", "url":null, "postalcode":"M3B 2W7", "province":"ON", "sustainabilityurl":null, "hoursmon":"Please Call", "longitude":"-79.3454033333333", "uid":400726431, "retailerlinkurl":null, "hourssat":"Please Call", "clientkey":"157969", "name":"ListenUp! Canada", "locationlinkurl":null, "address1":"1262 Don Mills Rd",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"phone":"416-441-3251", "address2":null, "locationimageurl":null, "_distance":"9.30",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</si>
  <si>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"latitude":"43.74771", "url":null, "postalcode":"M2L 2Y5", "province":"ON", "sustainabilityurl":null, "hoursmon":"Please Call", "longitude":"-79.3856283333333", "uid":502592011, "retailerlinkurl":null, "hourssat":"Please Call", "clientkey":"157959", "name":"ListenUp! Canada", "locationlinkurl":null, "address1":"300 York Mills Rd",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"phone":"416-510-2705", "address2":null, "locationimageurl":null, "_distance":"9.48",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</si>
  <si>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"latitude":"43.7601748", "url":null, "postalcode":"M1H 1A9", "province":"ON", "sustainabilityurl":null, "hoursmon":"Please Call", "longitude":"-79.2284333", "uid":400726444, "retailerlinkurl":null, "hourssat":"Please Call", "clientkey":"157978", "name":"ListenUp! Canada", "locationlinkurl":null, "address1":"3434 Lawrence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"phone":"416-439-7888", "address2":null, "locationimageurl":null, "_distance":"9.51",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</si>
  <si>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"latitude":"43.7846456", "url":null, "postalcode":"M3J 3A8", "province":"ON", "sustainabilityurl":null, "hoursmon":"Please Call", "longitude":"-79.4809113", "uid":1935457476, "retailerlinkurl":null, "hourssat":"Please Call", "clientkey":"78352", "name":"Home Depot", "locationlinkurl":null, "address1":"2375 Steeles Ave W", "icon":"preferred", "bho":null, "_distanceuom":"mile", "hourssun":"Please Call", "computers":"N", "cfl":"N", "regionalimageurl":null, "city":"North York", "singleuse":"Y", "fax":null, "country":"CA", "logourl":"http://www.call2recycle.org/notpress/where2getit/homedepot.png", "phone":"416-664-9800", "address2":null, "locationimageurl":null, "_distance":"10.04",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</si>
  <si>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"latitude":"43.7665105", "url":null, "postalcode":"M1E 2S2", "province":"ON", "sustainabilityurl":null, "hoursmon":"Please Call", "longitude":"-79.1926905", "uid":400726429, "retailerlinkurl":null, "hourssat":"Please Call", "clientkey":"157968", "name":"ListenUp! Canada", "locationlinkurl":null, "address1":"4125 Lawrence Ave E",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"phone":"416-724-9600", "address2":null, "locationimageurl":null, "_distance":"10.20",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</si>
  <si>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"latitude":"43.7976226086956", "url":"http://www.canadiantire.ca", "postalcode":"M1B 4X3", "province":"ON", "sustainabilityurl":null, "hoursmon":"8:00am-9:00pm", "longitude":"-79.1538730434783", "uid":-2116053898, "retailerlinkurl":null, "hourssat":"Please Call", "clientkey":"156622", "name":"Canadian Tire", "locationlinkurl":null, "address1":"111 Rylander Blvd", "icon":"preferred", "bho":null, "_distanceuom":"mile", "hourssun":"Please Call", "computers":"N", "cfl":"Y", "regionalimageurl":null, "city":"Scarborough", "singleuse":"Y", "fax":null, "country":"CA", "logourl":"http://www.call2recycle.org/notpress/where2getit/canadiantire.png", "phone":"416-283-7707", "address2":null, "locationimageurl":null, "_distance":"10.25",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</si>
  <si>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"latitude":"43.7205099", "url":null, "postalcode":"M9W 6K5", "province":"ON", "sustainabilityurl":null, "hoursmon":"Please Call", "longitude":"-79.6000779", "uid":341261755, "retailerlinkurl":null, "hourssat":"Please Call", "clientkey":"159868", "name":"Best Buy", "locationlinkurl":null, "address1":"Woodbine Plaza 500 Boulevard Rexdale", "icon":"normal", "bho":null, "_distanceuom":"mile", "hourssun":"Please Call", "computers":"N", "cfl":"N", "regionalimageurl":null, "city":"Etobicoke", "singleuse":"Y", "fax":null, "country":"CA", "logourl":"http://www.call2recycle.org/notpress/where2getit/bestbuy.png", "phone":"--", "address2":null, "locationimageurl":null, "_distance":"0.80",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</si>
  <si>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"latitude":"43.70865", "url":null, "postalcode":"M9W 4J4", "province":"ON", "sustainabilityurl":null, "hoursmon":"Please Call", "longitude":"-79.565265", "uid":116280485, "retailerlinkurl":null, "hourssat":"Please Call", "clientkey":"153313", "name":"Home Depot", "locationlinkurl":null, "address1":"1983 Kipling Ave", "icon":"preferred", "bho":null, "_distanceuom":"mile", "hourssun":"Please Call", "computers":"N", "cfl":"N", "regionalimageurl":null, "city":"Etobicoke", "singleuse":"Y", "fax":null, "country":"CA", "logourl":"http://www.call2recycle.org/notpress/where2getit/homedepot.png", "phone":"416-746-1357", "address2":null, "locationimageurl":null, "_distance":"2.20",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</si>
  <si>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"latitude":"43.69355", "url":null, "postalcode":"M9W 5G6", "province":"ON", "sustainabilityurl":null, "hoursmon":"Please Call", "longitude":"-79.59861", "uid":636392832, "retailerlinkurl":null, "hourssat":"Please Call", "clientkey":"169589", "name":"Franklin Empire", "locationlinkurl":null, "address1":"350 Carlingview Dr", "icon":"normal", "bho":null, "_distanceuom":"mile", "hourssun":"Please Call", "computers":"N", "cfl":"N", "regionalimageurl":null, "city":"Etobicoke", "singleuse":"Y", "fax":null, "country":"CA", "logourl":"http://www.call2recycle.org/notpress/where2getit/call2recycle.png", "phone":"416-248-0176", "address2":null, "locationimageurl":null, "_distance":"2.64",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</si>
  <si>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"latitude":"43.68765", "url":"http://www.thesource.ca", "postalcode":"L5P 1B2", "province":"ON", "sustainabilityurl":"http://www.thesource.ca/sitelets/jobs/environment.asp", "hoursmon":"Please Call", "longitude":"-79.62194", "uid":1016919850, "retailerlinkurl":null, "hourssat":"Please Call", "clientkey":"161425", "name":"La Source", "locationlinkurl":null, "address1":"6301 Silver Dart Drive",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"phone":"905-672-6301", "address2":null, "locationimageurl":null, "_distance":"3.31",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</si>
  <si>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"latitude":"43.6811083333333", "url":null, "postalcode":"M9W 1A4", "province":"ON", "sustainabilityurl":null, "hoursmon":"Please Call", "longitude":"-79.5916170833333", "uid":1182185252, "retailerlinkurl":null, "hourssat":"Please Call", "clientkey":"35355", "name":"Lakeshore Communications", "locationlinkurl":null, "address1":"30 Meteor Drive",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"phone":"416-675-2929", "address2":null, "locationimageurl":null, "_distance":"3.50",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</si>
  <si>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"latitude":"43.7824005", "url":null, "postalcode":"L4H 0P6", "province":"ON", "sustainabilityurl":null, "hoursmon":"Please Call", "longitude":"-79.5814143", "uid":696651457, "retailerlinkurl":null, "hourssat":"Please Call", "clientkey":"157992", "name":"ListenUp! Canada", "locationlinkurl":null, "address1":"7 Hwy",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"phone":"905-850-8065", "address2":null, "locationimageurl":null, "_distance":"3.57",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</si>
  <si>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"latitude":"43.7847275", "url":null, "postalcode":"L4L 2S7", "province":"ON", "sustainabilityurl":null, "hoursmon":"Please Call", "longitude":"-79.593464375", "uid":642399735, "retailerlinkurl":null, "hourssat":"Please Call", "clientkey":"168472", "name":"Vaughan Public Libraries", "locationlinkurl":null, "address1":"150 Woodbridge Ave",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"phone":"905-653-7323", "address2":null, "locationimageurl":null, "_distance":"3.66",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</si>
  <si>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"latitude":"43.7867956637033", "url":null, "postalcode":"L4L 6A9", "province":"ON", "sustainabilityurl":null, "hoursmon":"Please Call", "longitude":"-79.5535294998399", "uid":-1916142271, "retailerlinkurl":null, "hourssat":"Please Call", "clientkey":"79113", "name":"Advantech Communication Systems", "locationlinkurl":null, "address1":"90 Winges Rd Unit 10", "icon":"normal", "bho":null, "_distanceuom":"mile", "hourssun":"Please Call", "computers":"N", "cfl":"N", "regionalimageurl":null, "city":"Woodbridge", "singleuse":"Y", "fax":null, "country":"CA", "logourl":"http://www.call2recycle.org/notpress/where2getit/call2recycle.png", "phone":"905-266-1901", "address2":null, "locationimageurl":null, "_distance":"4.35",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</si>
  <si>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"latitude":"43.7887668115942", "url":"http://www.canadiantire.ca", "postalcode":"L4L 9C3", "province":"ON", "sustainabilityurl":null, "hoursmon":"8:00am-9:00pm", "longitude":"-79.5506539130435", "uid":-473872663, "retailerlinkurl":null, "hourssat":"Please Call", "clientkey":"163900", "name":"Canadian Tire", "locationlinkurl":null, "address1":"3850 Highway 7", "icon":"normal", "bho":null, "_distanceuom":"mile", "hourssun":"Please Call", "computers":"N", "cfl":"Y", "regionalimageurl":null, "city":"Woodbridge", "singleuse":"Y", "fax":null, "country":"CA", "logourl":"http://www.call2recycle.org/notpress/where2getit/canadiantire.png", "phone":"905-851-3214", "address2":null, "locationimageurl":null, "_distance":"4.54",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</si>
  <si>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"latitude":"43.7854118", "url":null, "postalcode":"L4L 9J8", "province":"ON", "sustainabilityurl":null, "hoursmon":"Please Call", "longitude":"-79.5413764", "uid":1834474764, "retailerlinkurl":null, "hourssat":"Please Call", "clientkey":"153718", "name":"Staples", "locationlinkurl":null, "address1":"Unit D30", "icon":"preferred", "bho":null, "_distanceuom":"mile", "hourssun":"Please Call", "computers":"N", "cfl":"N", "regionalimageurl":null, "city":"Vaughan", "singleuse":"Y", "fax":null, "country":"CA", "logourl":"http://www.call2recycle.org/notpress/where2getit/staples.png", "phone":"905-856-6588", "address2":null, "locationimageurl":null, "_distance":"4.60",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</si>
  <si>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"latitude":"43.7920975864228", "url":null, "postalcode":"L4L 8T2", "province":"ON", "sustainabilityurl":null, "hoursmon":"Please Call", "longitude":"-79.5438865267616", "uid":1935457485, "retailerlinkurl":null, "hourssat":"Please Call", "clientkey":"39383", "name":"Home Depot", "locationlinkurl":null, "address1":"140 Northview Blvd", "icon":"preferred", "bho":null, "_distanceuom":"mile", "hourssun":"Please Call", "computers":"N", "cfl":"N", "regionalimageurl":null, "city":"Woodbridge", "singleuse":"Y", "fax":null, "country":"CA", "logourl":"http://www.call2recycle.org/notpress/where2getit/homedepot.png", "phone":"905-851-1800", "address2":null, "locationimageurl":null, "_distance":"4.91",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</si>
  <si>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"latitude":"43.6612163079398", "url":null, "postalcode":"L4W 5L1", "province":"ON", "sustainabilityurl":null, "hoursmon":"Please Call", "longitude":"-79.6085778031673", "uid":174258532, "retailerlinkurl":null, "hourssat":"Please Call", "clientkey":"150363", "name":"Ricoh Canada", "locationlinkurl":null, "address1":"Business Building 5520 Explorer Drive",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"phone":"905-795-7926", "address2":null, "locationimageurl":null, "_distance":"4.91",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</si>
  <si>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"latitude":"43.7111904510481", "url":null, "postalcode":"L6T 1C1", "province":"ON", "sustainabilityurl":null, "hoursmon":"Please Call", "longitude":"-79.6904347644193", "uid":1707706644, "retailerlinkurl":null, "hourssat":"Please Call", "clientkey":"152640", "name":"Transcontinental Printing", "locationlinkurl":null, "address1":"138 East Drive", "icon":"normal", "bho":null, "_distanceuom":"mile", "hourssun":"Please Call", "computers":"N", "cfl":"N", "regionalimageurl":null, "city":"Brampton", "singleuse":"Y", "fax":null, "country":"CA", "logourl":"http://www.call2recycle.org/notpress/where2getit/call2recycle.png", "phone":"905-458-4777", "address2":null, "locationimageurl":null, "_distance":"4.94",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</si>
  <si>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"latitude":"43.6680095533643", "url":null, "postalcode":"L5T 1G6", "province":"ON", "sustainabilityurl":null, "hoursmon":"Please Call", "longitude":"-79.6452371511541", "uid":689474106, "retailerlinkurl":null, "hourssat":"Please Call", "clientkey":"169778", "name":"Staples Canada", "locationlinkurl":null, "address1":"1865 Meyerside Dr",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"phone":"905-565-2545", "address2":null, "locationimageurl":null, "_distance":"5.05",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</si>
  <si>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"latitude":"43.7422160823042", "url":null, "postalcode":"L6T 5J1", "province":"ON", "sustainabilityurl":null, "hoursmon":"Please Call", "longitude":"-79.6973981517214", "uid":2027450232, "retailerlinkurl":null, "hourssat":"Please Call", "clientkey":"68047", "name":"Staples", "locationlinkurl":null, "address1":"2937 Queen St E", "icon":"preferred", "bho":null, "_distanceuom":"mile", "hourssun":"Please Call", "computers":"N", "cfl":"N", "regionalimageurl":null, "city":"Brampton", "singleuse":"Y", "fax":null, "country":"CA", "logourl":"http://www.call2recycle.org/notpress/where2getit/staples.png", "phone":"905-791-4522", "address2":null, "locationimageurl":null, "_distance":"5.13",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</si>
  <si>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"latitude":"43.7463925195484", "url":null, "postalcode":"L6S 0B8", "province":"ON", "sustainabilityurl":null, "hoursmon":"Please Call", "longitude":"-79.6994949174633", "uid":1182176468, "retailerlinkurl":null, "hourssat":"Please Call", "clientkey":"129683", "name":"Home Depot", "locationlinkurl":null, "address1":"9105 Airport Road",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"phone":"905-494-2200", "address2":null, "locationimageurl":null, "_distance":"5.28",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</si>
  <si>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"latitude":"43.79482", "url":null, "postalcode":"L4K 3Y8", "province":"ON", "sustainabilityurl":null, "hoursmon":"Please Call", "longitude":"-79.53192", "uid":921156536, "retailerlinkurl":null, "hourssat":"Please Call", "clientkey":"135242", "name":"Lowes", "locationlinkurl":null, "address1":"100 Edgeley Blvd", "icon":"preferred", "bho":null, "_distanceuom":"mile", "hourssun":"Please Call", "computers":"N", "cfl":"N", "regionalimageurl":null, "city":"Vaughan", "singleuse":"Y", "fax":null, "country":"CA", "logourl":"http://www.call2recycle.org/notpress/where2getit/lowes.png", "phone":"905-532-5630", "address2":null, "locationimageurl":null, "_distance":"5.40",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</si>
  <si>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"latitude":"43.6680075233941", "url":null, "postalcode":"L5T 2Z9", "province":"ON", "sustainabilityurl":null, "hoursmon":"Please Call", "longitude":"-79.664780667741", "uid":677051360, "retailerlinkurl":null, "hourssat":"Please Call", "clientkey":"169702", "name":"Princess Auto", "locationlinkurl":null, "address1":"6608 Dixie Rd", "icon":"normal", "bho":null, "_distanceuom":"mile", "hourssun":"Please Call", "computers":"N", "cfl":"N", "regionalimageurl":null, "city":"Mississauga", "singleuse":"Y", "fax":null, "country":"CA", "logourl":"http://www.call2recycle.org/notpress/where2getit/PrincessAuto_150x150.png", "phone":"905-564-1011", "address2":null, "locationimageurl":null, "_distance":"5.59",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</si>
  <si>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"latitude":"43.7807858", "url":null, "postalcode":"M2M 3Y1", "province":"ON", "sustainabilityurl":null, "hoursmon":"Please Call", "longitude":"-79.4973294", "uid":537951724, "retailerlinkurl":null, "hourssat":"Please Call", "clientkey":"161194", "name":"Fastenal", "locationlinkurl":null, "address1":"Steeles Ave W", "icon":"normal", "bho":null, "_distanceuom":"mile", "hourssun":"Please Call", "computers":"N", "cfl":"N", "regionalimageurl":null, "city":"North York", "singleuse":"Y", "fax":null, "country":"CA", "logourl":"http://www.call2recycle.org/notpress/where2getit/call2recycle.png", "phone":"416-646-1681", "address2":null, "locationimageurl":null, "_distance":"5.97",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</si>
  <si>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"latitude":"43.6598001549726", "url":null, "postalcode":"L5T 1W8", "province":"ON", "sustainabilityurl":null, "hoursmon":"Please Call", "longitude":"-79.6637084686646", "uid":341261721, "retailerlinkurl":null, "hourssat":"Please Call", "clientkey":"159751", "name":"Staples Canada", "locationlinkurl":null, "address1":"6450 Vipond Drive", "icon":"normal", "bho":null, "_distanceuom":"mile", "hourssun":"Please Call", "computers":"N", "cfl":"N", "regionalimageurl":null, "city":"Mississauga", "singleuse":"Y", "fax":null, "country":"CA", "logourl":"http://www.call2recycle.org/notpress/where2getit/staples.png", "phone":"289-562-2532", "address2":null, "locationimageurl":null, "_distance":"6.02",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</si>
  <si>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"latitude":"43.6605323529412", "url":"http://www.rona.ca", "postalcode":"M8X 1Y6", "province":"ON", "sustainabilityurl":"http://www.rona.ca/corporate/corporate-responsibility", "hoursmon":"Please Call", "longitude":"-79.5107564705882", "uid":-2079340080, "retailerlinkurl":null, "hourssat":"Please Call", "clientkey":"68486", "name":"RONA", "locationlinkurl":null, "address1":"4208 Dundas St W", "icon":"preferred", "bho":null, "_distanceuom":"mile", "hourssun":"Please Call", "computers":"N", "cfl":"Y", "regionalimageurl":null, "city":"Etobicoke", "singleuse":"Y", "fax":null, "country":"CA", "logourl":"http://www.call2recycle.org/notpress/where2getit/rona.png", "phone":"416-232-1460", "address2":null, "locationimageurl":null, "_distance":"6.50",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</si>
  <si>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"latitude":"43.63927", "url":null, "postalcode":"L4W 5K1", "province":"ON", "sustainabilityurl":null, "hoursmon":"Please Call", "longitude":"-79.62362", "uid":-2116053868, "retailerlinkurl":null, "hourssat":"Please Call", "clientkey":"68075", "name":"Staples", "locationlinkurl":null, "address1":"1530 Aimco Blvd",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"phone":"905-602-5889", "address2":null, "locationimageurl":null, "_distance":"6.54",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</si>
  <si>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"latitude":"43.7846456", "url":null, "postalcode":"M3J 3A8", "province":"ON", "sustainabilityurl":null, "hoursmon":"Please Call", "longitude":"-79.4809113", "uid":1935457476, "retailerlinkurl":null, "hourssat":"Please Call", "clientkey":"78352", "name":"Home Depot", "locationlinkurl":null, "address1":"2375 Steeles Ave W", "icon":"preferred", "bho":null, "_distanceuom":"mile", "hourssun":"Please Call", "computers":"N", "cfl":"N", "regionalimageurl":null, "city":"North York", "singleuse":"Y", "fax":null, "country":"CA", "logourl":"http://www.call2recycle.org/notpress/where2getit/homedepot.png", "phone":"416-664-9800", "address2":null, "locationimageurl":null, "_distance":"6.80",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</si>
  <si>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"latitude":"43.7012625", "url":null, "postalcode":"M6B 3X8", "province":"ON", "sustainabilityurl":null, "hoursmon":"Please Call", "longitude":"-79.4641591666667", "uid":1841671316, "retailerlinkurl":null, "hourssat":"Please Call", "clientkey":"43570", "name":"Home Depot", "locationlinkurl":null, "address1":"825 Caledonia Rd",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"phone":"416-780-4730", "address2":null, "locationimageurl":null, "_distance":"6.90",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</si>
  <si>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"latitude":"43.67934", "url":null, "postalcode":"L6W 4R8", "province":"ON", "sustainabilityurl":null, "hoursmon":"Please Call", "longitude":"-79.71553", "uid":1986321997, "retailerlinkurl":null, "hourssat":"Please Call", "clientkey":"154783", "name":"Home Depot", "locationlinkurl":null, "address1":"49 First Gulf Blvd",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"phone":"905-457-1800", "address2":null, "locationimageurl":null, "_distance":"6.99",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</si>
  <si>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"latitude":"43.7298423415831", "url":null, "postalcode":"M3K 2C8", "province":"ON", "sustainabilityurl":null, "hoursmon":"Please Call", "longitude":"-79.4540872039017", "uid":1991949933, "retailerlinkurl":null, "hourssat":"Please Call", "clientkey":"43571", "name":"Home Depot", "locationlinkurl":null, "address1":"90 Billy Bishop Way",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"phone":"416-373-6000", "address2":null, "locationimageurl":null, "_distance":"7.07",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</si>
  <si>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"latitude":"43.749713093676", "url":null, "postalcode":"L6R 0W3", "province":"ON", "sustainabilityurl":null, "hoursmon":"Please Call", "longitude":"-79.7391703430019", "uid":400726424, "retailerlinkurl":null, "hourssat":"Please Call", "clientkey":"157965", "name":"ListenUp! Canada", "locationlinkurl":null, "address1":"2250 Bovaird Dr E", "icon":"normal", "bho":null, "_distanceuom":"mile", "hourssun":"Please Call", "computers":"N", "cfl":"N", "regionalimageurl":null, "city":"Brampton", "singleuse":"Y", "fax":null, "country":"CA", "logourl":"http://www.call2recycle.org/notpress/where2getit/call2recycle.png", "phone":"905-595-2844", "address2":null, "locationimageurl":null, "_distance":"7.27",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</si>
  <si>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"latitude":"43.6254612467473", "url":"http://www.rona.ca", "postalcode":"L4W 1V5", "province":"ON", "sustainabilityurl":"http://www.rona.ca/corporate/corporate-responsibility", "hoursmon":"Please Call", "longitude":"-79.6065350291245", "uid":802759546, "retailerlinkurl":null, "hourssat":"Please Call", "clientkey":"156296", "name":"RONA", "locationlinkurl":null, "address1":"Rockwood Mall 4141 Dixie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"phone":"905-602-0795", "address2":null, "locationimageurl":null, "_distance":"7.36",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</si>
  <si>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"latitude":"43.8297258263448", "url":"http://www.canadiantire.ca", "postalcode":"L4K 5R3", "province":"ON", "sustainabilityurl":null, "hoursmon":"8:00am-9:00pm", "longitude":"-79.5372892772554", "uid":1182176231, "retailerlinkurl":null, "hourssat":"Please Call", "clientkey":"116683", "name":"Canadian Tire", "locationlinkurl":null, "address1":"3200 Rutherford Rd", "icon":"preferred", "bho":null, "_distanceuom":"mile", "hourssun":"Please Call", "computers":"N", "cfl":"Y", "regionalimageurl":null, "city":"Vaughan", "singleuse":"Y", "fax":null, "country":"CA", "logourl":"http://www.call2recycle.org/notpress/where2getit/canadiantire.png", "phone":"905-417-0125", "address2":null, "locationimageurl":null, "_distance":"7.37",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</si>
  <si>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"latitude":"43.62993", "url":null, "postalcode":"M9B 3Y8", "province":"ON", "sustainabilityurl":null, "hoursmon":"Please Call", "longitude":"-79.55195", "uid":1074363251, "retailerlinkurl":null, "hourssat":"Please Call", "clientkey":"159877", "name":"Best Buy", "locationlinkurl":null, "address1":"281-250 The East Mall", "icon":"preferred", "bho":null, "_distanceuom":"mile", "hourssun":"Please Call", "computers":"N", "cfl":"N", "regionalimageurl":null, "city":"Etobicoke", "singleuse":"Y", "fax":null, "country":"CA", "logourl":"http://www.call2recycle.org/notpress/where2getit/bestbuy.png", "phone":"--", "address2":null, "locationimageurl":null, "_distance":"7.37",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</si>
  <si>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"latitude":"43.6265720048875", "url":null, "postalcode":"L4X 1L9", "province":"ON", "sustainabilityurl":null, "hoursmon":"Please Call", "longitude":"-79.5650736806528", "uid":406327067, "retailerlinkurl":null, "hourssat":"Please Call", "clientkey":"168561", "name":"uBreakiFix", "locationlinkurl":null, "address1":"2200 Dundas St E",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"phone":"905-232-0365",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</si>
  <si>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"latitude":"43.67655", "url":null, "postalcode":"L6W 4V2", "province":"ON", "sustainabilityurl":null, "hoursmon":"Please Call", "longitude":"-79.72394", "uid":1182176057, "retailerlinkurl":null, "hourssat":"Please Call", "clientkey":"105411", "name":"Lowes", "locationlinkurl":null, "address1":"370 Kennedy Rd S", "icon":"preferred", "bho":null, "_distanceuom":"mile", "hourssun":"Please Call", "computers":"N", "cfl":"N", "regionalimageurl":null, "city":"Brampton", "singleuse":"Y", "fax":null, "country":"CA", "logourl":"http://www.call2recycle.org/notpress/where2getit/lowes.png", "phone":"905-874-5000", "address2":null, "locationimageurl":null, "_distance":"7.45",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</si>
  <si>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"latitude":"43.7019", "url":null, "postalcode":"M6B 4J3", "province":"ON", "sustainabilityurl":null, "hoursmon":"Please Call", "longitude":"-79.452005", "uid":502592007, "retailerlinkurl":null, "hourssat":"Please Call", "clientkey":"157946", "name":"ListenUp! Canada", "locationlinkurl":null, "address1":"Business Building 2700 Dufferin St", "icon":"normal", "bho":null, "_distanceuom":"mile", "hourssun":"Please Call", "computers":"N", "cfl":"N", "regionalimageurl":null, "city":"York", "singleuse":"Y", "fax":null, "country":"CA", "logourl":"http://www.call2recycle.org/notpress/where2getit/call2recycle.png", "phone":"416-630-5111", "address2":null, "locationimageurl":null, "_distance":"7.47",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</si>
  <si>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"latitude":"43.6708312", "url":"http://www.canadiantire.ca", "postalcode":"M6N 5B4", "province":"ON", "sustainabilityurl":null, "hoursmon":"8:00am-9:00pm", "longitude":"-79.471975", "uid":1182174480, "retailerlinkurl":null, "hourssat":"Please Call", "clientkey":"32961", "name":"Canadian Tire", "locationlinkurl":null, "address1":"2129 St Clair Ave W",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"phone":"416-766-8141", "address2":null, "locationimageurl":null, "_distance":"7.48",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</si>
  <si>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"latitude":"43.7166569", "url":"http://www.canadiantire.ca", "postalcode":"M6A 1B6", "province":"ON", "sustainabilityurl":null, "hoursmon":"8:00am-9:00pm", "longitude":"-79.4472576", "uid":1561147013, "retailerlinkurl":null, "hourssat":"Please Call", "clientkey":"1465", "name":"Canadian Tire", "locationlinkurl":null, "address1":"700 Lawrence Ave. W.",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"phone":"416-787-1203", "address2":null, "locationimageurl":null, "_distance":"7.49",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</si>
  <si>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"latitude":"43.6717588", "url":null, "postalcode":"M6N 5A8", "province":"ON", "sustainabilityurl":null, "hoursmon":"Please Call", "longitude":"-79.470253", "uid":1182188660, "retailerlinkurl":null, "hourssat":"Please Call", "clientkey":"39392", "name":"Home Depot", "locationlinkurl":null, "address1":"2121 St Clair Ave W",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"phone":"416-766-2800", "address2":null, "locationimageurl":null, "_distance":"7.51",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</si>
  <si>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"latitude":"43.6694475", "url":null, "postalcode":"M6N 5G8", "province":"ON", "sustainabilityurl":null, "hoursmon":"Please Call", "longitude":"-79.4700725", "uid":708492656, "retailerlinkurl":null, "hourssat":"Please Call", "clientkey":"132807", "name":"Best Buy Canada", "locationlinkurl":null, "address1":"10 Old Stock Yards Rd",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"phone":"416-766-1577", "address2":null, "locationimageurl":null, "_distance":"7.61",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</si>
  <si>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"latitude":"43.66924", "url":"http://www.rona.ca", "postalcode":"M6N 5B7", "province":"ON", "sustainabilityurl":"http://www.rona.ca/corporate/corporate-responsibility", "hoursmon":"Please Call", "longitude":"-79.46998", "uid":1182188579, "retailerlinkurl":null, "hourssat":"Please Call", "clientkey":"38727", "name":"RONA", "locationlinkurl":null, "address1":"110 West Toronto St", "icon":"preferred", "bho":null, "_distanceuom":"mile", "hourssun":"Please Call", "computers":"N", "cfl":"Y", "regionalimageurl":null, "city":"Toronto", "singleuse":"Y", "fax":null, "country":"CA", "logourl":"http://www.call2recycle.org/notpress/where2getit/rona.png", "phone":"416-766-9393", "address2":null, "locationimageurl":null, "_distance":"7.62",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</si>
  <si>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"latitude":"43.6230371052632", "url":null, "postalcode":"L4X 2X8", "province":"ON", "sustainabilityurl":null, "hoursmon":"Please Call", "longitude":"-79.5691739473684", "uid":-1665997020, "retailerlinkurl":null, "hourssat":"Please Call", "clientkey":"102519", "name":"Staples", "locationlinkurl":null, "address1":"2040 Dundas St E Unit 1",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"phone":"905-279-4392", "address2":null, "locationimageurl":null, "_distance":"7.63",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</si>
  <si>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"latitude":"43.811413837805", "url":null, "postalcode":"L4K 3M7", "province":"ON", "sustainabilityurl":null, "hoursmon":"Please Call", "longitude":"-79.4880696655048", "uid":119641491, "retailerlinkurl":null, "hourssat":"Please Call", "clientkey":"110196", "name":"Trion Power Tools Services Inc.", "locationlinkurl":null, "address1":"176 Rivermede Rd Unit 78",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"phone":"905-738-5060", "address2":null, "locationimageurl":null, "_distance":"7.69",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</si>
  <si>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"latitude":"43.6700824", "url":null, "postalcode":"M6N 3E2", "province":"ON", "sustainabilityurl":null, "hoursmon":"Please Call", "longitude":"-79.4664952", "uid":116280463, "retailerlinkurl":null, "hourssat":"Please Call", "clientkey":"150705", "name":"Staples", "locationlinkurl":null, "address1":"542 Keele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"phone":"416-762-2816", "address2":null, "locationimageurl":null, "_distance":"7.74",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</si>
  <si>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"latitude":"43.7984506", "url":null, "postalcode":"L4J 7R5", "province":"ON", "sustainabilityurl":null, "hoursmon":"Please Call", "longitude":"-79.4709573", "uid":1849729758, "retailerlinkurl":null, "hourssat":"Please Call", "clientkey":"102526", "name":"Staples", "locationlinkurl":null, "address1":"1450 Clark Ave W Unit 1", "icon":"preferred", "bho":null, "_distanceuom":"mile", "hourssun":"Please Call", "computers":"N", "cfl":"N", "regionalimageurl":null, "city":"Thornhill", "singleuse":"Y", "fax":null, "country":"CA", "logourl":"http://www.call2recycle.org/notpress/where2getit/staples.png", "phone":"905-669-5096", "address2":null, "locationimageurl":null, "_distance":"7.75",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</si>
  <si>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"latitude":"43.8358008333333", "url":null, "postalcode":"M6B 4H8", "province":"ON", "sustainabilityurl":null, "hoursmon":"Please Call", "longitude":"-79.5337363888889", "uid":502592021, "retailerlinkurl":null, "hourssat":"Please Call", "clientkey":"157964", "name":"ListenUp! Canada", "locationlinkurl":null, "address1":"9421 Jane St", "icon":"normal", "bho":null, "_distanceuom":"mile", "hourssun":"Please Call", "computers":"N", "cfl":"N", "regionalimageurl":null, "city":"Vaughan", "singleuse":"Y", "fax":null, "country":"CA", "logourl":"http://www.call2recycle.org/notpress/where2getit/call2recycle.png", "phone":"905-303-2224", "address2":null, "locationimageurl":null, "_distance":"7.83",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</si>
  <si>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"latitude":"43.6438509859155", "url":"http://www.thesource.ca", "postalcode":"L5T 2L6", "province":"ON", "sustainabilityurl":"http://www.thesource.ca/sitelets/jobs/environment.asp", "hoursmon":"Please Call", "longitude":"-79.6964157746479", "uid":1182188961, "retailerlinkurl":null, "hourssat":"Please Call", "clientkey":"57252", "name":"The Source", "locationlinkurl":null, "address1":"171 Superior Blvd Unit 6", "icon":"preferred", "bho":null, "_distanceuom":"mile", "hourssun":"Please Call", "computers":"N", "cfl":"N", "regionalimageurl":null, "city":"Mississauga", "singleuse":"Y", "fax":null, "country":"CA", "logourl":"http://www.call2recycle.org/notpress/where2getit/thesource.png", "phone":"905-673-0140", "address2":null, "locationimageurl":null, "_distance":"7.88",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</si>
  <si>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"latitude":"43.649745", "url":null, "postalcode":"M6S 1P5", "province":"ON", "sustainabilityurl":null, "hoursmon":"Please Call", "longitude":"-79.482619375", "uid":400726499, "retailerlinkurl":null, "hourssat":"Please Call", "clientkey":"157927", "name":"ListenUp! Canada", "locationlinkurl":null, "address1":"2390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"phone":"416-767-7523", "address2":null, "locationimageurl":null, "_distance":"8.00",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</si>
  <si>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"latitude":"43.629895", "url":"http://www.rona.ca", "postalcode":"M8Z 4P8", "province":"ON", "sustainabilityurl":"http://www.rona.ca/corporate/corporate-responsibility", "hoursmon":"Please Call", "longitude":"-79.5173525", "uid":1910674697, "retailerlinkurl":null, "hourssat":"Please Call", "clientkey":"154373", "name":"RONA", "locationlinkurl":null, "address1":"994 Islington Ave", "icon":"preferred", "bho":null, "_distanceuom":"mile", "hourssun":"Please Call", "computers":"N", "cfl":"Y", "regionalimageurl":null, "city":"Etobicoke", "singleuse":"Y", "fax":null, "country":"CA", "logourl":"http://www.call2recycle.org/notpress/where2getit/rona.png", "phone":"416-503-2469", "address2":null, "locationimageurl":null, "_distance":"8.05",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</si>
  <si>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"latitude":"43.817102051282", "url":null, "postalcode":"L4K 3N6", "province":"ON", "sustainabilityurl":null, "hoursmon":"Please Call", "longitude":"-79.4836097435897", "uid":1182176133, "retailerlinkurl":null, "hourssat":"Please Call", "clientkey":"110691", "name":"Kelcom", "locationlinkurl":null, "address1":"161 North Rivermede Rd", "icon":"preferred", "bho":null, "_distanceuom":"mile", "hourssun":"Please Call", "computers":"N", "cfl":"N", "regionalimageurl":null, "city":"Concord", "singleuse":"Y", "fax":null, "country":"CA", "logourl":"http://www.call2recycle.org/notpress/where2getit/call2recycle.png", "phone":"905-761-6070", "address2":null, "locationimageurl":null, "_distance":"8.13",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</si>
  <si>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"latitude":"43.81358", "url":"http://www.canadiantire.ca", "postalcode":"L4J 8R9", "province":"ON", "sustainabilityurl":null, "hoursmon":"8:00am-9:00pm", "longitude":"-79.47625", "uid":-473872855, "retailerlinkurl":null, "hourssat":"Please Call", "clientkey":"163898", "name":"Canadian Tire", "locationlinkurl":null, "address1":"8081 Dufferin St", "icon":"preferred", "bho":null, "_distanceuom":"mile", "hourssun":"Please Call", "computers":"N", "cfl":"Y", "regionalimageurl":null, "city":"Thornhill", "singleuse":"Y", "fax":null, "country":"CA", "logourl":"http://www.call2recycle.org/notpress/where2getit/canadiantire.png", "phone":"905-889-7455", "address2":null, "locationimageurl":null, "_distance":"8.22",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</si>
  <si>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"latitude":"43.6160075925926", "url":null, "postalcode":"M9C 1A7", "province":"ON", "sustainabilityurl":null, "hoursmon":"Please Call", "longitude":"-79.5569162037037", "uid":1182188659, "retailerlinkurl":null, "hourssat":"Please Call", "clientkey":"39388", "name":"Home Depot", "locationlinkurl":null, "address1":"193 North Queen St", "icon":"preferred", "bho":null, "_distanceuom":"mile", "hourssun":"Please Call", "computers":"N", "cfl":"N", "regionalimageurl":null, "city":"Etobicoke", "singleuse":"Y", "fax":null, "country":"CA", "logourl":"http://www.call2recycle.org/notpress/where2getit/homedepot.png", "phone":"416-626-9800", "address2":null, "locationimageurl":null, "_distance":"8.23",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</si>
  <si>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"latitude":"43.8471519298622", "url":null, "postalcode":"L4H 4E8", "province":"ON", "sustainabilityurl":null, "hoursmon":"Please Call", "longitude":"-79.5541409777682", "uid":116279477, "retailerlinkurl":null, "hourssat":"Please Call", "clientkey":"163451", "name":"Home Depot", "locationlinkurl":null, "address1":"55 Cityview Blvd", "icon":"preferred", "bho":null, "_distanceuom":"mile", "hourssun":"Please Call", "computers":"N", "cfl":"N", "regionalimageurl":null, "city":"Woodbridge", "singleuse":"Y", "fax":null, "country":"CA", "logourl":"http://www.call2recycle.org/notpress/where2getit/homedepot.png", "phone":"905-303-2323", "address2":null, "locationimageurl":null, "_distance":"8.24",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</si>
  <si>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"latitude":"43.65879", "url":"http://www.canadiantire.ca", "postalcode":"M4M 1B4", "province":"ON", "sustainabilityurl":null, "hoursmon":"8:00am-9:00pm", "longitude":"-79.3289", "uid":1503278433, "retailerlinkurl":null, "hourssat":"Please Call", "clientkey":"116817", "name":"Canadian Tire", "locationlinkurl":null, "address1":"1025 Lakeshore Blvd E.",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"phone":"416-778-0102", "address2":null, "locationimageurl":null, "_distance":"2.66",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</si>
  <si>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"latitude":"43.65126", "url":null, "postalcode":"M5A 1E9", "province":"ON", "sustainabilityurl":null, "hoursmon":"Please Call", "longitude":"-79.36401", "uid":1561147176, "retailerlinkurl":null, "hourssat":"Please Call", "clientkey":"68024", "name":"Staples", "locationlinkurl":null, "address1":"250 Front St 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"phone":"416-368-3331", "address2":null, "locationimageurl":null, "_distance":"2.78",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</si>
  <si>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"latitude":"43.6496261538462", "url":null, "postalcode":"M5C 1S8", "province":"ON", "sustainabilityurl":null, "hoursmon":"Please Call", "longitude":"-79.3780784615385", "uid":1986272712, "retailerlinkurl":null, "hourssat":"Please Call", "clientkey":"68029", "name":"Staples", "locationlinkurl":null, "address1":"85-89 Yonge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"phone":"416-203-3525", "address2":null, "locationimageurl":null, "_distance":"3.20",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</si>
  <si>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"latitude":"43.6686185294118", "url":null, "postalcode":"M4M 3G6", "province":"ON", "sustainabilityurl":null, "hoursmon":"Please Call", "longitude":"-79.3382991176471", "uid":1182200003, "retailerlinkurl":null, "hourssat":"Please Call", "clientkey":"78351", "name":"Home Depot", "locationlinkurl":null, "address1":"Gerrard Square Shopping Mall 1000 Gerrard St 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"phone":"416-462-6270", "address2":null, "locationimageurl":null, "_distance":"3.37",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</si>
  <si>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"latitude":"43.6686185294118", "url":"http://www.thesource.ca", "postalcode":"M4M 3G6", "province":"ON", "sustainabilityurl":"http://www.thesource.ca/sitelets/jobs/environment.asp", "hoursmon":"Please Call", "longitude":"-79.3382991176471", "uid":1182196808, "retailerlinkurl":null, "hourssat":"Please Call", "clientkey":"460", "name":"The Source", "locationlinkurl":null, "address1":"1000 Gerrard St E.",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"phone":"416-463-3422", "address2":null, "locationimageurl":null, "_distance":"3.37",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</si>
  <si>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"latitude":"43.6504605263158", "url":null, "postalcode":"M5V 1Z4", "province":"ON", "sustainabilityurl":null, "hoursmon":"Please Call", "longitude":"-79.3882905263158", "uid":106760584, "retailerlinkurl":null, "hourssat":"Please Call", "clientkey":"24095", "name":"Atlas Machinery Supply", "locationlinkurl":null, "address1":"233 Queen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"phone":"416-598-3553", "address2":null, "locationimageurl":null, "_distance":"3.64",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</si>
  <si>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"latitude":"43.6459", "url":null, "postalcode":"M5V 1K2", "province":"ON", "sustainabilityurl":null, "hoursmon":"Please Call", "longitude":"-79.392955", "uid":-511708697, "retailerlinkurl":null, "hourssat":"Please Call", "clientkey":"39063", "name":"Mountain Equipment Co-op", "locationlinkurl":null, "address1":"400 King St W",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"phone":"416-340-2667", "address2":null, "locationimageurl":null, "_distance":"3.68",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</si>
  <si>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"latitude":"43.6532061538462", "url":null, "postalcode":"M5G 2J5", "province":"ON", "sustainabilityurl":null, "hoursmon":"Please Call", "longitude":"-79.3874469230769", "uid":1713533615, "retailerlinkurl":null, "hourssat":"Please Call", "clientkey":"152772", "name":"Staples", "locationlinkurl":null, "address1":"375 University Ave",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"phone":"416-598-4818", "address2":null, "locationimageurl":null, "_distance":"3.72",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</si>
  <si>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"latitude":"43.67148", "url":null, "postalcode":"M4E 1E3", "province":"ON", "sustainabilityurl":null, "hoursmon":"Please Call", "longitude":"-79.2932566666667", "uid":392185512, "retailerlinkurl":null, "hourssat":"Please Call", "clientkey":"162188", "name":"ListenUp! Canada", "locationlinkurl":null, "address1":"2144B Queen St E",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"phone":"--", "address2":null, "locationimageurl":null, "_distance":"3.95",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</si>
  <si>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"latitude":"43.6606114285714", "url":null, "postalcode":"M5G 1N8", "province":"ON", "sustainabilityurl":null, "hoursmon":"Please Call", "longitude":"-79.3857528571429", "uid":502592038, "retailerlinkurl":null, "hourssat":"Please Call", "clientkey":"157990", "name":"ListenUp! Canada", "locationlinkurl":null, "address1":"Continental Can Bldg. 790 Bay 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"phone":"416-591-9124", "address2":null, "locationimageurl":null, "_distance":"3.99",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</si>
  <si>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"latitude":"43.6634308", "url":null, "postalcode":"M7A 2E1", "province":"ON", "sustainabilityurl":null, "hoursmon":"Please Call", "longitude":"-79.3876749", "uid":701149148, "retailerlinkurl":null, "hourssat":"Please Call", "clientkey":"161871", "name":"Ministry of Tourism Culture and Sport", "locationlinkurl":null, "address1":"900 Bay St 9th FL",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"phone":"416-327-1189", "address2":null, "locationimageurl":null, "_distance":"4.20",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</si>
  <si>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"latitude":"43.6639486956522", "url":null, "postalcode":"M7A 1N3", "province":"ON", "sustainabilityurl":null, "hoursmon":"Please Call", "longitude":"-79.3889460869565", "uid":621028094, "retailerlinkurl":null, "hourssat":"Please Call", "clientkey":"161569", "name":"Program Development &amp; Capacity Office HR Ontario", "locationlinkurl":null, "address1":"77 Wellesley St. West",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"phone":"416-327-4887", "address2":null, "locationimageurl":null, "_distance":"4.27",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</si>
  <si>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"latitude":"43.6639486956522", "url":null, "postalcode":"M7A 1N3", "province":"ON", "sustainabilityurl":null, "hoursmon":"Please Call", "longitude":"-79.3889460869565", "uid":-34328420, "retailerlinkurl":null, "hourssat":"Please Call", "clientkey":"165536", "name":"Office of the Corporate Chief Information Officer I+IT", "locationlinkurl":null, "address1":"77 Wellesley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"phone":"416-212-8242", "address2":null, "locationimageurl":null, "_distance":"4.27",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</si>
  <si>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"latitude":"43.6668838461538", "url":null, "postalcode":"M5S 2B1", "province":"ON", "sustainabilityurl":null, "hoursmon":"Please Call", "longitude":"-79.3882746153846", "uid":341261791, "retailerlinkurl":null, "hourssat":"Please Call", "clientkey":"160105", "name":"Ministry of Health and Long-Term Care", "locationlinkurl":null, "address1":"1075 Bay Street",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"phone":"416-327-9447", "address2":null, "locationimageurl":null, "_distance":"4.39",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</si>
  <si>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"latitude":"43.672983030303", "url":"http://www.canadiantire.ca", "postalcode":"M4W 2H2", "province":"ON", "sustainabilityurl":null, "hoursmon":"8:00am-9:00pm", "longitude":"-79.3878990909091", "uid":1522038878, "retailerlinkurl":null, "hourssat":"Please Call", "clientkey":"1445", "name":"Canadian Tire", "locationlinkurl":null, "address1":"839 Yonge Street",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"phone":"416-925-9592", "address2":null, "locationimageurl":null, "_distance":"4.70",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</si>
  <si>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"latitude":"43.6833973255541", "url":null, "postalcode":"M4W 3X8", "province":"ON", "sustainabilityurl":null, "hoursmon":"Please Call", "longitude":"-79.3650023256323", "uid":-725079491, "retailerlinkurl":null, "hourssat":"Please Call", "clientkey":"158147", "name":"Evergreen Brick Works", "locationlinkurl":null, "address1":"550 Bayview Ave",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"phone":"416-596-1495", "address2":null, "locationimageurl":null, "_distance":"4.73",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</si>
  <si>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"latitude":"43.6660371428571", "url":null, "postalcode":"M5S 2J2", "province":"ON", "sustainabilityurl":null, "hoursmon":"Please Call", "longitude":"-79.4035023809524", "uid":1217406838, "retailerlinkurl":null, "hourssat":"Please Call", "clientkey":"140710", "name":"MNJCC", "locationlinkurl":null, "address1":"750 Spadina Ave",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"phone":"416-924-6211", "address2":null, "locationimageurl":null, "_distance":"4.90",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</si>
  <si>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"latitude":"43.6886695", "url":null, "postalcode":"M4K 1M8", "province":"ON", "sustainabilityurl":null, "hoursmon":"Please Call", "longitude":"-79.299492", "uid":604842725, "retailerlinkurl":null, "hourssat":"Please Call", "clientkey":"157925", "name":"ListenUp! Canada", "locationlinkurl":null, "address1":"2652 Danforth Ave",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"phone":"416-691-3305", "address2":null, "locationimageurl":null, "_distance":"4.94",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</si>
  <si>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"latitude":"43.63605125", "url":"http://www.thesource.ca", "postalcode":"M6H 4A9", "province":"ON", "sustainabilityurl":"http://www.thesource.ca/sitelets/jobs/environment.asp", "hoursmon":"Please Call", "longitude":"-79.42622875", "uid":89278673, "retailerlinkurl":null, "hourssat":"Please Call", "clientkey":"455", "name":"The Source", "locationlinkurl":null, "address1":"190-900 Dufferin St", "icon":"preferred", "bho":null, "_distanceuom":"mile", "hourssun":"Please Call", "computers":"N", "cfl":"N", "regionalimageurl":null, "city":"Toronto", "singleuse":"Y", "fax":null, "country":"CA", "logourl":"http://www.call2recycle.org/notpress/where2getit/thesource.png", "phone":"416-516-2225", "address2":null, "locationimageurl":null, "_distance":"5.01",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</si>
  <si>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"latitude":"43.6395682758621", "url":null, "postalcode":"M6A 3A1", "province":"ON", "sustainabilityurl":null, "hoursmon":"Please Call", "longitude":"-79.4275837931034", "uid":341261754, "retailerlinkurl":null, "hourssat":"Please Call", "clientkey":"159867", "name":"Best Buy", "locationlinkurl":null, "address1":"Unit 303 - 3401 Dufferin Street",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"phone":"--", "address2":null, "locationimageurl":null, "_distance":"5.13",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</si>
  <si>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"latitude":"43.6796533333333", "url":null, "postalcode":"M4W 2L8", "province":"ON", "sustainabilityurl":null, "hoursmon":"Please Call", "longitude":"-79.3906066666667", "uid":1660789919, "retailerlinkurl":null, "hourssat":"Please Call", "clientkey":"68023", "name":"Staples", "locationlinkurl":null, "address1":"1140 Yonge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"phone":"416-961-4949", "address2":null, "locationimageurl":null, "_distance":"5.14",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</si>
  <si>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"latitude":"43.69088", "url":null, "postalcode":"M4C 1M9", "province":"ON", "sustainabilityurl":null, "hoursmon":"Please Call", "longitude":"-79.2898", "uid":1768005611, "retailerlinkurl":null, "hourssat":"Please Call", "clientkey":"68025", "name":"Staples", "locationlinkurl":null, "address1":"3003 Danforth Ave Unit 2",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"phone":"416-686-4711", "address2":null, "locationimageurl":null, "_distance":"5.25",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</si>
  <si>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"latitude":"43.6877735", "url":null, "postalcode":"M4V 1K7", "province":"ON", "sustainabilityurl":null, "hoursmon":"Please Call", "longitude":"-79.3943262", "uid":392185282, "retailerlinkurl":null, "hourssat":"Please Call", "clientkey":"157673", "name":"ListenUP! Canada", "locationlinkurl":null, "address1":"1 St Clair Ave W",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"phone":"416-925-9223", "address2":null, "locationimageurl":null, "_distance":"5.71",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</si>
  <si>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"latitude":"43.688923125", "url":null, "postalcode":"M4T 1Z2", "province":"ON", "sustainabilityurl":null, "hoursmon":"Please Call", "longitude":"-79.39446125", "uid":797673805, "retailerlinkurl":null, "hourssat":"Please Call", "clientkey":"157926", "name":"ListenUp! Canada", "locationlinkurl":null, "address1":"1493 Yonge St",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"phone":"416-920-7474", "address2":null, "locationimageurl":null, "_distance":"5.78",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</si>
  <si>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"latitude":"43.70528", "url":null, "postalcode":"M4G 3T4", "province":"ON", "sustainabilityurl":null, "hoursmon":"Please Call", "longitude":"-79.36148", "uid":1025961988, "retailerlinkurl":null, "hourssat":"Please Call", "clientkey":"153573", "name":"Telus", "locationlinkurl":null, "address1":"73 Laird Dr", "icon":"preferred", "bho":null, "_distanceuom":"mile", "hourssun":"Please Call", "computers":"N", "cfl":"N", "regionalimageurl":null, "city":"East York", "singleuse":"Y", "fax":null, "country":"CA", "logourl":"http://www.call2recycle.org/notpress/where2getit/call2recycle.png", "phone":"416-422-6422", "address2":null, "locationimageurl":null, "_distance":"6.10",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</si>
  <si>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"latitude":"43.7089125", "url":null, "postalcode":"M4B 3L8", "province":"ON", "sustainabilityurl":null, "hoursmon":"Please Call", "longitude":"-79.3134525", "uid":1182185287, "retailerlinkurl":null, "hourssat":"Please Call", "clientkey":"39390", "name":"Home Depot", "locationlinkurl":null, "address1":"7 Curity Ave",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"phone":"416-752-5900", "address2":null, "locationimageurl":null, "_distance":"6.17",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</si>
  <si>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"latitude":"43.71146", "url":null, "postalcode":"M4G 4H9", "province":"ON", "sustainabilityurl":null, "hoursmon":"Please Call", "longitude":"-79.35851", "uid":1182198085, "retailerlinkurl":null, "hourssat":"Please Call", "clientkey":"57191", "name":"Home Depot", "locationlinkurl":null, "address1":"101 Wicksteed Ave",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"phone":"416-467-2300", "address2":null, "locationimageurl":null, "_distance":"6.48",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</si>
  <si>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"latitude":"43.7123005", "url":"http://www.canadiantire.ca", "postalcode":"M4G 4G9", "province":"ON", "sustainabilityurl":null, "hoursmon":"8:00am-9:00pm", "longitude":"-79.3634007", "uid":1182180701, "retailerlinkurl":null, "hourssat":"Please Call", "clientkey":"1409", "name":"Canadian Tire", "locationlinkurl":null, "address1":"825 Eglinton Ave E",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"phone":"416-422-0303", "address2":null, "locationimageurl":null, "_distance":"6.59",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</si>
  <si>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"latitude":"43.7110257", "url":null, "postalcode":"M4P 3A1", "province":"ON", "sustainabilityurl":null, "hoursmon":"Please Call", "longitude":"-79.3772455", "uid":1635920293, "retailerlinkurl":null, "hourssat":"Please Call", "clientkey":"68030", "name":"Staples", "locationlinkurl":null, "address1":"945 Eglinton Ave E",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"phone":"416-696-0043", "address2":null, "locationimageurl":null, "_distance":"6.73",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</si>
  <si>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"latitude":"43.711808", "url":"http://www.thesource.ca", "postalcode":"M4G 2K2", "province":"ON", "sustainabilityurl":"http://www.thesource.ca/sitelets/jobs/environment.asp", "hoursmon":"Please Call", "longitude":"-79.3759774", "uid":1182173664, "retailerlinkurl":null, "hourssat":"Please Call", "clientkey":"462", "name":"The Source", "locationlinkurl":null, "address1":"660 Eglinton Ave E",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"phone":"416-489-6974", "address2":null, "locationimageurl":null, "_distance":"6.75",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</si>
  <si>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"latitude":"43.7072288235294", "url":"http://www.thesource.ca", "postalcode":"M4P 1E4", "province":"ON", "sustainabilityurl":"http://www.thesource.ca/sitelets/jobs/environment.asp", "hoursmon":"Please Call", "longitude":"-79.3984747058824", "uid":-70786609, "retailerlinkurl":null, "hourssat":"Please Call", "clientkey":"443", "name":"The Source", "locationlinkurl":null, "address1":"2300 Yonge St",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"phone":"416-485-4944", "address2":null, "locationimageurl":null, "_distance":"6.95",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</si>
  <si>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"latitude":"43.7096685185185", "url":null, "postalcode":"M4P 2H4", "province":"ON", "sustainabilityurl":null, "hoursmon":"Please Call", "longitude":"-79.398972962963", "uid":797673839, "retailerlinkurl":null, "hourssat":"Please Call", "clientkey":"132812", "name":"Best Buy Canada", "locationlinkurl":null, "address1":"2400 Yonge St", "icon":"preferred", "bho":null, "_distanceuom":"mile", "hourssun":"Please Call", "computers":"N", "cfl":"N", "regionalimageurl":null, "city":"Toronto", "singleuse":"Y", "fax":null, "country":"CA", "logourl":"http://www.call2recycle.org/notpress/where2getit/bestbuy.png", "phone":"416-489-4726", "address2":null, "locationimageurl":null, "_distance":"7.11",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</si>
  <si>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"latitude":"43.72284", "url":"http://www.rona.ca", "postalcode":"M1L 4T7", "province":"ON", "sustainabilityurl":"http://www.rona.ca/corporate/corporate-responsibility", "hoursmon":"Please Call", "longitude":"-79.285535", "uid":-511708699, "retailerlinkurl":null, "hourssat":"Please Call", "clientkey":"38939", "name":"RONA", "locationlinkurl":null, "address1":"768 Warden Ave", "icon":"preferred", "bho":null, "_distanceuom":"mile", "hourssun":"Please Call", "computers":"N", "cfl":"Y", "regionalimageurl":null, "city":"Scarborough", "singleuse":"Y", "fax":null, "country":"CA", "logourl":"http://www.call2recycle.org/notpress/where2getit/rona.png", "phone":"416-751-7556", "address2":null, "locationimageurl":null, "_distance":"7.40",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</si>
  <si>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"latitude":"43.7255739", "url":"http://www.canadiantire.ca", "postalcode":"M1L 2L8", "province":"ON", "sustainabilityurl":null, "hoursmon":"8:00am-9:00pm", "longitude":"-79.2934661", "uid":1838960285, "retailerlinkurl":null, "hourssat":"Please Call", "clientkey":"146324", "name":"Canadian Tire", "locationlinkurl":null, "address1":"1901 Eglinton Ave E", "icon":"normal", "bho":null, "_distanceuom":"mile", "hourssun":"Please Call", "computers":"N", "cfl":"Y", "regionalimageurl":null, "city":"Scarborough", "singleuse":"Y", "fax":null, "country":"CA", "logourl":"http://www.call2recycle.org/notpress/where2getit/canadiantire.png", "phone":"416-615-2666", "address2":null, "locationimageurl":null, "_distance":"7.48",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</si>
  <si>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"latitude":"43.65184625", "url":null, "postalcode":"M6S 1M8", "province":"ON", "sustainabilityurl":null, "hoursmon":"Please Call", "longitude":"-79.4730225", "uid":400726463, "retailerlinkurl":null, "hourssat":"Please Call", "clientkey":"157997", "name":"ListenUp! Canada", "locationlinkurl":null, "address1":"2150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"phone":"416-769-0097", "address2":null, "locationimageurl":null, "_distance":"7.55",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</si>
  <si>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"latitude":"43.6700824", "url":null, "postalcode":"M6N 3E2", "province":"ON", "sustainabilityurl":null, "hoursmon":"Please Call", "longitude":"-79.4664952", "uid":116280463, "retailerlinkurl":null, "hourssat":"Please Call", "clientkey":"150705", "name":"Staples", "locationlinkurl":null, "address1":"542 Keele St", "icon":"preferred", "bho":null, "_distanceuom":"mile", "hourssun":"Please Call", "computers":"N", "cfl":"N", "regionalimageurl":null, "city":"Toronto", "singleuse":"Y", "fax":null, "country":"CA", "logourl":"http://www.call2recycle.org/notpress/where2getit/staples.png", "phone":"416-762-2816", "address2":null, "locationimageurl":null, "_distance":"7.71",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</si>
  <si>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"latitude":"43.66924", "url":"http://www.rona.ca", "postalcode":"M6N 5B7", "province":"ON", "sustainabilityurl":"http://www.rona.ca/corporate/corporate-responsibility", "hoursmon":"Please Call", "longitude":"-79.46998", "uid":1182188579, "retailerlinkurl":null, "hourssat":"Please Call", "clientkey":"38727", "name":"RONA", "locationlinkurl":null, "address1":"110 West Toronto St", "icon":"preferred", "bho":null, "_distanceuom":"mile", "hourssun":"Please Call", "computers":"N", "cfl":"Y", "regionalimageurl":null, "city":"Toronto", "singleuse":"Y", "fax":null, "country":"CA", "logourl":"http://www.call2recycle.org/notpress/where2getit/rona.png", "phone":"416-766-9393", "address2":null, "locationimageurl":null, "_distance":"7.84",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</si>
  <si>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"latitude":"43.6694475", "url":null, "postalcode":"M6N 5G8", "province":"ON", "sustainabilityurl":null, "hoursmon":"Please Call", "longitude":"-79.4700725", "uid":708492656, "retailerlinkurl":null, "hourssat":"Please Call", "clientkey":"132807", "name":"Best Buy Canada", "locationlinkurl":null, "address1":"10 Old Stock Yards Rd", "icon":"normal", "bho":null, "_distanceuom":"mile", "hourssun":"Please Call", "computers":"N", "cfl":"N", "regionalimageurl":null, "city":"Toronto", "singleuse":"Y", "fax":null, "country":"CA", "logourl":"http://www.call2recycle.org/notpress/where2getit/bestbuy.png", "phone":"416-766-1577", "address2":null, "locationimageurl":null, "_distance":"7.85",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</si>
  <si>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"latitude":"43.7292761", "url":null, "postalcode":"M1L 2M6", "province":"ON", "sustainabilityurl":null, "hoursmon":"Please Call", "longitude":"-79.2841259", "uid":1637096179, "retailerlinkurl":null, "hourssat":"Please Call", "clientkey":"68014", "name":"Staples", "locationlinkurl":null, "address1":"1980 Eglinton Ave E", "icon":"preferred", "bho":null, "_distanceuom":"mile", "hourssun":"Please Call", "computers":"N", "cfl":"N", "regionalimageurl":null, "city":"Scarborough", "singleuse":"Y", "fax":null, "country":"CA", "logourl":"http://www.call2recycle.org/notpress/where2getit/staples.png", "phone":"416-752-1091", "address2":null, "locationimageurl":null, "_distance":"7.85",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</si>
  <si>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"latitude":"43.6717588", "url":null, "postalcode":"M6N 5A8", "province":"ON", "sustainabilityurl":null, "hoursmon":"Please Call", "longitude":"-79.470253", "uid":1182188660, "retailerlinkurl":null, "hourssat":"Please Call", "clientkey":"39392", "name":"Home Depot", "locationlinkurl":null, "address1":"2121 St Clair Ave W",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"phone":"416-766-2800", "address2":null, "locationimageurl":null, "_distance":"7.93",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</si>
  <si>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"latitude":"43.649745", "url":null, "postalcode":"M6S 1P5", "province":"ON", "sustainabilityurl":null, "hoursmon":"Please Call", "longitude":"-79.482619375", "uid":400726499, "retailerlinkurl":null, "hourssat":"Please Call", "clientkey":"157927", "name":"ListenUp! Canada", "locationlinkurl":null, "address1":"2390 Bloor St W",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"phone":"416-767-7523", "address2":null, "locationimageurl":null, "_distance":"7.97",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</si>
  <si>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"latitude":"43.6708312", "url":"http://www.canadiantire.ca", "postalcode":"M6N 5B4", "province":"ON", "sustainabilityurl":null, "hoursmon":"8:00am-9:00pm", "longitude":"-79.471975", "uid":1182174480, "retailerlinkurl":null, "hourssat":"Please Call", "clientkey":"32961", "name":"Canadian Tire", "locationlinkurl":null, "address1":"2129 St Clair Ave W",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"phone":"416-766-8141", "address2":null, "locationimageurl":null, "_distance":"7.98",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</si>
  <si>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"latitude":"43.7019", "url":null, "postalcode":"M6B 4J3", "province":"ON", "sustainabilityurl":null, "hoursmon":"Please Call", "longitude":"-79.452005", "uid":502592007, "retailerlinkurl":null, "hourssat":"Please Call", "clientkey":"157946", "name":"ListenUp! Canada", "locationlinkurl":null, "address1":"Business Building 2700 Dufferin St", "icon":"normal", "bho":null, "_distanceuom":"mile", "hourssun":"Please Call", "computers":"N", "cfl":"N", "regionalimageurl":null, "city":"York", "singleuse":"Y", "fax":null, "country":"CA", "logourl":"http://www.call2recycle.org/notpress/where2getit/call2recycle.png", "phone":"416-630-5111", "address2":null, "locationimageurl":null, "_distance":"8.36",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</si>
  <si>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"latitude":"43.72304875", "url":null, "postalcode":"M1M 1N5", "province":"ON", "sustainabilityurl":null, "hoursmon":"Please Call", "longitude":"-79.2349525", "uid":400726495, "retailerlinkurl":null, "hourssat":"Please Call", "clientkey":"157924", "name":"ListenUp! Canada", "locationlinkurl":null, "address1":"2890 Kingston Rd", "icon":"normal", "bho":null, "_distanceuom":"mile", "hourssun":"Please Call", "computers":"N", "cfl":"N", "regionalimageurl":null, "city":"Scarborough", "singleuse":"Y", "fax":null, "country":"CA", "logourl":"http://www.call2recycle.org/notpress/where2getit/call2recycle.png", "phone":"416-265-4427", "address2":null, "locationimageurl":null, "_distance":"8.50",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</si>
  <si>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"latitude":"43.7441644444444", "url":null, "postalcode":"M3B 2W7", "province":"ON", "sustainabilityurl":null, "hoursmon":"Please Call", "longitude":"-79.3454033333333", "uid":400726431, "retailerlinkurl":null, "hourssat":"Please Call", "clientkey":"157969", "name":"ListenUp! Canada", "locationlinkurl":null, "address1":"1262 Don Mills Rd", "icon":"preferred", "bho":null, "_distanceuom":"mile", "hourssun":"Please Call", "computers":"N", "cfl":"N", "regionalimageurl":null, "city":"Toronto", "singleuse":"Y", "fax":null, "country":"CA", "logourl":"http://www.call2recycle.org/notpress/where2getit/call2recycle.png", "phone":"416-441-3251", "address2":null, "locationimageurl":null, "_distance":"8.60",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</si>
  <si>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"latitude":"43.7012625", "url":null, "postalcode":"M6B 3X8", "province":"ON", "sustainabilityurl":null, "hoursmon":"Please Call", "longitude":"-79.4641591666667", "uid":1841671316, "retailerlinkurl":null, "hourssat":"Please Call", "clientkey":"43570", "name":"Home Depot", "locationlinkurl":null, "address1":"825 Caledonia Rd", "icon":"preferred", "bho":null, "_distanceuom":"mile", "hourssun":"Please Call", "computers":"N", "cfl":"N", "regionalimageurl":null, "city":"Toronto", "singleuse":"Y", "fax":null, "country":"CA", "logourl":"http://www.call2recycle.org/notpress/where2getit/homedepot.png", "phone":"416-780-4730", "address2":null, "locationimageurl":null, "_distance":"8.79",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</si>
  <si>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"latitude":"43.7166569", "url":"http://www.canadiantire.ca", "postalcode":"M6A 1B6", "province":"ON", "sustainabilityurl":null, "hoursmon":"8:00am-9:00pm", "longitude":"-79.4472576", "uid":1561147013, "retailerlinkurl":null, "hourssat":"Please Call", "clientkey":"1465", "name":"Canadian Tire", "locationlinkurl":null, "address1":"700 Lawrence Ave. W.", "icon":"preferred", "bho":null, "_distanceuom":"mile", "hourssun":"Please Call", "computers":"N", "cfl":"Y", "regionalimageurl":null, "city":"Toronto", "singleuse":"Y", "fax":null, "country":"CA", "logourl":"http://www.call2recycle.org/notpress/where2getit/canadiantire.png", "phone":"416-787-1203", "address2":null, "locationimageurl":null, "_distance":"8.92",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</si>
  <si>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"latitude":"43.7342373913043", "url":null, "postalcode":"M5M 4A3", "province":"ON", "sustainabilityurl":null, "hoursmon":"Please Call", "longitude":"-79.4197234782609", "uid":406327066, "retailerlinkurl":null, "hourssat":"Please Call", "clientkey":"168560", "name":"uBreakiFix", "locationlinkurl":null, "address1":"1957 Avenue Rd", "icon":"preferred", "bho":null, "_distanceuom":"mile", "hourssun":"Please Call", "computers":"N", "cfl":"N", "regionalimageurl":null, "city":"North York", "singleuse":"Y", "fax":null, "country":"CA", "logourl":"http://www.call2recycle.org/notpress/where2getit/call2recycle.png", "phone":"416-483-3773", "address2":null, "locationimageurl":null, "_distance":"9.10",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</si>
  <si>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"latitude":"43.7347430769231", "url":"http://www.thesource.ca", "postalcode":"M6N 0A3", "province":"ON", "sustainabilityurl":"http://www.thesource.ca/sitelets/jobs/environment.asp", "hoursmon":"Please Call", "longitude":"-79.4198246153846", "uid":341261467, "retailerlinkurl":null, "hourssat":"Please Call", "clientkey":"90781", "name":"The Source", "locationlinkurl":null, "address1":"1970 St. Clair Avenue W", "icon":"normal", "bho":null, "_distanceuom":"mile", "hourssun":"Please Call", "computers":"N", "cfl":"N", "regionalimageurl":null, "city":"Toronto", "singleuse":"Y", "fax":null, "country":"CA", "logourl":"http://www.call2recycle.org/notpress/where2getit/thesource.png", "phone":"416-604-3224", "address2":null, "locationimageurl":null, "_distance":"9.13",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</si>
  <si>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"latitude":"43.74771", "url":null, "postalcode":"M2L 2Y5", "province":"ON", "sustainabilityurl":null, "hoursmon":"Please Call", "longitude":"-79.3856283333333", "uid":502592011, "retailerlinkurl":null, "hourssat":"Please Call", "clientkey":"157959", "name":"ListenUp! Canada", "locationlinkurl":null, "address1":"300 York Mills Rd", "icon":"normal", "bho":null, "_distanceuom":"mile", "hourssun":"Please Call", "computers":"N", "cfl":"N", "regionalimageurl":null, "city":"Toronto", "singleuse":"Y", "fax":null, "country":"CA", "logourl":"http://www.call2recycle.org/notpress/where2getit/call2recycle.png", "phone":"416-510-2705", "address2":null, "locationimageurl":null, "_distance":"9.25",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</si>
  <si>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"latitude":"43.4537", "url":null, "postalcode":"L6J 2W7", "province":"ON", "sustainabilityurl":null, "hoursmon":"Please Call", "longitude":"-79.68677", "uid":1853118972, "retailerlinkurl":null, "hourssat":"Please Call", "clientkey":"78236", "name":"Home Depot", "locationlinkurl":null, "address1":"99 Cross Ave",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"phone":"905-815-5000", "address2":null, "locationimageurl":null, "_distance":"1.39",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</si>
  <si>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"latitude":"43.4622", "url":"http://www.thesource.ca", "postalcode":"L6H 3H6", "province":"ON", "sustainabilityurl":"http://www.thesource.ca/sitelets/jobs/environment.asp", "hoursmon":"Please Call", "longitude":"-79.68899", "uid":-853632602, "retailerlinkurl":null, "hourssat":"Please Call", "clientkey":"73969", "name":"The Source", "locationlinkurl":null, "address1":"240 Leighland Ave", "icon":"preferred", "bho":null, "_distanceuom":"mile", "hourssun":"Please Call", "computers":"N", "cfl":"N", "regionalimageurl":null, "city":"Oakville", "singleuse":"Y", "fax":null, "country":"CA", "logourl":"http://www.call2recycle.org/notpress/where2getit/thesource.png", "phone":"905-849-4445", "address2":null, "locationimageurl":null, "_distance":"1.91",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</si>
  <si>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"latitude":"43.4667051425437", "url":null, "postalcode":"L6H 3P1", "province":"ON", "sustainabilityurl":null, "hoursmon":"Please Call", "longitude":"-79.6902873864082", "uid":-2116053875, "retailerlinkurl":null, "hourssat":"Please Call", "clientkey":"116152", "name":"Town of Oakville", "locationlinkurl":null, "address1":"1225 Trafalgar Rd", "icon":"preferred", "bho":null, "_distanceuom":"mile", "hourssun":"Please Call", "computers":"N", "cfl":"N", "regionalimageurl":null, "city":"Oakville", "singleuse":"Y", "fax":null, "country":"CA", "logourl":"http://www.call2recycle.org/notpress/where2getit/call2recycle.png", "phone":"905-845-6601", "address2":null, "locationimageurl":null, "_distance":"2.21",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</si>
  <si>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"latitude":"43.4797983370262", "url":null, "postalcode":"L6H 7H9", "province":"ON", "sustainabilityurl":null, "hoursmon":"Please Call", "longitude":"-79.7164707317139", "uid":-1212378767, "retailerlinkurl":null, "hourssat":"Please Call", "clientkey":"130991", "name":"Post Inn Village - Services for Seniors", "locationlinkurl":null, "address1":"203 Georgian Dr", "icon":"preferred", "bho":null, "_distanceuom":"mile", "hourssun":"Please Call", "computers":"N", "cfl":"N", "regionalimageurl":null, "city":"Oakville", "singleuse":"Y", "fax":null, "country":"CA", "logourl":"http://www.call2recycle.org/notpress/where2getit/call2recycle.png", "phone":"905-825-6000", "address2":null, "locationimageurl":null, "_distance":"3.73",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</si>
  <si>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"latitude":"43.4007600369329", "url":null, "postalcode":"L6L 0B1", "province":"ON", "sustainabilityurl":null, "hoursmon":"Please Call", "longitude":"-79.7497547947862", "uid":1182190196, "retailerlinkurl":null, "hourssat":"Please Call", "clientkey":"109543", "name":"Home Depot", "locationlinkurl":null, "address1":"3300 South Service Rd W",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"phone":"905-469-7110", "address2":null, "locationimageurl":null, "_distance":"4.96",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</si>
  <si>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"latitude":"43.518025", "url":null, "postalcode":"L6H 5W9", "province":"ON", "sustainabilityurl":null, "hoursmon":"Please Call", "longitude":"-79.683355", "uid":1182190743, "retailerlinkurl":null, "hourssat":"Please Call", "clientkey":"39385", "name":"Home Depot", "locationlinkurl":null, "address1":"2555 Bristol Circle", "icon":"preferred", "bho":null, "_distanceuom":"mile", "hourssun":"Please Call", "computers":"N", "cfl":"N", "regionalimageurl":null, "city":"Oakville", "singleuse":"Y", "fax":null, "country":"CA", "logourl":"http://www.call2recycle.org/notpress/where2getit/homedepot.png", "phone":"905-829-5900", "address2":null, "locationimageurl":null, "_distance":"5.48",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</si>
  <si>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"latitude":"43.51475", "url":null, "postalcode":"L5J 4P1", "province":"ON", "sustainabilityurl":null, "hoursmon":"Please Call", "longitude":"-79.6258739344262", "uid":400726405, "retailerlinkurl":null, "hourssat":"Please Call", "clientkey":"157945", "name":"ListenUp! Canada", "locationlinkurl":null, "address1":"Clarkson Village Center 1865 Lakeshore Rd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"phone":"905-855-7638", "address2":null, "locationimageurl":null, "_distance":"5.58",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</si>
  <si>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"latitude":"43.52236625", "url":null, "postalcode":"L6H 6J5", "province":"ON", "sustainabilityurl":null, "hoursmon":"Please Call", "longitude":"-79.6810634375", "uid":1609500379, "retailerlinkurl":null, "hourssat":"Please Call", "clientkey":"143112", "name":"Staples", "locationlinkurl":null, "address1":"2460 Winston Churchill Blvd", "icon":"preferred", "bho":null, "_distanceuom":"mile", "hourssun":"Please Call", "computers":"N", "cfl":"N", "regionalimageurl":null, "city":"Oakville", "singleuse":"Y", "fax":null, "country":"CA", "logourl":"http://www.call2recycle.org/notpress/where2getit/staples.png", "phone":"905-829-1960",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</si>
  <si>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"latitude":"43.5276517334641", "url":null, "postalcode":"L5K 0A1", "province":"ON", "sustainabilityurl":null, "hoursmon":"Please Call", "longitude":"-79.6521177075339", "uid":406327068, "retailerlinkurl":null, "hourssat":"Please Call", "clientkey":"168562", "name":"uBreakiFix", "locationlinkurl":null, "address1":"1910 Fowler Dr",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"phone":"289-327-3442", "address2":null, "locationimageurl":null, "_distance":"6.12",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</si>
  <si>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"latitude":"43.53323", "url":null, "postalcode":"L5L 1R6", "province":"ON", "sustainabilityurl":null, "hoursmon":"Please Call", "longitude":"-79.67721", "uid":1182186200, "retailerlinkurl":null, "hourssat":"Please Call", "clientkey":"91896", "name":"Mississauga Repair Centre", "locationlinkurl":null, "address1":"3120 Glen Erin Dr Unit 16",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"phone":"905-828-1565", "address2":null, "locationimageurl":null, "_distance":"6.48",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</si>
  <si>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"latitude":"43.3833839090607", "url":null, "postalcode":"L7L 5H6", "province":"ON", "sustainabilityurl":null, "hoursmon":"Please Call", "longitude":"-79.7703333545969", "uid":1182174957, "retailerlinkurl":null, "hourssat":"Please Call", "clientkey":"68045", "name":"Global Mobility Products Inc.", "locationlinkurl":null, "address1":"5075 North Service Rd",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"phone":"905-331-3616", "address2":null, "locationimageurl":null, "_distance":"6.49",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</si>
  <si>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"latitude":"43.3931931378967", "url":null, "postalcode":"L7L 7G7", "province":"ON", "sustainabilityurl":null, "hoursmon":"Please Call", "longitude":"-79.7803727550126", "uid":1986322564, "retailerlinkurl":null, "hourssat":"Please Call", "clientkey":"134482", "name":"Creek Way Village", "locationlinkurl":null, "address1":"5200 Corporate Dr", "icon":"preferred", "bho":null, "_distanceuom":"mile", "hourssun":"Please Call", "computers":"N", "cfl":"N", "regionalimageurl":null, "city":"Burlington", "singleuse":"Y", "fax":null, "country":"CA", "logourl":"http://www.call2recycle.org/notpress/where2getit/call2recycle.png", "phone":"905-825-6000", "address2":null, "locationimageurl":null, "_distance":"6.55",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</si>
  <si>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"latitude":"43.3908735022933", "url":"http://www.rona.ca", "postalcode":"L7L 5V3", "province":"ON", "sustainabilityurl":"http://www.rona.ca/corporate/corporate-responsibility", "hoursmon":"Please Call", "longitude":"-79.7902297597762", "uid":1182185757, "retailerlinkurl":null, "hourssat":"Please Call", "clientkey":"68496", "name":"RONA", "locationlinkurl":null, "address1":"1830 Ironstone Dr", "icon":"normal", "bho":null, "_distanceuom":"mile", "hourssun":"Please Call", "computers":"N", "cfl":"Y", "regionalimageurl":null, "city":"Burlington", "singleuse":"Y", "fax":null, "country":"CA", "logourl":"http://www.call2recycle.org/notpress/where2getit/rona.png", "phone":"905-332-8868", "address2":null, "locationimageurl":null, "_distance":"7.06",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</si>
  <si>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"latitude":"43.3750029771389", "url":null, "postalcode":"L7L 4X9", "province":"ON", "sustainabilityurl":null, "hoursmon":"Please Call", "longitude":"-79.7839190611361", "uid":-2116053984, "retailerlinkurl":null, "hourssat":"Please Call", "clientkey":"156526", "name":"Complete Rent-Alls", "locationlinkurl":null, "address1":"1104 Heritage Rd",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"phone":"905-632-9010", "address2":null, "locationimageurl":null, "_distance":"7.39",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</si>
  <si>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"latitude":"43.5513803", "url":"http://www.rona.ca", "postalcode":"L5M 6J3", "province":"ON", "sustainabilityurl":"http://www.rona.ca/corporate/corporate-responsibility", "hoursmon":"Please Call", "longitude":"-79.7186544", "uid":1182200370, "retailerlinkurl":null, "hourssat":"Please Call", "clientkey":"36073", "name":"RONA", "locationlinkurl":null, "address1":"2933-A Eglinton Ave W", "icon":"preferred", "bho":null, "_distanceuom":"mile", "hourssun":"Please Call", "computers":"N", "cfl":"Y", "regionalimageurl":null, "city":"Mississauga", "singleuse":"Y", "fax":null, "country":"CA", "logourl":"http://www.call2recycle.org/notpress/where2getit/rona.png", "phone":"905-820-9965", "address2":null, "locationimageurl":null, "_distance":"8.14",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</si>
  <si>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"latitude":"43.5618102531646", "url":null, "postalcode":"L5C 1Y5", "province":"ON", "sustainabilityurl":null, "hoursmon":"Please Call", "longitude":"-79.6491292405063", "uid":719118490, "retailerlinkurl":null, "hourssat":"Please Call", "clientkey":"161944", "name":"Ministry of Government &amp; Consumer Services", "locationlinkurl":null, "address1":"3215 Erindale Station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"phone":"905-279-6163", "address2":null, "locationimageurl":null, "_distance":"8.48",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</si>
  <si>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"latitude":"43.5669954054054", "url":"http://www.canadiantire.ca", "postalcode":"L5C 1T8", "province":"ON", "sustainabilityurl":null, "hoursmon":"8:00am-9:00pm", "longitude":"-79.6343627027027", "uid":1724594261, "retailerlinkurl":null, "hourssat":"Please Call", "clientkey":"1569", "name":"Canadian Tire", "locationlinkurl":null, "address1":"3050 Mavis Rd", "icon":"preferred", "bho":null, "_distanceuom":"mile", "hourssun":"Please Call", "computers":"N", "cfl":"Y", "regionalimageurl":null, "city":"Mississauga", "singleuse":"Y", "fax":null, "country":"CA", "logourl":"http://www.call2recycle.org/notpress/where2getit/canadiantire.png", "phone":"905-270-9200", "address2":null, "locationimageurl":null, "_distance":"8.94",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</si>
  <si>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"latitude":"43.5673018918919", "url":null, "postalcode":"L5C 1T7", "province":"ON", "sustainabilityurl":null, "hoursmon":"Please Call", "longitude":"-79.6347959459459", "uid":1877277936, "retailerlinkurl":null, "hourssat":"Please Call", "clientkey":"143238", "name":"Home Depot", "locationlinkurl":null, "address1":"3065 Mavis Road",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"phone":"905-281-6230", "address2":null, "locationimageurl":null, "_distance":"8.96",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</si>
  <si>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"latitude":"43.5675645945946", "url":null, "postalcode":"L5C 1T7", "province":"ON", "sustainabilityurl":null, "hoursmon":"Please Call", "longitude":"-79.6351672972973", "uid":-1675423241, "retailerlinkurl":null, "hourssat":"Please Call", "clientkey":"158623", "name":"Interstate All Battery Center", "locationlinkurl":null, "address1":"3077 Mavis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"phone":"905-949-1818", "address2":null, "locationimageurl":null, "_distance":"8.98",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</si>
  <si>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"latitude":"43.5697166483922", "url":null, "postalcode":"L5C 4E9", "province":"ON", "sustainabilityurl":null, "hoursmon":"Please Call", "longitude":"-79.66258931314", "uid":502592044, "retailerlinkurl":null, "hourssat":"Please Call", "clientkey":"158002", "name":"ListenUp! Canada", "locationlinkurl":null, "address1":"1140 Burnhamthorpe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"phone":"905-949-0102", "address2":null, "locationimageurl":null, "_distance":"8.99",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</si>
  <si>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"latitude":"43.3568097209952", "url":null, "postalcode":"L7M 4X7", "province":"ON", "sustainabilityurl":null, "hoursmon":"Please Call", "longitude":"-79.808176898632", "uid":1602879679, "retailerlinkurl":null, "hourssat":"Please Call", "clientkey":"68052", "name":"Staples", "locationlinkurl":null, "address1":"3060 Davidson Crt", "icon":"preferred", "bho":null, "_distanceuom":"mile", "hourssun":"Please Call", "computers":"N", "cfl":"N", "regionalimageurl":null, "city":"Burlington", "singleuse":"Y", "fax":null, "country":"CA", "logourl":"http://www.call2recycle.org/notpress/where2getit/staples.png", "phone":"905-332-1071",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</si>
  <si>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"latitude":"43.3566399619041", "url":null, "postalcode":"L7M 4M9", "province":"ON", "sustainabilityurl":null, "hoursmon":"Please Call", "longitude":"-79.8083578201066", "uid":1182176613, "retailerlinkurl":null, "hourssat":"Please Call", "clientkey":"43515", "name":"Home Depot", "locationlinkurl":null, "address1":"3050 Davidson Crt", "icon":"preferred", "bho":null, "_distanceuom":"mile", "hourssun":"Please Call", "computers":"N", "cfl":"N", "regionalimageurl":null, "city":"Burlington", "singleuse":"Y", "fax":null, "country":"CA", "logourl":"http://www.call2recycle.org/notpress/where2getit/homedepot.png", "phone":"905-331-1700", "address2":null, "locationimageurl":null, "_distance":"9.14",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</si>
  <si>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"latitude":"43.3464639130435", "url":"http://www.canadiantire.ca", "postalcode":"L7R 3N2", "province":"ON", "sustainabilityurl":null, "hoursmon":"8:00am-9:00pm", "longitude":"-79.7963565217391", "uid":587927861, "retailerlinkurl":null, "hourssat":"Please Call", "clientkey":"1682", "name":"Canadian Tire", "locationlinkurl":null, "address1":"777 Guelph Line", "icon":"normal", "bho":null, "_distanceuom":"mile", "hourssun":"Please Call", "computers":"N", "cfl":"Y", "regionalimageurl":null, "city":"Burlington", "singleuse":"Y", "fax":null, "country":"CA", "logourl":"http://www.call2recycle.org/notpress/where2getit/canadiantire.png", "phone":"905-639-6711", "address2":null, "locationimageurl":null, "_distance":"9.16",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</si>
  <si>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"latitude":"43.3464639130435", "url":"http://www.thesource.ca", "postalcode":"L7R 3N2", "province":"ON", "sustainabilityurl":"http://www.thesource.ca/sitelets/jobs/environment.asp", "hoursmon":"Please Call", "longitude":"-79.7963565217391", "uid":1182182739, "retailerlinkurl":null, "hourssat":"Please Call", "clientkey":"496", "name":"The Source", "locationlinkurl":null, "address1":"777 Guelph Line", "icon":"normal", "bho":null, "_distanceuom":"mile", "hourssun":"Please Call", "computers":"N", "cfl":"N", "regionalimageurl":null, "city":"Burlington", "singleuse":"Y", "fax":null, "country":"CA", "logourl":"http://www.call2recycle.org/notpress/where2getit/thesource.png", "phone":"905-639-4354", "address2":null, "locationimageurl":null, "_distance":"9.16",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</si>
  <si>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"latitude":"43.57159", "url":null, "postalcode":"L5B 2P7", "province":"ON", "sustainabilityurl":null, "hoursmon":"Please Call", "longitude":"-79.61069", "uid":400726471, "retailerlinkurl":null, "hourssat":"Please Call", "clientkey":"158008", "name":"ListenUp! Canada", "locationlinkurl":null, "address1":"Business Bldg. 101 Queensway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"phone":"905-502-6888", "address2":null, "locationimageurl":null, "_distance":"9.54",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</si>
  <si>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"latitude":"43.5803964962338", "url":null, "postalcode":"L5B 4M6", "province":"ON", "sustainabilityurl":null, "hoursmon":"Please Call", "longitude":"-79.6468598538234", "uid":-1531689387, "retailerlinkurl":null, "hourssat":"Please Call", "clientkey":"102520", "name":"Staples", "locationlinkurl":null, "address1":"3950 Grand Park Dr",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"phone":"905-306-7888", "address2":null, "locationimageurl":null, "_distance":"9.77",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</si>
  <si>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"latitude":"43.5777787267331", "url":null, "postalcode":"L5B 4A2", "province":"ON", "sustainabilityurl":null, "hoursmon":"Please Call", "longitude":"-79.6152479148324", "uid":400726425, "retailerlinkurl":null, "hourssat":"Please Call", "clientkey":"157966", "name":"ListenUp! Canada", "locationlinkurl":null, "address1":"Business Building 71 King St W",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"phone":"905-272-4327", "address2":null, "locationimageurl":null, "_distance":"9.88",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</si>
  <si>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"latitude":"43.5809175", "url":null, "postalcode":"L5M 1L6", "province":"ON", "sustainabilityurl":null, "hoursmon":"Please Call", "longitude":"-79.712705", "uid":400726491, "retailerlinkurl":null, "hourssat":"Please Call", "clientkey":"157922", "name":"ListenUp! Canada", "locationlinkurl":null, "address1":"217 Queen St S",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"phone":"905-286-1051", "address2":null, "locationimageurl":null, "_distance":"10.03",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</si>
  <si>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"latitude":"43.3357729032258", "url":null, "postalcode":"L7S 2K4", "province":"ON", "sustainabilityurl":null, "hoursmon":"Please Call", "longitude":"-79.8128403225806", "uid":1697151368, "retailerlinkurl":null, "hourssat":"Please Call", "clientkey":"68051", "name":"Staples", "locationlinkurl":null, "address1":"1881 Fairview St", "icon":"preferred", "bho":null, "_distanceuom":"mile", "hourssun":"Please Call", "computers":"N", "cfl":"N", "regionalimageurl":null, "city":"Burlington", "singleuse":"Y", "fax":null, "country":"CA", "logourl":"http://www.call2recycle.org/notpress/where2getit/staples.png", "phone":"905-637-1422", "address2":null, "locationimageurl":null, "_distance":"10.26",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</si>
  <si>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"latitude":"43.3390135923777", "url":null, "postalcode":"L7R 0B2", "province":"ON", "sustainabilityurl":null, "hoursmon":"Please Call", "longitude":"-79.8183843895694", "uid":-511708263, "retailerlinkurl":null, "hourssat":"Please Call", "clientkey":"162304", "name":"Mountain Equipment Co-Op", "locationlinkurl":null, "address1":"1030 Brant Street", "icon":"preferred", "bho":null, "_distanceuom":"mile", "hourssun":"Please Call", "computers":"N", "cfl":"N", "regionalimageurl":null, "city":"Burlington", "singleuse":"Y", "fax":null, "country":"CA", "logourl":"http://www.call2recycle.org/notpress/where2getit/call2recycle.png", "phone":"905-333-8559", "address2":null, "locationimageurl":null, "_distance":"10.31",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</si>
  <si>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"latitude":"43.3369777706284", "url":null, "postalcode":"L7R 3P9", "province":"ON", "sustainabilityurl":null, "hoursmon":"Please Call", "longitude":"-79.8184103048358", "uid":400726449, "retailerlinkurl":null, "hourssat":"Please Call", "clientkey":"157982", "name":"ListenUp! Canada", "locationlinkurl":null, "address1":"1435 Plains Rd E",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"phone":"905-631-7889", "address2":null, "locationimageurl":null, "_distance":"10.41",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</si>
  <si>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"latitude":"43.5882913561828", "url":null, "postalcode":"L5N 7K6", "province":"ON", "sustainabilityurl":null, "hoursmon":"Please Call", "longitude":"-79.7327009440744", "uid":-1487888923, "retailerlinkurl":null, "hourssat":"Please Call", "clientkey":"72918", "name":"Stanley Black &amp; Decker", "locationlinkurl":null, "address1":"6275 Millcreek Dr",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"phone":"289-290-4668", "address2":null, "locationimageurl":null, "_distance":"10.79",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</si>
  <si>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"latitude":"43.3278229640744", "url":"http://www.thesource.ca", "postalcode":"L7S 2J8", "province":"ON", "sustainabilityurl":"http://www.thesource.ca/sitelets/jobs/environment.asp", "hoursmon":"Please Call", "longitude":"-79.8196357784446", "uid":211152295, "retailerlinkurl":null, "hourssat":"Please Call", "clientkey":"495", "name":"The Source", "locationlinkurl":null, "address1":"900 Maple Ave Unit A1", "icon":"normal", "bho":null, "_distanceuom":"mile", "hourssun":"Please Call", "computers":"N", "cfl":"N", "regionalimageurl":null, "city":"Burlington", "singleuse":"Y", "fax":null, "country":"CA", "logourl":"http://www.call2recycle.org/notpress/where2getit/thesource.png", "phone":"905-681-9252", "address2":null, "locationimageurl":null, "_distance":"10.89",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</si>
  <si>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"latitude":"43.3278229640744", "url":null, "postalcode":"L7S 2J8", "province":"ON", "sustainabilityurl":null, "hoursmon":"Please Call", "longitude":"-79.8196357784446", "uid":417592559, "retailerlinkurl":null, "hourssat":"Please Call", "clientkey":"87779", "name":"Hudsons Bay Company", "locationlinkurl":null, "address1":"Mapleview Centre 900 Maple Ave", "icon":"normal", "bho":null, "_distanceuom":"mile", "hourssun":"Please Call", "computers":"N", "cfl":"N", "regionalimageurl":null, "city":"Burlington", "singleuse":"Y", "fax":null, "country":"CA", "logourl":"http://www.call2recycle.org/notpress/where2getit/call2recycle.png", "phone":"905-681-0030", "address2":null, "locationimageurl":null, "_distance":"10.89",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</si>
  <si>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"latitude":"43.5941053846154", "url":"http://www.rona.ca", "postalcode":"L5A 3Y6", "province":"ON", "sustainabilityurl":"http://www.rona.ca/corporate/corporate-responsibility", "hoursmon":"Please Call", "longitude":"-79.6007069230769", "uid":362272653, "retailerlinkurl":null, "hourssat":"Please Call", "clientkey":"68508", "name":"RONA", "locationlinkurl":null, "address1":"650 Dundas St E",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"phone":"905-276-6350", "address2":null, "locationimageurl":null, "_distance":"11.17",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</si>
  <si>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"latitude":"43.59177", "url":null, "postalcode":"L4Y 1Y5", "province":"ON", "sustainabilityurl":null, "hoursmon":"Please Call", "longitude":"-79.58866", "uid":981583871, "retailerlinkurl":null, "hourssat":"Please Call", "clientkey":"163233", "name":"MCSCS", "locationlinkurl":null, "address1":"2301 Haines Rd",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"phone":"905-279-6997", "address2":null, "locationimageurl":null, "_distance":"11.21",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</si>
  <si>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"latitude":"43.6087329220779", "url":null, "postalcode":"L4Z 3X6", "province":"ON", "sustainabilityurl":null, "hoursmon":"Please Call", "longitude":"-79.6555426623377", "uid":-936092200, "retailerlinkurl":null, "hourssat":"Please Call", "clientkey":"63634", "name":"Henrys", "locationlinkurl":null, "address1":"5027 Hurontario St", "icon":"preferred", "bho":null, "_distanceuom":"mile", "hourssun":"Please Call", "computers":"N", "cfl":"N", "regionalimageurl":null, "city":"Mississauga", "singleuse":"Y", "fax":null, "country":"CA", "logourl":"http://www.call2recycle.org/notpress/where2getit/call2recycle.png", "phone":"905-568-1922", "address2":null, "locationimageurl":null, "_distance":"11.69",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</si>
  <si>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"latitude":"43.6071071830986", "url":null, "postalcode":"L5V 3E4", "province":"ON", "sustainabilityurl":null, "hoursmon":"Please Call", "longitude":"-79.7008128169014", "uid":2071210362, "retailerlinkurl":null, "hourssat":"Please Call", "clientkey":"156201", "name":"Home Depot", "locationlinkurl":null, "address1":"5975 Terry Fox Way",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"phone":"905-285-4000", "address2":null, "locationimageurl":null, "_distance":"11.69",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</si>
  <si>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"latitude":"43.59511", "url":"http://www.thesource.ca", "postalcode":"L5E 1V4", "province":"ON", "sustainabilityurl":"http://www.thesource.ca/sitelets/jobs/environment.asp", "hoursmon":"Please Call", "longitude":"-79.56838", "uid":557016195, "retailerlinkurl":null, "hourssat":"Please Call", "clientkey":"775", "name":"The Source", "locationlinkurl":null, "address1":"Dixie Outlet Mall 1250 South Service Rd", "icon":"normal", "bho":null, "_distanceuom":"mile", "hourssun":"Please Call", "computers":"N", "cfl":"N", "regionalimageurl":null, "city":"Mississauga", "singleuse":"Y", "fax":null, "country":"CA", "logourl":"http://www.call2recycle.org/notpress/where2getit/thesource.png", "phone":"905-271-3644", "address2":null, "locationimageurl":null, "_distance":"11.82",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</si>
  <si>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"latitude":"43.60992", "url":null, "postalcode":"L5V 2P5", "province":"ON", "sustainabilityurl":null, "hoursmon":"Please Call", "longitude":"-79.69273", "uid":2025806661, "retailerlinkurl":null, "hourssat":"Please Call", "clientkey":"155921", "name":"Staples", "locationlinkurl":null, "address1":"5900 Mavis Rd",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"phone":"905-813-3134", "address2":null, "locationimageurl":null, "_distance":"11.83",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</si>
  <si>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"latitude":"43.60446", "url":"http://www.canadiantire.ca", "postalcode":"L4Y 2C1", "province":"ON", "sustainabilityurl":null, "hoursmon":"8:00am-9:00pm", "longitude":"-79.58928", "uid":1182177842, "retailerlinkurl":null, "hourssat":"Please Call", "clientkey":"134344", "name":"Canadian Tire", "locationlinkurl":null, "address1":"1156 Dundas St E", "icon":"normal", "bho":null, "_distanceuom":"mile", "hourssun":"Please Call", "computers":"N", "cfl":"Y", "regionalimageurl":null, "city":"Mississauga", "singleuse":"Y", "fax":null, "country":"CA", "logourl":"http://www.call2recycle.org/notpress/where2getit/canadiantire.png", "phone":"905-272-4800", "address2":null, "locationimageurl":null, "_distance":"12.03",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</si>
  <si>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"latitude":"43.60798", "url":null, "postalcode":"L5N 8E1", "province":"ON", "sustainabilityurl":null, "hoursmon":"Please Call", "longitude":"-79.72949", "uid":1798604618, "retailerlinkurl":null, "hourssat":"Please Call", "clientkey":"68076", "name":"Staples", "locationlinkurl":null, "address1":"2-3135 Argentia Rd", "icon":"preferred", "bho":null, "_distanceuom":"mile", "hourssun":"Please Call", "computers":"N", "cfl":"N", "regionalimageurl":null, "city":"Mississauga", "singleuse":"Y", "fax":null, "country":"CA", "logourl":"http://www.call2recycle.org/notpress/where2getit/staples.png", "phone":"905-785-0864", "address2":null, "locationimageurl":null, "_distance":"12.04",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</si>
  <si>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"latitude":"43.53572", "url":null, "postalcode":"L9T 0A5", "province":"ON", "sustainabilityurl":null, "hoursmon":"Please Call", "longitude":"-79.87415", "uid":1503277587, "retailerlinkurl":null, "hourssat":"Please Call", "clientkey":"94847", "name":"Home Depot", "locationlinkurl":null, "address1":"1013 Maple Ave", "icon":"preferred", "bho":null, "_distanceuom":"mile", "hourssun":"Please Call", "computers":"N", "cfl":"N", "regionalimageurl":null, "city":"Milton", "singleuse":"Y", "fax":null, "country":"CA", "logourl":"http://www.call2recycle.org/notpress/where2getit/homedepot.png", "phone":"905-864-1200", "address2":null, "locationimageurl":null, "_distance":"12.33",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</si>
  <si>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"latitude":"43.5965272142405", "url":"http://www.rona.ca", "postalcode":"L5N 8E1", "province":"ON", "sustainabilityurl":"http://www.rona.ca/corporate/corporate-responsibility", "hoursmon":"Please Call", "longitude":"-79.7850797312542", "uid":941812253, "retailerlinkurl":null, "hourssat":"Please Call", "clientkey":"121759", "name":"RONA", "locationlinkurl":null, "address1":"3115 Argentia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"phone":"905-824-1865", "address2":null, "locationimageurl":null, "_distance":"12.35",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</si>
  <si>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"latitude":"43.5991950396019", "url":null, "postalcode":"L5N 8C5", "province":"ON", "sustainabilityurl":null, "hoursmon":"Please Call", "longitude":"-79.7796852742672", "uid":1953413175, "retailerlinkurl":null, "hourssat":"Please Call", "clientkey":"43565", "name":"Home Depot", "locationlinkurl":null, "address1":"2920 Argentia Rd", "icon":"preferred", "bho":null, "_distanceuom":"mile", "hourssun":"Please Call", "computers":"N", "cfl":"N", "regionalimageurl":null, "city":"Mississauga", "singleuse":"Y", "fax":null, "country":"CA", "logourl":"http://www.call2recycle.org/notpress/where2getit/homedepot.png", "phone":"905-814-3860", "address2":null, "locationimageurl":null, "_distance":"12.39",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</si>
  <si>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"latitude":"43.5417045", "url":null, "postalcode":"L9T 6R1", "province":"ON", "sustainabilityurl":null, "hoursmon":"Please Call", "longitude":"-79.8713099", "uid":-254640389, "retailerlinkurl":null, "hourssat":"Please Call", "clientkey":"102518", "name":"Staples", "locationlinkurl":null, "address1":"1220 Steeles Ave E", "icon":"preferred", "bho":null, "_distanceuom":"mile", "hourssun":"Please Call", "computers":"N", "cfl":"N", "regionalimageurl":null, "city":"Milton", "singleuse":"Y", "fax":null, "country":"CA", "logourl":"http://www.call2recycle.org/notpress/where2getit/staples.png", "phone":"905-878-2434", "address2":null, "locationimageurl":null, "_distance":"12.44",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</si>
  <si>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"latitude":"43.5415727", "url":"http://www.canadiantire.ca", "postalcode":"L9T 6R1", "province":"ON", "sustainabilityurl":null, "hoursmon":"8:00am-9:00pm", "longitude":"-79.8715343", "uid":-2088431991, "retailerlinkurl":null, "hourssat":"Please Call", "clientkey":"1583", "name":"Canadian Tire", "locationlinkurl":null, "address1":"1210 Steeles Ave E", "icon":"preferred", "bho":null, "_distanceuom":"mile", "hourssun":"Please Call", "computers":"N", "cfl":"Y", "regionalimageurl":null, "city":"Milton", "singleuse":"Y", "fax":null, "country":"CA", "logourl":"http://www.call2recycle.org/notpress/where2getit/canadiantire.png", "phone":"905-878-2349", "address2":null, "locationimageurl":null, "_distance":"12.45",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</si>
  <si>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"latitude":"43.60909", "url":null, "postalcode":"M9C 5N2", "province":"ON", "sustainabilityurl":null, "hoursmon":"Please Call", "longitude":"-79.56052", "uid":502592037, "retailerlinkurl":null, "hourssat":"Please Call", "clientkey":"157989", "name":"ListenUp! Canada", "locationlinkurl":null, "address1":"Queensway Professional Centre 190 Sherway Dr", "icon":"normal", "bho":null, "_distanceuom":"mile", "hourssun":"Please Call", "computers":"N", "cfl":"N", "regionalimageurl":null, "city":"Etobicoke", "singleuse":"Y", "fax":null, "country":"CA", "logourl":"http://www.call2recycle.org/notpress/where2getit/call2recycle.png", "phone":"416-620-5776", "address2":null, "locationimageurl":null, "_distance":"12.86",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</si>
  <si>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"latitude":"43.626546", "url":null, "postalcode":"L5R 4B3", "province":"ON", "sustainabilityurl":null, "hoursmon":"Please Call", "longitude":"-79.679812", "uid":731919552, "retailerlinkurl":null, "hourssat":"Please Call", "clientkey":"165777", "name":"Dashvapes Inc", "locationlinkurl":null, "address1":"6020 Hurontario St", "icon":"normal", "bho":null, "_distanceuom":"mile", "hourssun":"Please Call", "computers":"N", "cfl":"N", "regionalimageurl":null, "city":"Mississauga", "singleuse":"Y", "fax":null, "country":"CA", "logourl":"http://www.call2recycle.org/notpress/where2getit/call2recycle.png", "phone":"905-507-3274", "address2":null, "locationimageurl":null, "_distance":"12.93",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</si>
  <si>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"latitude":"43.6254612467473", "url":"http://www.rona.ca", "postalcode":"L4W 1V5", "province":"ON", "sustainabilityurl":"http://www.rona.ca/corporate/corporate-responsibility", "hoursmon":"Please Call", "longitude":"-79.6065350291245", "uid":802759546, "retailerlinkurl":null, "hourssat":"Please Call", "clientkey":"156296", "name":"RONA", "locationlinkurl":null, "address1":"Rockwood Mall 4141 Dixie Rd", "icon":"normal", "bho":null, "_distanceuom":"mile", "hourssun":"Please Call", "computers":"N", "cfl":"Y", "regionalimageurl":null, "city":"Mississauga", "singleuse":"Y", "fax":null, "country":"CA", "logourl":"http://www.call2recycle.org/notpress/where2getit/rona.png", "phone":"905-602-0795", "address2":null, "locationimageurl":null, "_distance":"13.18", "inktoner":"N", "nationalinkurl":null, "regionallinkurl":null, "cellphones":"Y", "hourstues":"Please Call", "consumerelectronics":"N", "hourswed":"Please Call", "rank":"0"</t>
  </si>
  <si>
    <t xml:space="preserve">        "collectioncount":27,</t>
  </si>
  <si>
    <t xml:space="preserve">            "rechargeable": "Y", "nationalimageurl":null, "glasses":"N", "hoursthurs":"Please Call", "state":null, "retailerimageurl":null, "hoursfri":"Please Call", "acceptedmaterialsurl":null, "latitude":"43.22544", "url":null, "postalcode":"L9K 1L6", "province":"ON", "sustainabilityurl":null, "hoursmon":"Please Call", "longitude":"-79.95532", "uid":1709658338, "retailerlinkurl":null, "hourssat":"Please Call", "clientkey":"68035", "name":"Staples", "locationlinkurl":null, "address1":"1-1015 Golf Links Rd", "icon":"preferred", "bho":null, "_distanceuom":"mile", "hourssun":"Please Call", "computers":"N", "cfl":"N", "regionalimageurl":null, "city":"Ancaster", "singleuse":"Y", "fax":null, "country":"CA", "logourl":"http://www.call2recycle.org/notpress/where2getit/staples.png", "phone":"905-648-6047", "address2":null, "locationimageurl":null, "_distance":"7.38",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</si>
  <si>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"latitude":"43.2255173449585", "url":null, "postalcode":"L9K 1L5", "province":"ON", "sustainabilityurl":null, "hoursmon":"Please Call", "longitude":"-79.9538051792998", "uid":821564647, "retailerlinkurl":null, "hourssat":"Please Call", "clientkey":"63636", "name":"Henrys", "locationlinkurl":null, "address1":"737 Golf Links Rd", "icon":"normal", "bho":null, "_distanceuom":"mile", "hourssun":"Please Call", "computers":"N", "cfl":"N", "regionalimageurl":null, "city":"Ancaster", "singleuse":"Y", "fax":null, "country":"CA", "logourl":"http://www.call2recycle.org/notpress/where2getit/call2recycle.png", "phone":"905-648-9754", "address2":null, "locationimageurl":null, "_distance":"7.45",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</si>
  <si>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"latitude":"43.22704", "url":null, "postalcode":"L9K 1J9", "province":"ON", "sustainabilityurl":null, "hoursmon":"Please Call", "longitude":"-79.94467", "uid":789254646, "retailerlinkurl":null, "hourssat":"Please Call", "clientkey":"132732", "name":"Best Buy", "locationlinkurl":null, "address1":"1-14 Martindale Cres", "icon":"preferred", "bho":null, "_distanceuom":"mile", "hourssun":"Please Call", "computers":"N", "cfl":"N", "regionalimageurl":null, "city":"Ancaster", "singleuse":"Y", "fax":null, "country":"CA", "logourl":"http://www.call2recycle.org/notpress/where2getit/bestbuy.png", "phone":"905-304-7624", "address2":null, "locationimageurl":null, "_distance":"7.90",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</si>
  <si>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"latitude":"43.229086749999", "url":null, "postalcode":"L9K 1J9", "province":"ON", "sustainabilityurl":null, "hoursmon":"Please Call", "longitude":"-79.9415112934695", "uid":1182187222, "retailerlinkurl":null, "hourssat":"Please Call", "clientkey":"39387", "name":"Home Depot", "locationlinkurl":null, "address1":"122 Martindale Crescent", "icon":"preferred", "bho":null, "_distanceuom":"mile", "hourssun":"Please Call", "computers":"N", "cfl":"N", "regionalimageurl":null, "city":"Ancaster", "singleuse":"Y", "fax":null, "country":"CA", "logourl":"http://www.call2recycle.org/notpress/where2getit/homedepot.png", "phone":"905-304-5900", "address2":null, "locationimageurl":null, "_distance":"8.05",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</si>
  <si>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"latitude":"43.25969", "url":"http://www.thesource.ca", "postalcode":"L9H 4H4", "province":"ON", "sustainabilityurl":"http://www.thesource.ca/sitelets/jobs/environment.asp", "hoursmon":"Please Call", "longitude":"-79.94278", "uid":-725080177, "retailerlinkurl":null, "hourssat":"Please Call", "clientkey":"509", "name":"The Source", "locationlinkurl":null, "address1":"101 Osler Dr", "icon":"preferred", "bho":null, "_distanceuom":"mile", "hourssun":"Please Call", "computers":"N", "cfl":"N", "regionalimageurl":null, "city":"Dundas", "singleuse":"Y", "fax":null, "country":"CA", "logourl":"http://www.call2recycle.org/notpress/where2getit/thesource.png", "phone":"905-627-3387", "address2":null, "locationimageurl":null, "_distance":"8.13",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</si>
  <si>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"_distance":"8.32",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</si>
  <si>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"latitude":"43.25734", "url":null, "postalcode":"L8S 1G5", "province":"ON", "sustainabilityurl":null, "hoursmon":"Please Call", "longitude":"-79.93383", "uid":502592042, "retailerlinkurl":null, "hourssat":"Please Call", "clientkey":"158000", "name":"ListenUp! Canada", "locationlinkurl":null, "address1":"1685 Main St W",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"phone":"905-524-0788", "address2":null, "locationimageurl":null, "_distance":"8.55",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</si>
  <si>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"_distance":"8.69",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</si>
  <si>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</si>
  <si>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"_distance":"8.81",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</si>
  <si>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"_distance":"8.86",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</si>
  <si>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"_distance":"9.16",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</si>
  <si>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"latitude":"43.3155955555556", "url":"http://www.rona.ca", "postalcode":"L9H 0C2", "province":"ON", "sustainabilityurl":"http://www.rona.ca/corporate/corporate-responsibility", "hoursmon":"Please Call", "longitude":"-79.9137022222222", "uid":1182183543, "retailerlinkurl":null, "hourssat":"Please Call", "clientkey":"121761", "name":"RONA", "locationlinkurl":null, "address1":"52 Dundas Street E", "icon":"preferred", "bho":null, "_distanceuom":"mile", "hourssun":"Please Call", "computers":"N", "cfl":"Y", "regionalimageurl":null, "city":"Waterdown", "singleuse":"Y", "fax":null, "country":"CA", "logourl":"http://www.call2recycle.org/notpress/where2getit/rona.png", "phone":"905-689-8700", "address2":null, "locationimageurl":null, "_distance":"10.91",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</si>
  <si>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"latitude":"43.3179275", "url":null, "postalcode":"L0R 2H1", "province":"ON", "sustainabilityurl":null, "hoursmon":"Please Call", "longitude":"-79.9109525", "uid":1633568914, "retailerlinkurl":null, "hourssat":"Please Call", "clientkey":"151750", "name":"Staples", "locationlinkurl":null, "address1":"88 Dundas St E", "icon":"preferred", "bho":null, "_distanceuom":"mile", "hourssun":"Please Call", "computers":"N", "cfl":"N", "regionalimageurl":null, "city":"Waterdown", "singleuse":"Y", "fax":null, "country":"CA", "logourl":"http://www.call2recycle.org/notpress/where2getit/staples.png", "phone":"905-689-0271", "address2":null, "locationimageurl":null, "_distance":"11.11",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</si>
  <si>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"latitude":"43.249808", "url":null, "postalcode":"L8N 1Y2", "province":"ON", "sustainabilityurl":null, "hoursmon":"Please Call", "longitude":"-79.871143", "uid":702459305, "retailerlinkurl":null, "hourssat":"Please Call", "clientkey":"157952", "name":"ListenUp! Canada", "locationlinkurl":null, "address1":"25 Charlton Ave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"phone":"905-529-6251", "address2":null, "locationimageurl":null, "_distance":"11.61",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</si>
  <si>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"latitude":"43.21707", "url":null, "postalcode":"L9A 4X5", "province":"ON", "sustainabilityurl":null, "hoursmon":"Please Call", "longitude":"-79.86449", "uid":341261620, "retailerlinkurl":null, "hourssat":"Please Call", "clientkey":"41268", "name":"Sears (Canada)", "locationlinkurl":null, "address1":"999 Upper Wentworth St", "icon":"normal", "bho":null, "_distanceuom":"mile", "hourssun":"Please Call", "computers":"N", "cfl":"N", "regionalimageurl":null, "city":"Hamilton", "singleuse":"Y", "fax":null, "country":"CA", "logourl":"http://www.call2recycle.org/notpress/where2getit/sears.png", "phone":"905-389-4441", "address2":null, "locationimageurl":null, "_distance":"11.99",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</si>
  <si>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"latitude":"43.21863", "url":null, "postalcode":"L9A 4V8", "province":"ON", "sustainabilityurl":null, "hoursmon":"Please Call", "longitude":"-79.86401", "uid":1609500384, "retailerlinkurl":null, "hourssat":"Please Call", "clientkey":"68065", "name":"Staples", "locationlinkurl":null, "address1":"970 Upper Wentworth St",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"phone":"905-383-7913", "address2":null, "locationimageurl":null, "_distance":"12.00",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</si>
  <si>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"latitude":"43.22069", "url":null, "postalcode":"L9A 5H2", "province":"ON", "sustainabilityurl":null, "hoursmon":"Please Call", "longitude":"-79.86314", "uid":502592015, "retailerlinkurl":null, "hourssat":"Please Call", "clientkey":"157962", "name":"ListenUp! Canada", "locationlinkurl":null, "address1":"880 Upper Wentworth St",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"phone":"905-574-9196", "address2":null, "locationimageurl":null, "_distance":"12.03",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</si>
  <si>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"latitude":"43.32977", "url":"http://www.thesource.ca", "postalcode":"L0R 2H6", "province":"ON", "sustainabilityurl":"http://www.thesource.ca/sitelets/jobs/environment.asp", "hoursmon":"Please Call", "longitude":"-79.89708", "uid":211153177, "retailerlinkurl":null, "hourssat":"Please Call", "clientkey":"152355", "name":"The Source", "locationlinkurl":null, "address1":"255 Dundas St E", "icon":"preferred", "bho":null, "_distanceuom":"mile", "hourssun":"Please Call", "computers":"N", "cfl":"N", "regionalimageurl":null, "city":"Waterdown", "singleuse":"Y", "fax":null, "country":"CA", "logourl":"http://www.call2recycle.org/notpress/where2getit/thesource.png", "phone":"905-690-3243", "address2":null, "locationimageurl":null, "_distance":"12.13",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</si>
  <si>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"latitude":"43.35466", "url":"http://www.thesource.ca", "postalcode":"N1R 8N8", "province":"ON", "sustainabilityurl":"http://www.thesource.ca/sitelets/jobs/environment.asp", "hoursmon":"Please Call", "longitude":"-80.28745", "uid":-511708978, "retailerlinkurl":null, "hourssat":"Please Call", "clientkey":"498", "name":"The Source", "locationlinkurl":null, "address1":"200 Franklin Blvd", "icon":"preferred", "bho":null, "_distanceuom":"mile", "hourssun":"Please Call", "computers":"N", "cfl":"N", "regionalimageurl":null, "city":"Cambridge", "singleuse":"Y", "fax":null, "country":"CA", "logourl":"http://www.call2recycle.org/notpress/where2getit/thesource.png", "phone":"519-623-5210", "address2":null, "locationimageurl":null, "_distance":"12.44",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</si>
  <si>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"latitude":"43.355283", "url":null, "postalcode":"N1S 2L8", "province":"ON", "sustainabilityurl":null, "hoursmon":"Please Call", "longitude":"-80.31844", "uid":1182193551, "retailerlinkurl":null, "hourssat":"Please Call", "clientkey":"105616", "name":"Home Essentials", "locationlinkurl":null, "address1":"64 Grand Ave S",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"phone":"519-622-6046", "address2":null, "locationimageurl":null, "_distance":"13.68",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</si>
  <si>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"latitude":"43.25503", "url":"http://www.canadiantire.ca", "postalcode":"L8L 2V6", "province":"ON", "sustainabilityurl":null, "hoursmon":"8:00am-9:00pm", "longitude":"-79.83035", "uid":1182194750, "retailerlinkurl":null, "hourssat":"Please Call", "clientkey":"1528", "name":"Canadian Tire", "locationlinkurl":null, "address1":"Barton St E", "icon":"normal", "bho":null, "_distanceuom":"mile", "hourssun":"Please Call", "computers":"N", "cfl":"Y", "regionalimageurl":null, "city":"Hamilton", "singleuse":"Y", "fax":null, "country":"CA", "logourl":"http://www.call2recycle.org/notpress/where2getit/canadiantire.png", "phone":"905-549-1336", "address2":null, "locationimageurl":null, "_distance":"13.69",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</si>
  <si>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"latitude":"43.25829", "url":null, "postalcode":"L8L 6W1", "province":"ON", "sustainabilityurl":null, "hoursmon":"Please Call", "longitude":"-79.82995", "uid":1182189134, "retailerlinkurl":null, "hourssat":"Please Call", "clientkey":"71107", "name":"Envirosystems Inc.", "locationlinkurl":null, "address1":"239 Lottridge St", "icon":"preferred", "bho":null, "_distanceuom":"mile", "hourssun":"Please Call", "computers":"N", "cfl":"N", "regionalimageurl":null, "city":"Hamilton", "singleuse":"Y", "fax":null, "country":"CA", "logourl":"http://www.call2recycle.org/notpress/where2getit/call2recycle.png", "phone":"905-545-2665", "address2":null, "locationimageurl":null, "_distance":"13.73",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</si>
  <si>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"latitude":"43.37387", "url":null, "postalcode":"N1R 8L4", "province":"ON", "sustainabilityurl":null, "hoursmon":"Please Call", "longitude":"-80.31864", "uid":400726500, "retailerlinkurl":null, "hourssat":"Please Call", "clientkey":"157928", "name":"ListenUp! Canada", "locationlinkurl":null, "address1":"1 Hespeler Rd",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"phone":"519-624-9092", "address2":null, "locationimageurl":null, "_distance":"14.49",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</si>
  <si>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"latitude":"43.25047", "url":"http://www.thesource.ca", "postalcode":"L8H 2V4", "province":"ON", "sustainabilityurl":"http://www.thesource.ca/sitelets/jobs/environment.asp", "hoursmon":"Please Call", "longitude":"-79.8117174358974", "uid":1664466508, "retailerlinkurl":null, "hourssat":"Please Call", "clientkey":"547", "name":"The Source", "locationlinkurl":null, "address1":"1187 Barton St E", "icon":"normal", "bho":null, "_distanceuom":"mile", "hourssun":"Please Call", "computers":"N", "cfl":"N", "regionalimageurl":null, "city":"Hamilton", "singleuse":"Y", "fax":null, "country":"CA", "logourl":"http://www.call2recycle.org/notpress/where2getit/thesource.png", "phone":"905-545-5343", "address2":null, "locationimageurl":null, "_distance":"14.60",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</si>
  <si>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"latitude":"43.2497988888889", "url":null, "postalcode":"L8H 2V4", "province":"ON", "sustainabilityurl":null, "hoursmon":"Please Call", "longitude":"-79.8086933333333", "uid":1875653347, "retailerlinkurl":null, "hourssat":"Please Call", "clientkey":"141474", "name":"Staples", "locationlinkurl":null, "address1":"1267 Barton St E",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"phone":"--", "address2":null, "locationimageurl":null, "_distance":"14.75",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</si>
  <si>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"latitude":"43.1921532", "url":null, "postalcode":"L8J 0B4", "province":"ON", "sustainabilityurl":null, "hoursmon":"Please Call", "longitude":"-79.8127364", "uid":1182197575, "retailerlinkurl":null, "hourssat":"Please Call", "clientkey":"121787", "name":"Home Depot", "locationlinkurl":null, "address1":"1775 Stone Church Rd E", "icon":"preferred", "bho":null, "_distanceuom":"mile", "hourssun":"Please Call", "computers":"N", "cfl":"N", "regionalimageurl":null, "city":"Stoney Creek", "singleuse":"Y", "fax":null, "country":"CA", "logourl":"http://www.call2recycle.org/notpress/where2getit/homedepot.png", "phone":"905-574-4400", "address2":null, "locationimageurl":null, "_distance":"14.84", "inktoner":"N", "nationalinkurl":null, "regionallinkurl":null, "cellphones":"Y", "hourstues":"Please Call", "consumerelectronics":"N", "hourswed":"Please Call", "rank":"1"</t>
  </si>
  <si>
    <t xml:space="preserve">        "collectioncount":20,</t>
  </si>
  <si>
    <t xml:space="preserve">            "rechargeable": "Y", "nationalimageurl":null, "glasses":"N", "hoursthurs":"Please Call", "state":null, "retailerimageurl":null, "hoursfri":"Please Call", "acceptedmaterialsurl":null, "latitude":"43.1763769718819", "url":null, "postalcode":"L0R 1P0", "province":"ON", "sustainabilityurl":null, "hoursmon":"Please Call", "longitude":"-79.7903986495485", "uid":1986322359, "retailerlinkurl":null, "hourssat":"Please Call", "clientkey":"138615", "name":"Staples", "locationlinkurl":null, "address1":"2130 Rymal Road Unit 103", "icon":"preferred", "bho":null, "_distanceuom":"mile", "hourssun":"Please Call", "computers":"N", "cfl":"N", "regionalimageurl":null, "city":"Hannon", "singleuse":"Y", "fax":null, "country":"CA", "logourl":"http://www.call2recycle.org/notpress/where2getit/staples.png", "phone":"905-692-7215", "address2":null, "locationimageurl":null, "_distance":"7.57",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</si>
  <si>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"latitude":"43.1995437817332", "url":null, "postalcode":"L8J 1P8", "province":"ON", "sustainabilityurl":null, "hoursmon":"Please Call", "longitude":"-79.7944403927634", "uid":445269835, "retailerlinkurl":null, "hourssat":"Please Call", "clientkey":"112450", "name":"Pharmasave", "locationlinkurl":null, "address1":"1050 Paramount Drive", "icon":"preferred", "bho":null, "_distanceuom":"mile", "hourssun":"Please Call", "computers":"N", "cfl":"N", "regionalimageurl":null, "city":"Stoney Creek", "singleuse":"Y", "fax":null, "country":"CA", "logourl":"http://www.call2recycle.org/notpress/where2getit/call2recycle.png", "phone":"905-578-1111", "address2":null, "locationimageurl":null, "_distance":"9.00",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</si>
  <si>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"latitude":"43.1921532", "url":null, "postalcode":"L8J 0B4", "province":"ON", "sustainabilityurl":null, "hoursmon":"Please Call", "longitude":"-79.8127364", "uid":1182197575, "retailerlinkurl":null, "hourssat":"Please Call", "clientkey":"121787", "name":"Home Depot", "locationlinkurl":null, "address1":"1775 Stone Church Rd E", "icon":"preferred", "bho":null, "_distanceuom":"mile", "hourssun":"Please Call", "computers":"N", "cfl":"N", "regionalimageurl":null, "city":"Stoney Creek", "singleuse":"Y", "fax":null, "country":"CA", "logourl":"http://www.call2recycle.org/notpress/where2getit/homedepot.png", "phone":"905-574-4400",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</si>
  <si>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"latitude":"43.1944638910939", "url":null, "postalcode":"L3M 4H1", "province":"ON", "sustainabilityurl":null, "hoursmon":"Please Call", "longitude":"-79.5629405753382", "uid":392185285, "retailerlinkurl":null, "hourssat":"Please Call", "clientkey":"157986", "name":"ListenUp! Canada", "locationlinkurl":null, "address1":"Village Inn Shopping Plaza 63 Main St W", "icon":"normal", "bho":null, "_distanceuom":"mile", "hourssun":"Please Call", "computers":"N", "cfl":"N", "regionalimageurl":null, "city":"Grimsby", "singleuse":"Y", "fax":null, "country":"CA", "logourl":"http://www.call2recycle.org/notpress/where2getit/call2recycle.png", "phone":"905-309-6116", "address2":null, "locationimageurl":null, "_distance":"10.07",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</si>
  <si>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"latitude":"43.2331541823488", "url":null, "postalcode":"L8E 2J8", "province":"ON", "sustainabilityurl":null, "hoursmon":"Please Call", "longitude":"-79.7434223326724", "uid":636392821, "retailerlinkurl":null, "hourssat":"Please Call", "clientkey":"169583", "name":"Franklin Empire", "locationlinkurl":null, "address1":"2783 Barton St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"phone":"905-578-3330", "address2":null, "locationimageurl":null, "_distance":"10.21",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</si>
  <si>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"latitude":"43.23425", "url":null, "postalcode":"L8E 1H9", "province":"ON", "sustainabilityurl":null, "hoursmon":"Please Call", "longitude":"-79.76165", "uid":400726438, "retailerlinkurl":null, "hourssat":"Please Call", "clientkey":"157973", "name":"ListenUp! Canada", "locationlinkurl":null, "address1":"160 Centennial Pkwy N",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"phone":"905-662-8275", "address2":null, "locationimageurl":null, "_distance":"10.52",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</si>
  <si>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"latitude":"43.2408032222222", "url":null, "postalcode":"L8E 0C5", "province":"ON", "sustainabilityurl":null, "hoursmon":"Please Call", "longitude":"-79.7363474444444", "uid":540400464, "retailerlinkurl":null, "hourssat":"Please Call", "clientkey":"161204", "name":"Fastenal", "locationlinkurl":null, "address1":"107-1100 South Service Rd", "icon":"normal", "bho":null, "_distanceuom":"mile", "hourssun":"Please Call", "computers":"N", "cfl":"N", "regionalimageurl":null, "city":"Stoney Creek", "singleuse":"Y", "fax":null, "country":"CA", "logourl":"http://www.call2recycle.org/notpress/where2getit/call2recycle.png", "phone":"289-649-0770", "address2":null, "locationimageurl":null, "_distance":"10.66",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</si>
  <si>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"latitude":"43.23714", "url":null, "postalcode":"L8E 2W7", "province":"ON", "sustainabilityurl":null, "hoursmon":"Please Call", "longitude":"-79.7616175", "uid":341261720, "retailerlinkurl":null, "hourssat":"Please Call", "clientkey":"159750", "name":"Staples Canada", "locationlinkurl":null, "address1":"2444 Barton Street E", "icon":"normal", "bho":null, "_distanceuom":"mile", "hourssun":"Please Call", "computers":"N", "cfl":"N", "regionalimageurl":null, "city":"Hamilton", "singleuse":"Y", "fax":null, "country":"CA", "logourl":"http://www.call2recycle.org/notpress/where2getit/staples.png", "phone":"905-578-3573", "address2":null, "locationimageurl":null, "_distance":"10.71",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</si>
  <si>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"latitude":"43.2400266666667", "url":null, "postalcode":"L8E 2X4", "province":"ON", "sustainabilityurl":null, "hoursmon":"Please Call", "longitude":"-79.7591422222222", "uid":1182192338, "retailerlinkurl":null, "hourssat":"Please Call", "clientkey":"43514", "name":"Home Depot", "locationlinkurl":null, "address1":"350 Centennial Pky N", "icon":"preferred", "bho":null, "_distanceuom":"mile", "hourssun":"Please Call", "computers":"N", "cfl":"N", "regionalimageurl":null, "city":"Hamilton", "singleuse":"Y", "fax":null, "country":"CA", "logourl":"http://www.call2recycle.org/notpress/where2getit/homedepot.png", "phone":"905-561-9755", "address2":null, "locationimageurl":null, "_distance":"10.86",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</si>
  <si>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"latitude":"43.2443277777778", "url":null, "postalcode":"L8H 2Y6", "province":"ON", "sustainabilityurl":null, "hoursmon":"Please Call", "longitude":"-79.7859277777778", "uid":677051362, "retailerlinkurl":null, "hourssat":"Please Call", "clientkey":"169714", "name":"Princess Auto", "locationlinkurl":null, "address1":"1850 Barton St E", "icon":"preferred", "bho":null, "_distanceuom":"mile", "hourssun":"Please Call", "computers":"N", "cfl":"N", "regionalimageurl":null, "city":"Hamilton", "singleuse":"Y", "fax":null, "country":"CA", "logourl":"http://www.call2recycle.org/notpress/where2getit/PrincessAuto_150x150.png", "phone":"905-561-9400", "address2":null, "locationimageurl":null, "_distance":"11.58",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</si>
  <si>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"latitude":"43.18895", "url":"http://www.rona.ca", "postalcode":"L3M 4E8", "province":"ON", "sustainabilityurl":"http://www.rona.ca/corporate/corporate-responsibility", "hoursmon":"Please Call", "longitude":"-79.5127447319383", "uid":-1292109251, "retailerlinkurl":null, "hourssat":"Please Call", "clientkey":"128186", "name":"RONA", "locationlinkurl":null, "address1":"359S South Service Rd", "icon":"normal", "bho":null, "_distanceuom":"mile", "hourssun":"Please Call", "computers":"N", "cfl":"Y", "regionalimageurl":null, "city":"Grimsby", "singleuse":"Y", "fax":null, "country":"CA", "logourl":"http://www.call2recycle.org/notpress/where2getit/rona.png", "phone":"905-309-1959", "address2":null, "locationimageurl":null, "_distance":"11.72",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</si>
  <si>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"latitude":"43.21707", "url":null, "postalcode":"L9A 4X5", "province":"ON", "sustainabilityurl":null, "hoursmon":"Please Call", "longitude":"-79.86449", "uid":341261620, "retailerlinkurl":null, "hourssat":"Please Call", "clientkey":"41268", "name":"Sears (Canada)", "locationlinkurl":null, "address1":"999 Upper Wentworth St", "icon":"normal", "bho":null, "_distanceuom":"mile", "hourssun":"Please Call", "computers":"N", "cfl":"N", "regionalimageurl":null, "city":"Hamilton", "singleuse":"Y", "fax":null, "country":"CA", "logourl":"http://www.call2recycle.org/notpress/where2getit/sears.png", "phone":"905-389-4441", "address2":null, "locationimageurl":null, "_distance":"12.13",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</si>
  <si>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"latitude":"43.2532231", "url":"http://www.rona.ca", "postalcode":"L8H 5Z1", "province":"ON", "sustainabilityurl":"http://www.rona.ca/corporate/corporate-responsibility", "hoursmon":"Please Call", "longitude":"-79.7863211", "uid":941812222, "retailerlinkurl":null, "hourssat":"Please Call", "clientkey":"153256", "name":"RONA", "locationlinkurl":null, "address1":"633 Parkdale Avenue N", "icon":"normal", "bho":null, "_distanceuom":"mile", "hourssun":"Please Call", "computers":"N", "cfl":"Y", "regionalimageurl":null, "city":"Hamilton", "singleuse":"Y", "fax":null, "country":"CA", "logourl":"http://www.call2recycle.org/notpress/where2getit/rona.png", "phone":"905-547-3444", "address2":null, "locationimageurl":null, "_distance":"12.16",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</si>
  <si>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"latitude":"43.21863", "url":null, "postalcode":"L9A 4V8", "province":"ON", "sustainabilityurl":null, "hoursmon":"Please Call", "longitude":"-79.86401", "uid":1609500384, "retailerlinkurl":null, "hourssat":"Please Call", "clientkey":"68065", "name":"Staples", "locationlinkurl":null, "address1":"970 Upper Wentworth St",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"phone":"905-383-7913", "address2":null, "locationimageurl":null, "_distance":"12.19",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</si>
  <si>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"latitude":"43.22069", "url":null, "postalcode":"L9A 5H2", "province":"ON", "sustainabilityurl":null, "hoursmon":"Please Call", "longitude":"-79.86314", "uid":502592015, "retailerlinkurl":null, "hourssat":"Please Call", "clientkey":"157962", "name":"ListenUp! Canada", "locationlinkurl":null, "address1":"880 Upper Wentworth St",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"phone":"905-574-9196", "address2":null, "locationimageurl":null, "_distance":"12.26",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</si>
  <si>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"latitude":"43.2497988888889", "url":null, "postalcode":"L8H 2V4", "province":"ON", "sustainabilityurl":null, "hoursmon":"Please Call", "longitude":"-79.8086933333333", "uid":1875653347, "retailerlinkurl":null, "hourssat":"Please Call", "clientkey":"141474", "name":"Staples", "locationlinkurl":null, "address1":"1267 Barton St E", "icon":"preferred", "bho":null, "_distanceuom":"mile", "hourssun":"Please Call", "computers":"N", "cfl":"N", "regionalimageurl":null, "city":"Hamilton", "singleuse":"Y", "fax":null, "country":"CA", "logourl":"http://www.call2recycle.org/notpress/where2getit/staples.png", "phone":"--", "address2":null, "locationimageurl":null, "_distance":"12.39",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</si>
  <si>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"latitude":"43.25047", "url":"http://www.thesource.ca", "postalcode":"L8H 2V4", "province":"ON", "sustainabilityurl":"http://www.thesource.ca/sitelets/jobs/environment.asp", "hoursmon":"Please Call", "longitude":"-79.8117174358974", "uid":1664466508, "retailerlinkurl":null, "hourssat":"Please Call", "clientkey":"547", "name":"The Source", "locationlinkurl":null, "address1":"1187 Barton St E", "icon":"normal", "bho":null, "_distanceuom":"mile", "hourssun":"Please Call", "computers":"N", "cfl":"N", "regionalimageurl":null, "city":"Hamilton", "singleuse":"Y", "fax":null, "country":"CA", "logourl":"http://www.call2recycle.org/notpress/where2getit/thesource.png", "phone":"905-545-5343", "address2":null, "locationimageurl":null, "_distance":"12.50",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</si>
  <si>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"latitude":"43.25503", "url":"http://www.canadiantire.ca", "postalcode":"L8L 2V6", "province":"ON", "sustainabilityurl":null, "hoursmon":"8:00am-9:00pm", "longitude":"-79.83035", "uid":1182194750, "retailerlinkurl":null, "hourssat":"Please Call", "clientkey":"1528", "name":"Canadian Tire", "locationlinkurl":null, "address1":"Barton St E", "icon":"normal", "bho":null, "_distanceuom":"mile", "hourssun":"Please Call", "computers":"N", "cfl":"Y", "regionalimageurl":null, "city":"Hamilton", "singleuse":"Y", "fax":null, "country":"CA", "logourl":"http://www.call2recycle.org/notpress/where2getit/canadiantire.png", "phone":"905-549-1336", "address2":null, "locationimageurl":null, "_distance":"13.22",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</si>
  <si>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"latitude":"43.25829", "url":null, "postalcode":"L8L 6W1", "province":"ON", "sustainabilityurl":null, "hoursmon":"Please Call", "longitude":"-79.82995", "uid":1182189134, "retailerlinkurl":null, "hourssat":"Please Call", "clientkey":"71107", "name":"Envirosystems Inc.", "locationlinkurl":null, "address1":"239 Lottridge St", "icon":"preferred", "bho":null, "_distanceuom":"mile", "hourssun":"Please Call", "computers":"N", "cfl":"N", "regionalimageurl":null, "city":"Hamilton", "singleuse":"Y", "fax":null, "country":"CA", "logourl":"http://www.call2recycle.org/notpress/where2getit/call2recycle.png", "phone":"905-545-2665", "address2":null, "locationimageurl":null, "_distance":"13.41",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</si>
  <si>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"latitude":"43.249808", "url":null, "postalcode":"L8N 1Y2", "province":"ON", "sustainabilityurl":null, "hoursmon":"Please Call", "longitude":"-79.871143", "uid":702459305, "retailerlinkurl":null, "hourssat":"Please Call", "clientkey":"157952", "name":"ListenUp! Canada", "locationlinkurl":null, "address1":"25 Charlton Ave E", "icon":"normal", "bho":null, "_distanceuom":"mile", "hourssun":"Please Call", "computers":"N", "cfl":"N", "regionalimageurl":null, "city":"Hamilton", "singleuse":"Y", "fax":null, "country":"CA", "logourl":"http://www.call2recycle.org/notpress/where2getit/call2recycle.png", "phone":"905-529-6251", "address2":null, "locationimageurl":null, "_distance":"14.07", "inktoner":"N", "nationalinkurl":null, "regionallinkurl":null, "cellphones":"Y", "hourstues":"Please Call", "consumerelectronics":"N", "hourswed":"Please Call", "rank":"0"</t>
  </si>
  <si>
    <t xml:space="preserve">        "collectioncount":13,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</si>
  <si>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"_distance":"8.55",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</si>
  <si>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"_distance":"8.55",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</si>
  <si>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"latitude":"43.11939", "url":null, "postalcode":"L2S 0C7", "province":"ON", "sustainabilityurl":null, "hoursmon":"Please Call", "longitude":"-79.26929", "uid":1522037064, "retailerlinkurl":null, "hourssat":"Please Call", "clientkey":"132831", "name":"Best Buy", "locationlinkurl":null, "address1":"1-420 Vansickle Rd", "icon":"preferred", "bho":null, "_distanceuom":"mile", "hourssun":"Please Call", "computers":"N", "cfl":"N", "regionalimageurl":null, "city":"St Catharines", "singleuse":"Y", "fax":null, "country":"CA", "logourl":"http://www.call2recycle.org/notpress/where2getit/bestbuy.png", "phone":"905-378-0333", "address2":null, "locationimageurl":null, "_distance":"8.72",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</si>
  <si>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"_distance":"9.09",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</si>
  <si>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"_distance":"9.20",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</si>
  <si>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"_distance":"9.56",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</si>
  <si>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"latitude":"43.1557522", "url":null, "postalcode":"L2S 0E7", "province":"ON", "sustainabilityurl":null, "hoursmon":"Please Call", "longitude":"-79.2651518", "uid":677051382, "retailerlinkurl":null, "hourssat":"Please Call", "clientkey":"169753", "name":"Princess Auto", "locationlinkurl":null, "address1":"295 Fourth Ave", "icon":"preferred", "bho":null, "_distanceuom":"mile", "hourssun":"Please Call", "computers":"N", "cfl":"N", "regionalimageurl":null, "city":"St Catharines", "singleuse":"Y", "fax":null, "country":"CA", "logourl":"http://www.call2recycle.org/notpress/where2getit/PrincessAuto_150x150.png", "phone":"289-438-8380", "address2":null, "locationimageurl":null, "_distance":"10.48",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</si>
  <si>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"latitude":"43.18895", "url":"http://www.rona.ca", "postalcode":"L3M 4E8", "province":"ON", "sustainabilityurl":"http://www.rona.ca/corporate/corporate-responsibility", "hoursmon":"Please Call", "longitude":"-79.5127447319383", "uid":-1292109251, "retailerlinkurl":null, "hourssat":"Please Call", "clientkey":"128186", "name":"RONA", "locationlinkurl":null, "address1":"359S South Service Rd", "icon":"normal", "bho":null, "_distanceuom":"mile", "hourssun":"Please Call", "computers":"N", "cfl":"Y", "regionalimageurl":null, "city":"Grimsby", "singleuse":"Y", "fax":null, "country":"CA", "logourl":"http://www.call2recycle.org/notpress/where2getit/rona.png", "phone":"905-309-1959", "address2":null, "locationimageurl":null, "_distance":"10.92",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</si>
  <si>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"latitude":"43.1245186956522", "url":null, "postalcode":"L2V 3Y7", "province":"ON", "sustainabilityurl":null, "hoursmon":"Please Call", "longitude":"-79.2006786956522", "uid":-24087951, "retailerlinkurl":null, "hourssat":"Please Call", "clientkey":"112460", "name":"Pharmasave", "locationlinkurl":null, "address1":"15 Front St S. (Box 67)", "icon":"normal", "bho":null, "_distanceuom":"mile", "hourssun":"Please Call", "computers":"N", "cfl":"N", "regionalimageurl":null, "city":"Thorold", "singleuse":"Y", "fax":null, "country":"CA", "logourl":"http://www.call2recycle.org/notpress/where2getit/call2recycle.png", "phone":"905-227-2511", "address2":null, "locationimageurl":null, "_distance":"11.90",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</si>
  <si>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"latitude":"43.1792340662616", "url":null, "postalcode":"L2N 7R6", "province":"ON", "sustainabilityurl":null, "hoursmon":"Please Call", "longitude":"-79.2488582576566", "uid":1679417603, "retailerlinkurl":null, "hourssat":"Please Call", "clientkey":"152393", "name":"Staples", "locationlinkurl":null, "address1":"10 YMCA Dr", "icon":"preferred", "bho":null, "_distanceuom":"mile", "hourssun":"Please Call", "computers":"N", "cfl":"N", "regionalimageurl":null, "city":"St Catharines", "singleuse":"Y", "fax":null, "country":"CA", "logourl":"http://www.call2recycle.org/notpress/where2getit/staples.png", "phone":"905-937-4292", "address2":null, "locationimageurl":null, "_distance":"12.22",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</si>
  <si>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"latitude":"43.1793789783435", "url":null, "postalcode":"L2N 7R6", "province":"ON", "sustainabilityurl":null, "hoursmon":"Please Call", "longitude":"-79.2478539630517", "uid":1182192280, "retailerlinkurl":null, "hourssat":"Please Call", "clientkey":"43504", "name":"Home Depot", "locationlinkurl":null, "address1":"20 Ymca Dr", "icon":"normal", "bho":null, "_distanceuom":"mile", "hourssun":"Please Call", "computers":"N", "cfl":"N", "regionalimageurl":null, "city":"St Catharines", "singleuse":"Y", "fax":null, "country":"CA", "logourl":"http://www.call2recycle.org/notpress/where2getit/homedepot.png", "phone":"905-937-5900", "address2":null, "locationimageurl":null, "_distance":"12.26",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</si>
  <si>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"latitude":"43.1944638910939", "url":null, "postalcode":"L3M 4H1", "province":"ON", "sustainabilityurl":null, "hoursmon":"Please Call", "longitude":"-79.5629405753382", "uid":392185285, "retailerlinkurl":null, "hourssat":"Please Call", "clientkey":"157986", "name":"ListenUp! Canada", "locationlinkurl":null, "address1":"Village Inn Shopping Plaza 63 Main St W", "icon":"normal", "bho":null, "_distanceuom":"mile", "hourssun":"Please Call", "computers":"N", "cfl":"N", "regionalimageurl":null, "city":"Grimsby", "singleuse":"Y", "fax":null, "country":"CA", "logourl":"http://www.call2recycle.org/notpress/where2getit/call2recycle.png", "phone":"905-309-6116", "address2":null, "locationimageurl":null, "_distance":"12.60",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</si>
  <si>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"latitude":"43.16581", "url":"http://www.rona.ca", "postalcode":"L2M 7X2", "province":"ON", "sustainabilityurl":"http://www.rona.ca/corporate/corporate-responsibility", "hoursmon":"Please Call", "longitude":"-79.20202", "uid":821565247, "retailerlinkurl":null, "hourssat":"Please Call", "clientkey":"128188", "name":"RONA", "locationlinkurl":null, "address1":"250 Dunkirk Rd", "icon":"normal", "bho":null, "_distanceuom":"mile", "hourssun":"Please Call", "computers":"N", "cfl":"Y", "regionalimageurl":null, "city":"St Catharines", "singleuse":"Y", "fax":null, "country":"CA", "logourl":"http://www.call2recycle.org/notpress/where2getit/rona.png", "phone":"905-684-9264", "address2":null, "locationimageurl":null, "_distance":"13.35", "inktoner":"N", "nationalinkurl":null, "regionallinkurl":null, "cellphones":"Y", "hourstues":"Please Call", "consumerelectronics":"N", "hourswed":"Please Call", "rank":"0"</t>
  </si>
  <si>
    <t xml:space="preserve">        "collectioncount":44,</t>
  </si>
  <si>
    <t xml:space="preserve">            "rechargeable": "Y", "nationalimageurl":null, "glasses":"N", "hoursthurs":"Please Call", "state":"NY", "retailerimageurl":null, "hoursfri":"Please Call", "acceptedmaterialsurl":null, "latitude":"43.02266", "url":null, "postalcode":"14072", "province":null, "sustainabilityurl":null, "hoursmon":"Please Call", "longitude":"-78.96575", "uid":1182175110, "retailerlinkurl":null, "hourssat":"Please Call", "clientkey":"68192", "name":"Town of Grand Island", "locationlinkurl":null, "address1":"2255 Baseline Rd Ste 2", "icon":"preferred", "bho":null, "_distanceuom":"mile", "hourssun":"Please Call", "computers":"N", "cfl":"N", "regionalimageurl":null, "city":"Grand Island", "singleuse":"N", "fax":null, "country":"US", "logourl":"http://www.call2recycle.org/notpress/where2getit/call2recycle.png", "phone":"716-773-9600", "address2":null, "locationimageurl":null, "_distance":"5.77",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</si>
  <si>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"latitude":"42.9054554117228", "url":null, "postalcode":"L2A 1N2", "province":"ON", "sustainabilityurl":null, "hoursmon":"Please Call", "longitude":"-78.9321407083533", "uid":1503278120, "retailerlinkurl":null, "hourssat":"Please Call", "clientkey":"114807", "name":"Beatties Basics", "locationlinkurl":null, "address1":"458 Garrison Rd", "icon":"normal", "bho":null, "_distanceuom":"mile", "hourssun":"Please Call", "computers":"N", "cfl":"N", "regionalimageurl":null, "city":"Fort Erie", "singleuse":"Y", "fax":null, "country":"CA", "logourl":"http://www.call2recycle.org/notpress/where2getit/call2recycle.png", "phone":"905-871-7030", "address2":null, "locationimageurl":null, "_distance":"7.05",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</si>
  <si>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"latitude":"42.90567", "url":null, "postalcode":"L2A 1M4", "province":"ON", "sustainabilityurl":null, "hoursmon":"Please Call", "longitude":"-78.91845", "uid":400726472, "retailerlinkurl":null, "hourssat":"Please Call", "clientkey":"158009", "name":"ListenUp! Canada", "locationlinkurl":null, "address1":"168 Garrison Rd", "icon":"normal", "bho":null, "_distanceuom":"mile", "hourssun":"Please Call", "computers":"N", "cfl":"N", "regionalimageurl":null, "city":"Fort Erie", "singleuse":"Y", "fax":null, "country":"CA", "logourl":"http://www.call2recycle.org/notpress/where2getit/call2recycle.png", "phone":"905-991-0647", "address2":null, "locationimageurl":null, "_distance":"7.62",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</si>
  <si>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"latitude":"43.0703930009034", "url":null, "postalcode":"L2G 3H2", "province":"ON", "sustainabilityurl":null, "hoursmon":"Please Call", "longitude":"-79.1146269448938", "uid":520676239, "retailerlinkurl":null, "hourssat":"Please Call", "clientkey":"43702", "name":"Just Accessories", "locationlinkurl":null, "address1":"7116 McLeod Rd", "icon":"normal", "bho":null, "_distanceuom":"mile", "hourssun":"Please Call", "computers":"N", "cfl":"N", "regionalimageurl":null, "city":"Niagara Falls", "singleuse":"Y", "fax":null, "country":"CA", "logourl":"http://www.call2recycle.org/notpress/where2getit/call2recycle.png", "phone":"905-358-5878", "address2":null, "locationimageurl":null, "_distance":"8.13",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</si>
  <si>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"latitude":"42.9543446666667", "url":"http://www.homedepot.com", "postalcode":"14207", "province":null, "sustainabilityurl":"https://corporate.homedepot.com/CorporateResponsibility/Environment/Pages/default.aspx", "hoursmon":"6:00am-10:00pm", "longitude":"-78.8783137142857", "uid":1182178119, "retailerlinkurl":null, "hourssat":"6:00am-10:00pm", "clientkey":"42642", "name":"The Home Depot", "locationlinkurl":null, "address1":"2100 Elmwood Ave", "icon":"preferred", "bho":null, "_distanceuom":"mile", "hourssun":"8:00am-8:00pm", "computers":"N", "cfl":"Y", "regionalimageurl":null, "city":"Buffalo", "singleuse":"N", "fax":null, "country":"US", "logourl":"http://www.call2recycle.org/notpress/where2getit/homedepot.png", "phone":"716-871-8800", "address2":null, "locationimageurl":null, "_distance":"8.54",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</si>
  <si>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"latitude":"42.9474754545455", "url":null, "postalcode":"14207", "province":null, "sustainabilityurl":null, "hoursmon":"Please Call", "longitude":"-78.8782163636364", "uid":1641920075, "retailerlinkurl":null, "hourssat":"Please Call", "clientkey":"143671", "name":"Valu Home Centers", "locationlinkurl":null, "address1":"1841 Elmwood Ave",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"phone":"--", "address2":null, "locationimageurl":null, "_distance":"8.59",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</si>
  <si>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"latitude":"43.0004266666667", "url":null, "postalcode":"14150", "province":null, "sustainabilityurl":null, "hoursmon":"Please Call", "longitude":"-78.8751380952381", "uid":-1428495321, "retailerlinkurl":null, "hourssat":"Please Call", "clientkey":"143673", "name":"Valu Home Centers", "locationlinkurl":null, "address1":"4264 Delaware Ave",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"phone":"716-694-8155", "address2":null, "locationimageurl":null, "_distance":"9.03",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</si>
  <si>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"latitude":"43.0882292307692", "url":"http://www.homedepot.com", "postalcode":"14304", "province":null, "sustainabilityurl":"https://corporate.homedepot.com/CorporateResponsibility/Environment/Pages/default.aspx", "hoursmon":"6:00am-10:00pm", "longitude":"-78.9914680769231", "uid":1182199230, "retailerlinkurl":null, "hourssat":"6:00am-10:00pm", "clientkey":"42646", "name":"The Home Depot", "locationlinkurl":null, "address1":"750 Builders Way", "icon":"preferred", "bho":null, "_distanceuom":"mile", "hourssun":"8:00am-8:00pm", "computers":"N", "cfl":"Y", "regionalimageurl":null, "city":"Niagara Falls", "singleuse":"N", "fax":null, "country":"US", "logourl":"http://www.call2recycle.org/notpress/where2getit/homedepot.png", "phone":"716-236-0761", "address2":null, "locationimageurl":null, "_distance":"9.04",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</si>
  <si>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"latitude":"42.9423522222222", "url":"http://www.radioshack.com", "postalcode":"14216", "province":null, "sustainabilityurl":"http://www.radioshackcorporation.com/citizenship/environment.php", "hoursmon":"Please Call", "longitude":"-78.8678733333333", "uid":116279046, "retailerlinkurl":null, "hourssat":"Please Call", "clientkey":"3448", "name":"RadioShack", "locationlinkurl":null, "address1":"2143 Delaware Ave", "icon":"normal", "bho":null, "_distanceuom":"mile", "hourssun":"Please Call", "computers":"N", "cfl":"N", "regionalimageurl":null, "city":"Buffalo", "singleuse":"N", "fax":null, "country":"US", "logourl":"http://www.call2recycle.org/notpress/where2getit/radioshack.png", "phone":"716-874-5064", "address2":null, "locationimageurl":null, "_distance":"9.16",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</si>
  <si>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"latitude":"43.0879566895736", "url":"http://www.radioshack.com", "postalcode":"14304", "province":null, "sustainabilityurl":"http://www.radioshackcorporation.com/citizenship/environment.php", "hoursmon":"Please Call", "longitude":"-78.9805609232238", "uid":116279279, "retailerlinkurl":null, "hourssat":"Please Call", "clientkey":"43863", "name":"RadioShack", "locationlinkurl":null, "address1":"7312 Niagara Falls Blvd", "icon":"preferred", "bho":null, "_distanceuom":"mile", "hourssun":"Please Call", "computers":"N", "cfl":"N", "regionalimageurl":null, "city":"Niagara Falls", "singleuse":"N", "fax":null, "country":"US", "logourl":"http://www.call2recycle.org/notpress/where2getit/radioshack.png", "phone":"716-283-5648", "address2":null, "locationimageurl":null, "_distance":"9.21",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</si>
  <si>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"latitude":"42.92228", "url":null, "postalcode":"14209", "province":null, "sustainabilityurl":null, "hoursmon":"Please Call", "longitude":"-78.8663458064516", "uid":1182191504, "retailerlinkurl":null, "hourssat":"Please Call", "clientkey":"6429", "name":"Dewalt Factory Service Center", "locationlinkurl":null, "address1":"881 W Delavan Ave",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"phone":"716-884-6220", "address2":null, "locationimageurl":null, "_distance":"9.56",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</si>
  <si>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"latitude":"43.0941245569268", "url":"http://www.radioshack.com", "postalcode":"14304", "province":null, "sustainabilityurl":"http://www.radioshackcorporation.com/citizenship/environment.php", "hoursmon":"Please Call", "longitude":"-78.9719036349523", "uid":944899263, "retailerlinkurl":null, "hourssat":"Please Call", "clientkey":"3461", "name":"RadioShack", "locationlinkurl":null, "address1":"1593 Military Rd", "icon":"preferred", "bho":null, "_distanceuom":"mile", "hourssun":"Please Call", "computers":"N", "cfl":"N", "regionalimageurl":null, "city":"Niagara Falls", "singleuse":"N", "fax":null, "country":"US", "logourl":"http://www.call2recycle.org/notpress/where2getit/radioshack.png", "phone":"716-297-3333", "address2":null, "locationimageurl":null, "_distance":"9.77",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</si>
  <si>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"_distance":"9.87",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</si>
  <si>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"latitude":"43.1041398492462", "url":null, "postalcode":"L2E 7K5", "province":"ON", "sustainabilityurl":null, "hoursmon":"Please Call", "longitude":"-79.1139305527638", "uid":1632397580, "retailerlinkurl":null, "hourssat":"Please Call", "clientkey":"67956", "name":"Staples", "locationlinkurl":null, "address1":"7190 Morrison St", "icon":"preferred", "bho":null, "_distanceuom":"mile", "hourssun":"Please Call", "computers":"N", "cfl":"N", "regionalimageurl":null, "city":"Niagara Falls", "singleuse":"Y", "fax":null, "country":"CA", "logourl":"http://www.call2recycle.org/notpress/where2getit/staples.png", "phone":"905-358-0650", "address2":null, "locationimageurl":null, "_distance":"10.28",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</si>
  <si>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"latitude":"43.1041398492462", "url":null, "postalcode":"L2E 7K5", "province":"ON", "sustainabilityurl":null, "hoursmon":"Please Call", "longitude":"-79.1139305527638", "uid":1182197990, "retailerlinkurl":null, "hourssat":"Please Call", "clientkey":"78234", "name":"Home Depot", "locationlinkurl":null, "address1":"7190 Morrison St", "icon":"preferred", "bho":null, "_distanceuom":"mile", "hourssun":"Please Call", "computers":"N", "cfl":"N", "regionalimageurl":null, "city":"Niagara Falls", "singleuse":"Y", "fax":null, "country":"CA", "logourl":"http://www.call2recycle.org/notpress/where2getit/homedepot.png", "phone":"905-371-7470", "address2":null, "locationimageurl":null, "_distance":"10.28",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</si>
  <si>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"_distance":"10.35",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</si>
  <si>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"_distance":"10.44",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</si>
  <si>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"latitude":"43.0510285714286", "url":"http://www.radioshack.com", "postalcode":"14120", "province":null, "sustainabilityurl":"http://www.radioshackcorporation.com/citizenship/environment.php", "hoursmon":"Please Call", "longitude":"-78.87809", "uid":972804052, "retailerlinkurl":null, "hourssat":"Please Call", "clientkey":"3447", "name":"RadioShack", "locationlinkurl":null, "address1":"1029 Payne Ave", "icon":"preferred", "bho":null, "_distanceuom":"mile", "hourssun":"Please Call", "computers":"N", "cfl":"N", "regionalimageurl":null, "city":"North Tonawanda", "singleuse":"N", "fax":null, "country":"US", "logourl":"http://www.call2recycle.org/notpress/where2getit/radioshack.png", "phone":"716-693-0500", "address2":null, "locationimageurl":null, "_distance":"10.44",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</si>
  <si>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"latitude":"43.09407", "url":null, "postalcode":"14304", "province":null, "sustainabilityurl":null, "hoursmon":"Please Call", "longitude":"-78.93922", "uid":151479587, "retailerlinkurl":null, "hourssat":"Please Call", "clientkey":"158763", "name":"Drake Lawn &amp; Garden Inc.", "locationlinkurl":null, "address1":"2070 Cayuga Drive Ext", "icon":"normal", "bho":null, "_distanceuom":"mile", "hourssun":"Please Call", "computers":"N", "cfl":"N", "regionalimageurl":null, "city":"Niagara Falls", "singleuse":"N", "fax":null, "country":"US", "logourl":"http://www.call2recycle.org/notpress/where2getit/call2recycle.png", "phone":"716-731-1330", "address2":null, "locationimageurl":null, "_distance":"10.52",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</si>
  <si>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"latitude":"43.10931", "url":null, "postalcode":"14304", "province":null, "sustainabilityurl":null, "hoursmon":"Please Call", "longitude":"-78.9843", "uid":-1091701347, "retailerlinkurl":null, "hourssat":"Please Call", "clientkey":"143672", "name":"Valu Home Centers", "locationlinkurl":null, "address1":"Porter &amp; Packard Rds", "icon":"normal", "bho":null, "_distanceuom":"mile", "hourssun":"Please Call", "computers":"N", "cfl":"N", "regionalimageurl":null, "city":"Niagara Falls", "singleuse":"N", "fax":null, "country":"US", "logourl":"http://www.call2recycle.org/notpress/where2getit/call2recycle.png", "phone":"--", "address2":null, "locationimageurl":null, "_distance":"10.54",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</si>
  <si>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"latitude":"42.958335", "url":null, "postalcode":"14223", "province":null, "sustainabilityurl":null, "hoursmon":"Please Call", "longitude":"-78.83363", "uid":121745553, "retailerlinkurl":null, "hourssat":"Please Call", "clientkey":"143686", "name":"Valu Home Centers", "locationlinkurl":null, "address1":"396 Kenmore Ave", "icon":"normal", "bho":null, "_distanceuom":"mile", "hourssun":"Please Call", "computers":"N", "cfl":"N", "regionalimageurl":null, "city":"Buffalo", "singleuse":"N", "fax":null, "country":"US", "logourl":"http://www.call2recycle.org/notpress/where2getit/call2recycle.png", "phone":"716-835-0677", "address2":null, "locationimageurl":null, "_distance":"10.78",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</si>
  <si>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"_distance":"10.86",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</si>
  <si>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"_distance":"10.86",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</si>
  <si>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"latitude":"43.1142502173913", "url":null, "postalcode":"L2E 6N1", "province":"ON", "sustainabilityurl":null, "hoursmon":"Please Call", "longitude":"-79.111777173913", "uid":400726447, "retailerlinkurl":null, "hourssat":"Please Call", "clientkey":"157980", "name":"ListenUp! Canada", "locationlinkurl":null, "address1":"4025 Dorchester Rd", "icon":"normal", "bho":null, "_distanceuom":"mile", "hourssun":"Please Call", "computers":"N", "cfl":"N", "regionalimageurl":null, "city":"Niagara Falls", "singleuse":"Y", "fax":null, "country":"CA", "logourl":"http://www.call2recycle.org/notpress/where2getit/call2recycle.png", "phone":"905-374-2792", "address2":null, "locationimageurl":null, "_distance":"10.91",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</si>
  <si>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"latitude":"42.91461", "url":null, "postalcode":"14211", "province":null, "sustainabilityurl":null, "hoursmon":"Please Call", "longitude":"-78.83779", "uid":364747239, "retailerlinkurl":null, "hourssat":"Please Call", "clientkey":"160408", "name":"Dollar General", "locationlinkurl":null, "address1":"663 E Ferry St", "icon":"normal", "bho":null, "_distanceuom":"mile", "hourssun":"Please Call", "computers":"N", "cfl":"N", "regionalimageurl":null, "city":"Buffalo", "singleuse":"N", "fax":null, "country":"US", "logourl":"http://www.call2recycle.org/notpress/where2getit/call2recycle.png", "phone":"--", "address2":null, "locationimageurl":null, "_distance":"11.10",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</si>
  <si>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"latitude":"43.0601114705882", "url":null, "postalcode":"14120", "province":null, "sustainabilityurl":null, "hoursmon":"Please Call", "longitude":"-78.8657948529412", "uid":-936092454, "retailerlinkurl":null, "hourssat":"Please Call", "clientkey":"143677", "name":"Valu Home Centers", "locationlinkurl":null, "address1":"1365 Nash Rd", "icon":"normal", "bho":null, "_distanceuom":"mile", "hourssun":"Please Call", "computers":"N", "cfl":"N", "regionalimageurl":null, "city":"North Tonawanda", "singleuse":"N", "fax":null, "country":"US", "logourl":"http://www.call2recycle.org/notpress/where2getit/call2recycle.png", "phone":"--", "address2":null, "locationimageurl":null, "_distance":"11.31",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</si>
  <si>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"latitude":"42.9773606896552", "url":null, "postalcode":"14223", "province":null, "sustainabilityurl":null, "hoursmon":"Please Call", "longitude":"-78.8231268965517", "uid":1182185543, "retailerlinkurl":null, "hourssat":"Please Call", "clientkey":"63243", "name":"Kenilworth Electronics Co.", "locationlinkurl":null, "address1":"860 Niagara Falls Blvd",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"phone":"716-837-6666", "address2":null, "locationimageurl":null, "_distance":"11.34",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</si>
  <si>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"latitude":"42.98816", "url":null, "postalcode":"14150", "province":null, "sustainabilityurl":null, "hoursmon":"Please Call", "longitude":"-78.82275", "uid":907645591, "retailerlinkurl":null, "hourssat":"Please Call", "clientkey":"170714", "name":"CPR of WNY Tonawanda", "locationlinkurl":null, "address1":"1246 Niagara Falls Blvd",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"phone":"716-832-4277", "address2":null, "locationimageurl":null, "_distance":"11.44",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</si>
  <si>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"latitude":"42.989312", "url":null, "postalcode":"14226", "province":null, "sustainabilityurl":null, "hoursmon":"Please Call", "longitude":"-78.822522", "uid":-1648973982, "retailerlinkurl":null, "hourssat":"Please Call", "clientkey":"110439", "name":"Sears", "locationlinkurl":null, "address1":"1261 Niagara Falls Blvd", "icon":"normal", "bho":null, "_distanceuom":"mile", "hourssun":"Please Call", "computers":"N", "cfl":"N", "regionalimageurl":null, "city":"Amherst", "singleuse":"N", "fax":null, "country":"US", "logourl":"http://www.call2recycle.org/notpress/where2getit/call2recycle.png", "phone":"716-446-5100", "address2":null, "locationimageurl":null, "_distance":"11.47",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</si>
  <si>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"acceptedmaterialsurl":"http://radioshack.cexchange.com/online/home/index.rails", "latitude":"42.95801", "url":"http://www.radioshack.com", "postalcode":"14226", "province":null, "sustainabilityurl":"http://www.radioshackcorporation.com/citizenship/environment.php", "hoursmon":"Please Call", "longitude":"-78.81771", "uid":116279053, "retailerlinkurl":null, "hourssat":"Please Call", "clientkey":"3487", "name":"RadioShack", "locationlinkurl":null, "address1":"3500 Main St Ste 270", "icon":"preferred", "bho":null, "_distanceuom":"mile", "hourssun":"Please Call", "computers":"N", "cfl":"N", "regionalimageurl":null, "city":"Buffalo", "singleuse":"N", "fax":null, "country":"US", "logourl":"http://www.call2recycle.org/notpress/where2getit/radioshack.png", "phone":"716-832-8311", "address2":null, "locationimageurl":null, "_distance":"11.58",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</si>
  <si>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"latitude":"42.9976371111111", "url":null, "postalcode":"14228", "province":null, "sustainabilityurl":null, "hoursmon":"Please Call", "longitude":"-78.8223682222222", "uid":341260924, "retailerlinkurl":null, "hourssat":"Please Call", "clientkey":"148567", "name":"Barnes &amp; Noble", "locationlinkurl":null, "address1":"1565 Niagara Falls Blvd Ste 300", "icon":"normal", "bho":null, "_distanceuom":"mile", "hourssun":"Please Call", "computers":"N", "cfl":"N", "regionalimageurl":null, "city":"Amherst", "singleuse":"N", "fax":null, "country":"US", "logourl":"http://www.call2recycle.org/notpress/where2getit/call2recycle.png", "phone":"716-837-7209", "address2":null, "locationimageurl":null, "_distance":"11.58",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</si>
  <si>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"latitude":"43.0004893628919", "url":"http://www.lowes.com", "postalcode":"14228", "province":null, "sustainabilityurl":"http://responsibility.lowes.com/environment/our-programs/our-mission/", "hoursmon":"6:00am-10:00pm", "longitude":"-78.8223262699096", "uid":1182178889, "retailerlinkurl":null, "hourssat":"6:00am-10:00pm", "clientkey":"76601", "name":"Lowes", "locationlinkurl":null, "address1":"1659 Niagara Falls Blvd", "icon":"preferred", "bho":null, "_distanceuom":"mile", "hourssun":"8:00am-8:00pm", "computers":"N", "cfl":"Y", "regionalimageurl":null, "city":"Buffalo", "singleuse":"N", "fax":null, "country":"US", "logourl":"http://www.call2recycle.org/notpress/where2getit/lowes.png", "phone":"716-831-5990", "address2":null, "locationimageurl":null, "_distance":"11.62",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</si>
  <si>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"latitude":"42.9886017391304", "url":null, "postalcode":"14226", "province":null, "sustainabilityurl":null, "hoursmon":"Please Call", "longitude":"-78.8172191304348", "uid":-261162743, "retailerlinkurl":null, "hourssat":"Please Call", "clientkey":"143487", "name":"Wegmans", "locationlinkurl":null, "address1":"675 Alberta Dr",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"phone":"716-831-6300", "address2":null, "locationimageurl":null, "_distance":"11.72",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</si>
  <si>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"latitude":"43.010624", "url":"http://www.homedepot.com", "postalcode":"14228", "province":null, "sustainabilityurl":"https://corporate.homedepot.com/CorporateResponsibility/Environment/Pages/default.aspx", "hoursmon":"6:00am-10:00pm", "longitude":"-78.822318", "uid":1182188669, "retailerlinkurl":null, "hourssat":"6:00am-10:00pm", "clientkey":"42641", "name":"The Home Depot", "locationlinkurl":null, "address1":"2065 Niagara Falls Blvd", "icon":"preferred", "bho":null, "_distanceuom":"mile", "hourssun":"8:00am-8:00pm", "computers":"N", "cfl":"Y", "regionalimageurl":null, "city":"Amherst", "singleuse":"N", "fax":null, "country":"US", "logourl":"http://www.call2recycle.org/notpress/where2getit/homedepot.png", "phone":"716-639-9600", "address2":null, "locationimageurl":null, "_distance":"11.79",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</si>
  <si>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"latitude":"43.0110638888889", "url":null, "postalcode":"14150", "province":null, "sustainabilityurl":null, "hoursmon":"Please Call", "longitude":"-78.8223138888889", "uid":1182191432, "retailerlinkurl":null, "hourssat":"Please Call", "clientkey":"5252", "name":"The Battery Commercial Battery Company", "locationlinkurl":null, "address1":"2086 Niagara Falls Blvd", "icon":"preferred", "bho":null, "_distanceuom":"mile", "hourssun":"Please Call", "computers":"N", "cfl":"N", "regionalimageurl":null, "city":"Tonawanda", "singleuse":"N", "fax":null, "country":"US", "logourl":"http://www.call2recycle.org/notpress/where2getit/call2recycle.png", "phone":"716-743-1554", "address2":null, "locationimageurl":null, "_distance":"11.80",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</si>
  <si>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"latitude":"42.9801228571429", "url":null, "postalcode":"14226", "province":null, "sustainabilityurl":null, "hoursmon":"Please Call", "longitude":"-78.8123042857143", "uid":65506197, "retailerlinkurl":null, "hourssat":"Please Call", "clientkey":"143697", "name":"Valu Home Centers", "locationlinkurl":null, "address1":"3275 Sheridan Dr",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"phone":"716-832-3331", "address2":null, "locationimageurl":null, "_distance":"11.90",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</si>
  <si>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"latitude":"42.97735", "url":null, "postalcode":"14226", "province":null, "sustainabilityurl":null, "hoursmon":"Please Call", "longitude":"-78.78386", "uid":-1201013948, "retailerlinkurl":null, "hourssat":"Please Call", "clientkey":"160553", "name":"Hilti", "locationlinkurl":null, "address1":"4974 Harlem Rd", "icon":"preferred", "bho":null, "_distanceuom":"mile", "hourssun":"Please Call", "computers":"N", "cfl":"N", "regionalimageurl":null, "city":"Amherst", "singleuse":"N", "fax":null, "country":"US", "logourl":"http://www.call2recycle.org/notpress/where2getit/call2recycle.png", "phone":"716-839-3989", "address2":null, "locationimageurl":null, "_distance":"13.32",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</si>
  <si>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"latitude":"43.1245186956522", "url":null, "postalcode":"L2V 3Y7", "province":"ON", "sustainabilityurl":null, "hoursmon":"Please Call", "longitude":"-79.2006786956522", "uid":-24087951, "retailerlinkurl":null, "hourssat":"Please Call", "clientkey":"112460", "name":"Pharmasave", "locationlinkurl":null, "address1":"15 Front St S. (Box 67)", "icon":"normal", "bho":null, "_distanceuom":"mile", "hourssun":"Please Call", "computers":"N", "cfl":"N", "regionalimageurl":null, "city":"Thorold", "singleuse":"Y", "fax":null, "country":"CA", "logourl":"http://www.call2recycle.org/notpress/where2getit/call2recycle.png", "phone":"905-227-2511", "address2":null, "locationimageurl":null, "_distance":"13.56",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</si>
  <si>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"hoursthurs":"6:00am-10:00pm", "state":"NY", "retailerimageurl":null, "hoursfri":"6:00am-10:00pm", "acceptedmaterialsurl":null, "latitude":"42.9050804209813", "url":"http://www.homedepot.com", "postalcode":"14225", "province":null, "sustainabilityurl":"https://corporate.homedepot.com/CorporateResponsibility/Environment/Pages/default.aspx", "hoursmon":"6:00am-10:00pm", "longitude":"-78.7805894293704", "uid":1182199229, "retailerlinkurl":null, "hourssat":"6:00am-10:00pm", "clientkey":"42638", "name":"The Home Depot", "locationlinkurl":null, "address1":"300 Thruway Plaza Dr", "icon":"preferred", "bho":null, "_distanceuom":"mile", "hourssun":"8:00am-8:00pm", "computers":"N", "cfl":"Y", "regionalimageurl":null, "city":"Buffalo", "singleuse":"N", "fax":null, "country":"US", "logourl":"http://www.call2recycle.org/notpress/where2getit/homedepot.png", "phone":"716-895-6680", "address2":null, "locationimageurl":null, "_distance":"14.05",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</si>
  <si>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"state":"NY", "retailerimageurl":null, "hoursfri":"Please Call", "acceptedmaterialsurl":null, "latitude":"42.8880854545455", "url":null, "postalcode":"14206", "province":null, "sustainabilityurl":null, "hoursmon":"Please Call", "longitude":"-78.7807954545455", "uid":1182182835, "retailerlinkurl":null, "hourssat":"Please Call", "clientkey":"43401", "name":"Saia Communications", "locationlinkurl":null, "address1":"100 Stradtman St",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"phone":"716-892-2900", "address2":null, "locationimageurl":null, "_distance":"14.43",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</si>
  <si>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"latitude":"42.991042962963", "url":null, "postalcode":"14221", "province":null, "sustainabilityurl":null, "hoursmon":"Please Call", "longitude":"-78.7550407407407", "uid":-1369329670, "retailerlinkurl":null, "hourssat":"Please Call", "clientkey":"142863", "name":"Hectors Hardware", "locationlinkurl":null, "address1":"876 Maple Rd", "icon":"normal", "bho":null, "_distanceuom":"mile", "hourssun":"Please Call", "computers":"N", "cfl":"N", "regionalimageurl":null, "city":"Williamsville", "singleuse":"N", "fax":null, "country":"US", "logourl":"http://www.call2recycle.org/notpress/where2getit/call2recycle.png", "phone":"716-688-4488", "address2":null, "locationimageurl":null, "_distance":"14.86",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</si>
  <si>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"latitude":"42.9088948979592", "url":null, "postalcode":"14225", "province":null, "sustainabilityurl":null, "hoursmon":"Please Call", "longitude":"-78.7619793877551", "uid":518232761, "retailerlinkurl":null, "hourssat":"Please Call", "clientkey":"24453", "name":"Sears", "locationlinkurl":null, "address1":"7 Walden Galleria", "icon":"preferred", "bho":null, "_distanceuom":"mile", "hourssun":"Please Call", "computers":"N", "cfl":"N", "regionalimageurl":null, "city":"Buffalo", "singleuse":"N", "fax":null, "country":"US", "logourl":"http://www.call2recycle.org/notpress/where2getit/call2recycle.png", "phone":"716-686-6276", "address2":null, "locationimageurl":null, "_distance":"14.89",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</si>
  <si>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"latitude":"43.14327", "url":null, "postalcode":"14132", "province":null, "sustainabilityurl":null, "hoursmon":"Please Call", "longitude":"-78.88343", "uid":815753093, "retailerlinkurl":null, "hourssat":"Please Call", "clientkey":"119095", "name":"CVS Pharmacy", "locationlinkurl":null, "address1":"2972 Saunders Settlement Rd", "icon":"preferred", "bho":null, "_distanceuom":"mile", "hourssun":"Please Call", "computers":"N", "cfl":"N", "regionalimageurl":null, "city":"Sanborn", "singleuse":"N", "fax":null, "country":"US", "logourl":"http://www.call2recycle.org/notpress/where2getit/call2recycle.png", "phone":"0--", "address2":null, "locationimageurl":null, "_distance":"14.89",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</si>
  <si>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"hoursthurs":"10:00am-9:00pm", "state":"NY", "retailerimageurl":null, "hoursfri":"10:00am-10:00pm", "acceptedmaterialsurl":"http://www.bestbuy.com/site/Global-Promotions/Recycling-Electronics/pcmcat149900050025.c?id=pcmcat149900050025", "latitude":"42.90886", "url":"http://www.bestbuy.com", "postalcode":"14225", "province":null, "sustainabilityurl":"http://sustainability.bby.com/", "hoursmon":"10:00am-9:00pm", "longitude":"-78.76198", "uid":1077248159, "retailerlinkurl":null, "hourssat":"10:00am-10:00pm", "clientkey":"120809", "name":"Best Buy", "locationlinkurl":null, "address1":"107 Walden Galleria", "icon":"preferred", "bho":null, "_distanceuom":"mile", "hourssun":"Please Call", "computers":"N", "cfl":"N", "regionalimageurl":null, "city":"Cheektowaga", "singleuse":"N", "fax":null, "country":"US", "logourl":"http://www.call2recycle.org/notpress/where2getit/bestbuy.png", "phone":"716-681-5406", "address2":null, "locationimageurl":null, "_distance":"14.89", "inktoner":"N", "nationalinkurl":null, "regionallinkurl":null, "cellphones":"Y", "hourstues":"10:00am-9:00pm", "consumerelectronics":"Y", "hourswed":"10:00am-9:00pm",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</si>
  <si>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"latitude":"42.9940204820926", "url":null, "postalcode":"L3B 5X6", "province":"ON", "sustainabilityurl":null, "hoursmon":"Please Call", "longitude":"-79.249069578359", "uid":985609746, "retailerlinkurl":null, "hourssat":"Please Call", "clientkey":"163286", "name":"Ontario Public Service", "locationlinkurl":null, "address1":"3 Cross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"phone":"905-735-1660", "address2":null, "locationimageurl":null, "_distance":"22.54",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</si>
  <si>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"latitude":"42.99222", "url":null, "postalcode":"L3B 3W5", "province":"ON", "sustainabilityurl":null, "hoursmon":"Please Call", "longitude":"-79.24764", "uid":406327122, "retailerlinkurl":null, "hourssat":"Please Call", "clientkey":"158021", "name":"ListenUp! Canada", "locationlinkurl":null, "address1":"111 East Main St", "icon":"normal", "bho":null, "_distanceuom":"mile", "hourssun":"Please Call", "computers":"N", "cfl":"N", "regionalimageurl":null, "city":"Welland", "singleuse":"Y", "fax":null, "country":"CA", "logourl":"http://www.call2recycle.org/notpress/where2getit/call2recycle.png", "phone":"905-734-7300", "address2":null, "locationimageurl":null, "_distance":"22.55",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</si>
  <si>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"latitude":"43.01479", "url":"http://www.thesource.ca", "postalcode":"L3C 5Z4", "province":"ON", "sustainabilityurl":"http://www.thesource.ca/sitelets/jobs/environment.asp", "hoursmon":"Please Call", "longitude":"-79.24987", "uid":941812060, "retailerlinkurl":null, "hourssat":"Please Call", "clientkey":"660", "name":"The Source", "locationlinkurl":null, "address1":"800 Niagara St Unit K12", "icon":"preferred", "bho":null, "_distanceuom":"mile", "hourssun":"Please Call", "computers":"N", "cfl":"N", "regionalimageurl":null, "city":"Welland", "singleuse":"Y", "fax":null, "country":"CA", "logourl":"http://www.call2recycle.org/notpress/where2getit/thesource.png", "phone":"905-735-0887", "address2":null, "locationimageurl":null, "_distance":"23.23",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</si>
  <si>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"latitude":"43.01479", "url":null, "postalcode":"L3C 5Z4", "province":"ON", "sustainabilityurl":null, "hoursmon":"Please Call", "longitude":"-79.24987", "uid":1693895280, "retailerlinkurl":null, "hourssat":"Please Call", "clientkey":"68032", "name":"Staples", "locationlinkurl":null, "address1":"Seaway Mall 800 Niagara St", "icon":"preferred", "bho":null, "_distanceuom":"mile", "hourssun":"Please Call", "computers":"N", "cfl":"N", "regionalimageurl":null, "city":"Welland", "singleuse":"Y", "fax":null, "country":"CA", "logourl":"http://www.call2recycle.org/notpress/where2getit/staples.png", "phone":"905-714-7607", "address2":null, "locationimageurl":null, "_distance":"23.23",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</si>
  <si>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"latitude":"43.0143557171621", "url":"http://www.rona.ca", "postalcode":"L3B 0A1", "province":"ON", "sustainabilityurl":"http://www.rona.ca/corporate/corporate-responsibility", "hoursmon":"Please Call", "longitude":"-79.2291830209854", "uid":1379773340, "retailerlinkurl":null, "hourssat":"Please Call", "clientkey":"146245", "name":"Rona Welland", "locationlinkurl":null, "address1":"165 Primeway Dr", "icon":"preferred", "bho":null, "_distanceuom":"mile", "hourssun":"Please Call", "computers":"N", "cfl":"Y", "regionalimageurl":null, "city":"Welland", "singleuse":"Y", "fax":null, "country":"CA", "logourl":"http://www.call2recycle.org/notpress/where2getit/rona.png", "phone":"905-732-0073", "address2":null, "locationimageurl":null, "_distance":"24.11",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</si>
  <si>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"latitude":"43.1763769718819", "url":null, "postalcode":"L0R 1P0", "province":"ON", "sustainabilityurl":null, "hoursmon":"Please Call", "longitude":"-79.7903986495485", "uid":1986322359, "retailerlinkurl":null, "hourssat":"Please Call", "clientkey":"138615", "name":"Staples", "locationlinkurl":null, "address1":"2130 Rymal Road Unit 103", "icon":"preferred", "bho":null, "_distanceuom":"mile", "hourssun":"Please Call", "computers":"N", "cfl":"N", "regionalimageurl":null, "city":"Hannon", "singleuse":"Y", "fax":null, "country":"CA", "logourl":"http://www.call2recycle.org/notpress/where2getit/staples.png", "phone":"905-692-7215", "address2":null, "locationimageurl":null, "_distance":"24.68",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</si>
  <si>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"latitude":"42.7846446666667", "url":null, "postalcode":"N0A 1H0", "province":"ON", "sustainabilityurl":null, "hoursmon":"Please Call", "longitude":"-80.2006908888889", "uid":1503277558, "retailerlinkurl":null, "hourssat":"Please Call", "clientkey":"29265", "name":"Sayer Home Hardware Ltd.", "locationlinkurl":null, "address1":"15 Main St", "icon":"preferred", "bho":null, "_distanceuom":"mile", "hourssun":"Please Call", "computers":"N", "cfl":"N", "regionalimageurl":null, "city":"Hagersville", "singleuse":"Y", "fax":null, "country":"CA", "logourl":"http://www.call2recycle.org/notpress/where2getit/call2recycle.png", "phone":"905-768-3431", "address2":null, "locationimageurl":null, "_distance":"2.52",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</si>
  <si>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"latitude":"42.836844", "url":"http://www.thesource.ca", "postalcode":"N3Y 2V9", "province":"ON", "sustainabilityurl":"http://www.thesource.ca/sitelets/jobs/environment.asp", "hoursmon":"Please Call", "longitude":"-80.303794", "uid":1503277490, "retailerlinkurl":null, "hourssat":"Please Call", "clientkey":"1302", "name":"The Source", "locationlinkurl":null, "address1":"20 Norfolk St S", "icon":"normal", "bho":null, "_distanceuom":"mile", "hourssun":"Please Call", "computers":"N", "cfl":"N", "regionalimageurl":null, "city":"Simcoe", "singleuse":"Y", "fax":null, "country":"CA", "logourl":"http://www.call2recycle.org/notpress/where2getit/thesource.png", "phone":"519-426-4385", "address2":null, "locationimageurl":null, "_distance":"6.02",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</si>
  <si>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"latitude":"42.83526", "url":null, "postalcode":"N3Y 1S8", "province":"ON", "sustainabilityurl":null, "hoursmon":"Please Call", "longitude":"-80.31054", "uid":400726435, "retailerlinkurl":null, "hourssat":"Please Call", "clientkey":"157972", "name":"ListenUp! Canada", "locationlinkurl":null, "address1":"216 West St", "icon":"normal", "bho":null, "_distanceuom":"mile", "hourssun":"Please Call", "computers":"N", "cfl":"N", "regionalimageurl":null, "city":"Simcoe", "singleuse":"Y", "fax":null, "country":"CA", "logourl":"http://www.call2recycle.org/notpress/where2getit/call2recycle.png", "phone":"519-428-1964", "address2":null, "locationimageurl":null, "_distance":"6.12",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</si>
  <si>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"latitude":"42.8402495", "url":null, "postalcode":"N3Y 4N5", "province":"ON", "sustainabilityurl":null, "hoursmon":"Please Call", "longitude":"-80.3057285", "uid":1006461832, "retailerlinkurl":null, "hourssat":"Please Call", "clientkey":"167120", "name":"Ministry of Agriculture Food and Rural Affairs", "locationlinkurl":null, "address1":"PO Box 587 Stn Main", "icon":"normal", "bho":null, "_distanceuom":"mile", "hourssun":"Please Call", "computers":"N", "cfl":"N", "regionalimageurl":null, "city":"Simcoe", "singleuse":"Y", "fax":null, "country":"CA", "logourl":"http://www.call2recycle.org/notpress/where2getit/call2recycle.png", "phone":"519-426-7123", "address2":null, "locationimageurl":null, "_distance":"6.27",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</si>
  <si>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"latitude":"42.8461", "url":null, "postalcode":"N3Y 2M7", "province":"ON", "sustainabilityurl":null, "hoursmon":"Please Call", "longitude":"-80.30788", "uid":1697151230, "retailerlinkurl":null, "hourssat":"Please Call", "clientkey":"126720", "name":"Staples", "locationlinkurl":null, "address1":"17 Queensway W", "icon":"preferred", "bho":null, "_distanceuom":"mile", "hourssun":"Please Call", "computers":"N", "cfl":"N", "regionalimageurl":null, "city":"Simcoe", "singleuse":"Y", "fax":null, "country":"CA", "logourl":"http://www.call2recycle.org/notpress/where2getit/staples.png", "phone":"519-426-4060", "address2":null, "locationimageurl":null, "_distance":"6.68",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</si>
  <si>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"latitude":"42.852505519481", "url":"http://www.rona.ca", "postalcode":"N3Y 4N5", "province":"ON", "sustainabilityurl":"http://www.rona.ca/corporate/corporate-responsibility", "hoursmon":"Please Call", "longitude":"-80.3089040584248", "uid":1182198053, "retailerlinkurl":null, "hourssat":"Please Call", "clientkey":"128187", "name":"RONA", "locationlinkurl":null, "address1":"10 Davis St E", "icon":"preferred", "bho":null, "_distanceuom":"mile", "hourssun":"Please Call", "computers":"N", "cfl":"Y", "regionalimageurl":null, "city":"Simcoe", "singleuse":"Y", "fax":null, "country":"CA", "logourl":"http://www.call2recycle.org/notpress/where2getit/rona.png", "phone":"519-426-2740", "address2":null, "locationimageurl":null, "_distance":"7.09", "inktoner":"N", "nationalinkurl":null, "regionallinkurl":null, "cellphones":"Y", "hourstues":"Please Call", "consumerelectronics":"N", "hourswed":"Please Call", "rank":"1"</t>
  </si>
  <si>
    <t xml:space="preserve">        "collectioncount":2,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</si>
  <si>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"latitude":"42.86217", "url":"http://www.thesource.ca", "postalcode":"N4G 5A7", "province":"ON", "sustainabilityurl":"http://www.thesource.ca/sitelets/jobs/environment.asp", "hoursmon":"Please Call", "longitude":"-80.72937", "uid":1182196804, "retailerlinkurl":null, "hourssat":"Please Call", "clientkey":"433", "name":"The Source", "locationlinkurl":null, "address1":"200 Broadway St. Units 53/54", "icon":"normal", "bho":null, "_distanceuom":"mile", "hourssun":"Please Call", "computers":"N", "cfl":"N", "regionalimageurl":null, "city":"Tillsonburg", "singleuse":"Y", "fax":null, "country":"CA", "logourl":"http://www.call2recycle.org/notpress/where2getit/thesource.png", "phone":"519-842-7916", "address2":null, "locationimageurl":null, "_distance":"12.92",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</si>
  <si>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"latitude":"42.86217", "url":null, "postalcode":"N4G 5A7", "province":"ON", "sustainabilityurl":null, "hoursmon":"Please Call", "longitude":"-80.72937", "uid":1697151341, "retailerlinkurl":null, "hourssat":"Please Call", "clientkey":"102527", "name":"Staples", "locationlinkurl":null, "address1":"200 Broadway St.", "icon":"preferred", "bho":null, "_distanceuom":"mile", "hourssun":"Please Call", "computers":"N", "cfl":"N", "regionalimageurl":null, "city":"Tillsonburg", "singleuse":"Y", "fax":null, "country":"CA", "logourl":"http://www.call2recycle.org/notpress/where2getit/staples.png", "phone":"519-688-2196", "address2":null, "locationimageurl":null, "_distance":"12.92", "inktoner":"N", "nationalinkurl":null, "regionallinkurl":null, "cellphones":"Y", "hourstues":"Please Call", "consumerelectronics":"N", "hourswed":"Please Call", "rank":"1"</t>
  </si>
  <si>
    <t xml:space="preserve">        "collectioncount":23,</t>
  </si>
  <si>
    <t xml:space="preserve">            "rechargeable": "Y", "nationalimageurl":null, "glasses":"N", "hoursthurs":"Please Call", "state":null, "retailerimageurl":null, "hoursfri":"Please Call", "acceptedmaterialsurl":null, "latitude":"43.355283", "url":null, "postalcode":"N1S 2L8", "province":"ON", "sustainabilityurl":null, "hoursmon":"Please Call", "longitude":"-80.31844", "uid":1182193551, "retailerlinkurl":null, "hourssat":"Please Call", "clientkey":"105616", "name":"Home Essentials", "locationlinkurl":null, "address1":"64 Grand Ave S",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"phone":"519-622-6046", "address2":null, "locationimageurl":null, "_distance":"6.13",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</si>
  <si>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"latitude":"43.35466", "url":"http://www.thesource.ca", "postalcode":"N1R 8N8", "province":"ON", "sustainabilityurl":"http://www.thesource.ca/sitelets/jobs/environment.asp", "hoursmon":"Please Call", "longitude":"-80.28745", "uid":-511708978, "retailerlinkurl":null, "hourssat":"Please Call", "clientkey":"498", "name":"The Source", "locationlinkurl":null, "address1":"200 Franklin Blvd", "icon":"preferred", "bho":null, "_distanceuom":"mile", "hourssun":"Please Call", "computers":"N", "cfl":"N", "regionalimageurl":null, "city":"Cambridge", "singleuse":"Y", "fax":null, "country":"CA", "logourl":"http://www.call2recycle.org/notpress/where2getit/thesource.png", "phone":"519-623-5210", "address2":null, "locationimageurl":null, "_distance":"6.66",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</si>
  <si>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"latitude":"43.37387", "url":null, "postalcode":"N1R 8L4", "province":"ON", "sustainabilityurl":null, "hoursmon":"Please Call", "longitude":"-80.31864", "uid":400726500, "retailerlinkurl":null, "hourssat":"Please Call", "clientkey":"157928", "name":"ListenUp! Canada", "locationlinkurl":null, "address1":"1 Hespeler Rd",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"phone":"519-624-9092", "address2":null, "locationimageurl":null, "_distance":"7.38",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</si>
  <si>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"latitude":"43.37967", "url":null, "postalcode":"N2P 2N4", "province":"ON", "sustainabilityurl":null, "hoursmon":"Please Call", "longitude":"-80.40888", "uid":743822497, "retailerlinkurl":null, "hourssat":"Please Call", "clientkey":"169703", "name":"Princess Auto", "locationlinkurl":null, "address1":"2 Executive Pl", "icon":"normal", "bho":null, "_distanceuom":"mile", "hourssun":"Please Call", "computers":"N", "cfl":"N", "regionalimageurl":null, "city":"Kitchener", "singleuse":"Y", "fax":null, "country":"CA", "logourl":"http://www.call2recycle.org/notpress/where2getit/PrincessAuto_150x150.png", "phone":"519-743-0742", "address2":null, "locationimageurl":null, "_distance":"8.20",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</si>
  <si>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"latitude":"43.39061", "url":null, "postalcode":"N1R 6B3", "province":"ON", "sustainabilityurl":null, "hoursmon":"Please Call", "longitude":"-80.32256", "uid":341261760, "retailerlinkurl":null, "hourssat":"Please Call", "clientkey":"159876", "name":"Best Buy", "locationlinkurl":null, "address1":"301-355 Hespeler Road", "icon":"normal", "bho":null, "_distanceuom":"mile", "hourssun":"Please Call", "computers":"N", "cfl":"N", "regionalimageurl":null, "city":"Cambridge", "singleuse":"Y", "fax":null, "country":"CA", "logourl":"http://www.call2recycle.org/notpress/where2getit/bestbuy.png", "phone":"--", "address2":null, "locationimageurl":null, "_distance":"8.49",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</si>
  <si>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"_distance":"8.53",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</si>
  <si>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"_distance":"8.57",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</si>
  <si>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"_distance":"9.12",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</si>
  <si>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"_distance":"9.65",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</si>
  <si>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"_distance":"9.68",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</si>
  <si>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"latitude":"43.4083843478261", "url":null, "postalcode":"N1R 8E2", "province":"ON", "sustainabilityurl":null, "hoursmon":"Please Call", "longitude":"-80.3258882608696", "uid":2002792350, "retailerlinkurl":null, "hourssat":"Please Call", "clientkey":"78229", "name":"Home Depot", "locationlinkurl":null, "address1":"35 Pinebush Rd", "icon":"preferred", "bho":null, "_distanceuom":"mile", "hourssun":"Please Call", "computers":"N", "cfl":"N", "regionalimageurl":null, "city":"Cambridge", "singleuse":"Y", "fax":null, "country":"CA", "logourl":"http://www.call2recycle.org/notpress/where2getit/homedepot.png", "phone":"519-624-2700", "address2":null, "locationimageurl":null, "_distance":"9.68",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</si>
  <si>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"latitude":"43.40852", "url":null, "postalcode":"N1R 8K5", "province":"ON", "sustainabilityurl":null, "hoursmon":"Please Call", "longitude":"-80.32515", "uid":1546390912, "retailerlinkurl":null, "hourssat":"Please Call", "clientkey":"68053", "name":"Staples", "locationlinkurl":null, "address1":"26 Pinebush Rd", "icon":"preferred", "bho":null, "_distanceuom":"mile", "hourssun":"Please Call", "computers":"N", "cfl":"N", "regionalimageurl":null, "city":"Cambridge", "singleuse":"Y", "fax":null, "country":"CA", "logourl":"http://www.call2recycle.org/notpress/where2getit/staples.png", "phone":"519-622-5280", "address2":null, "locationimageurl":null, "_distance":"9.69",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</si>
  <si>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"latitude":"43.40717", "url":null, "postalcode":"N2P 2J4", "province":"ON", "sustainabilityurl":null, "hoursmon":"Please Call", "longitude":"-80.38879", "uid":1182192411, "retailerlinkurl":null, "hourssat":"Please Call", "clientkey":"43549", "name":"Home Depot", "locationlinkurl":null, "address1":"100 Gateway Park Dr", "icon":"preferred", "bho":null, "_distanceuom":"mile", "hourssun":"Please Call", "computers":"N", "cfl":"N", "regionalimageurl":null, "city":"Kitchener", "singleuse":"Y", "fax":null, "country":"CA", "logourl":"http://www.call2recycle.org/notpress/where2getit/homedepot.png", "phone":"519-650-3900", "address2":null, "locationimageurl":null, "_distance":"9.74",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</si>
  <si>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"latitude":"43.4093093872598", "url":"http://www.rona.ca", "postalcode":"N1R 8K5", "province":"ON", "sustainabilityurl":"http://www.rona.ca/corporate/corporate-responsibility", "hoursmon":"Please Call", "longitude":"-80.3206893040419", "uid":1182186901, "retailerlinkurl":null, "hourssat":"Please Call", "clientkey":"121758", "name":"RONA", "locationlinkurl":null, "address1":"66 Pinebush Rd", "icon":"preferred", "bho":null, "_distanceuom":"mile", "hourssun":"Please Call", "computers":"N", "cfl":"Y", "regionalimageurl":null, "city":"Cambridge", "singleuse":"Y", "fax":null, "country":"CA", "logourl":"http://www.call2recycle.org/notpress/where2getit/rona.png", "phone":"519-623-5666", "address2":null, "locationimageurl":null, "_distance":"9.78",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</si>
  <si>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"latitude":"43.4135169155933", "url":null, "postalcode":"N3H 4R7", "province":"ON", "sustainabilityurl":null, "hoursmon":"Please Call", "longitude":"-80.3784116489889", "uid":636392829, "retailerlinkurl":null, "hourssat":"Please Call", "clientkey":"169588", "name":"Franklin Empire", "locationlinkurl":null, "address1":"29 Cherry Blossom Rd RR 32", "icon":"normal", "bho":null, "_distanceuom":"mile", "hourssun":"Please Call", "computers":"N", "cfl":"N", "regionalimageurl":null, "city":"Cambridge", "singleuse":"Y", "fax":null, "country":"CA", "logourl":"http://www.call2recycle.org/notpress/where2getit/call2recycle.png", "phone":"519-650-1182", "address2":null, "locationimageurl":null, "_distance":"10.08",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</si>
  <si>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"_distance":"10.15",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</si>
  <si>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"latitude":"43.42337", "url":null, "postalcode":"N2C 1W9", "province":"ON", "sustainabilityurl":null, "hoursmon":"Please Call", "longitude":"-80.4358", "uid":-2116055084, "retailerlinkurl":null, "hourssat":"Please Call", "clientkey":"41306", "name":"Sears (Canada)", "locationlinkurl":null, "address1":"200 Fairway Rd S", "icon":"normal", "bho":null, "_distanceuom":"mile", "hourssun":"Please Call", "computers":"N", "cfl":"N", "regionalimageurl":null, "city":"Kitchener", "singleuse":"Y", "fax":null, "country":"CA", "logourl":"http://www.call2recycle.org/notpress/where2getit/sears.png", "phone":"519-894-2300", "address2":null, "locationimageurl":null, "_distance":"11.51",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</si>
  <si>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"latitude":"43.42442", "url":"http://www.thesource.ca", "postalcode":"N2C 1X1", "province":"ON", "sustainabilityurl":"http://www.thesource.ca/sitelets/jobs/environment.asp", "hoursmon":"Please Call", "longitude":"-80.44121", "uid":1182194699, "retailerlinkurl":null, "hourssat":"Please Call", "clientkey":"602", "name":"The Source", "locationlinkurl":null, "address1":"2960 Kingsway Dr", "icon":"normal", "bho":null, "_distanceuom":"mile", "hourssun":"Please Call", "computers":"N", "cfl":"N", "regionalimageurl":null, "city":"Kitchener", "singleuse":"Y", "fax":null, "country":"CA", "logourl":"http://www.call2recycle.org/notpress/where2getit/thesource.png", "phone":"519-893-2916", "address2":null, "locationimageurl":null, "_distance":"11.68",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</si>
  <si>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"latitude":"43.42442", "url":null, "postalcode":"N2C 1X1", "province":"ON", "sustainabilityurl":null, "hoursmon":"Please Call", "longitude":"-80.44121", "uid":341261757, "retailerlinkurl":null, "hourssat":"Please Call", "clientkey":"159870", "name":"Best Buy", "locationlinkurl":null, "address1":"2960 Kingsway Drive", "icon":"normal", "bho":null, "_distanceuom":"mile", "hourssun":"Please Call", "computers":"N", "cfl":"N", "regionalimageurl":null, "city":"Kitchener", "singleuse":"Y", "fax":null, "country":"CA", "logourl":"http://www.call2recycle.org/notpress/where2getit/bestbuy.png", "phone":"--", "address2":null, "locationimageurl":null, "_distance":"11.68",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</si>
  <si>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"latitude":"43.4234743216091", "url":null, "postalcode":"N2E 2M7", "province":"ON", "sustainabilityurl":null, "hoursmon":"Please Call", "longitude":"-80.4780417587932", "uid":1182181789, "retailerlinkurl":null, "hourssat":"Please Call", "clientkey":"44375", "name":"MRC Systems Inc.", "locationlinkurl":null, "address1":"20 Alpine Court", "icon":"preferred", "bho":null, "_distanceuom":"mile", "hourssun":"Please Call", "computers":"N", "cfl":"N", "regionalimageurl":null, "city":"Kitchener", "singleuse":"Y", "fax":null, "country":"CA", "logourl":"http://www.call2recycle.org/notpress/where2getit/call2recycle.png", "phone":"519-749-1763", "address2":null, "locationimageurl":null, "_distance":"12.48",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</si>
  <si>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"latitude":"43.4243164273263", "url":null, "postalcode":"N2E 3W7", "province":"ON", "sustainabilityurl":null, "hoursmon":"Please Call", "longitude":"-80.4892616533735", "uid":1831129855, "retailerlinkurl":null, "hourssat":"Please Call", "clientkey":"68070", "name":"Staples", "locationlinkurl":null, "address1":"245 Strasburg Rd", "icon":"preferred", "bho":null, "_distanceuom":"mile", "hourssun":"Please Call", "computers":"N", "cfl":"N", "regionalimageurl":null, "city":"Kitchener", "singleuse":"Y", "fax":null, "country":"CA", "logourl":"http://www.call2recycle.org/notpress/where2getit/staples.png", "phone":"519-571-7420", "address2":null, "locationimageurl":null, "_distance":"12.83",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</si>
  <si>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"latitude":"43.4316403871121", "url":null, "postalcode":"N2M 3M4", "province":"ON", "sustainabilityurl":null, "hoursmon":"Please Call", "longitude":"-80.4788023226726", "uid":50860910, "retailerlinkurl":null, "hourssat":"Please Call", "clientkey":"162529", "name":"Batteries Expert", "locationlinkurl":null, "address1":"14 Hoffman St", "icon":"normal", "bho":null, "_distanceuom":"mile", "hourssun":"Please Call", "computers":"N", "cfl":"N", "regionalimageurl":null, "city":"Kitchener", "singleuse":"Y", "fax":null, "country":"CA", "logourl":"http://www.call2recycle.org/notpress/where2getit/call2recycle.png", "phone":"519-578-0938", "address2":null, "locationimageurl":null, "_distance":"12.98",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</si>
  <si>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"latitude":"43.4142537565135", "url":null, "postalcode":"N2E 4E2", "province":"ON", "sustainabilityurl":null, "hoursmon":"Please Call", "longitude":"-80.5141950333888", "uid":1182176129, "retailerlinkurl":null, "hourssat":"Please Call", "clientkey":"78232", "name":"Home Depot", "locationlinkurl":null, "address1":"1450 Ottawa St S.", "icon":"preferred", "bho":null, "_distanceuom":"mile", "hourssun":"Please Call", "computers":"N", "cfl":"N", "regionalimageurl":null, "city":"Kitchener", "singleuse":"Y", "fax":null, "country":"CA", "logourl":"http://www.call2recycle.org/notpress/where2getit/homedepot.png", "phone":"519-569-4300", "address2":null, "locationimageurl":null, "_distance":"13.02", "inktoner":"N", "nationalinkurl":null, "regionallinkurl":null, "cellphones":"Y", "hourstues":"Please Call", "consumerelectronics":"N", "hourswed":"Please Call", "rank":"1"</t>
  </si>
  <si>
    <t xml:space="preserve">        "collectioncount":18,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</si>
  <si>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"latitude":"43.6381556155065", "url":"http://www.thesource.ca", "postalcode":"L7J 2Y5", "province":"ON", "sustainabilityurl":"http://www.thesource.ca/sitelets/jobs/environment.asp", "hoursmon":"Please Call", "longitude":"-80.027431468731", "uid":-725079608, "retailerlinkurl":null, "hourssat":"Please Call", "clientkey":"138325", "name":"The Source", "locationlinkurl":null, "address1":"372 Queen St E", "icon":"normal", "bho":null, "_distanceuom":"mile", "hourssun":"Please Call", "computers":"N", "cfl":"N", "regionalimageurl":null, "city":"Acton", "singleuse":"Y", "fax":null, "country":"CA", "logourl":"http://www.call2recycle.org/notpress/where2getit/thesource.png", "phone":"519-853-1066", "address2":null, "locationimageurl":null, "_distance":"3.51",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</si>
  <si>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"latitude":"43.5547519800794", "url":null, "postalcode":"N1L 1P4", "province":"ON", "sustainabilityurl":null, "hoursmon":"Please Call", "longitude":"-80.1998674375443", "uid":1182174569, "retailerlinkurl":null, "hourssat":"Please Call", "clientkey":"37651", "name":"City of Guelph HHW Depot", "locationlinkurl":null, "address1":"110 Dunlop Dr Gate 2", "icon":"preferred", "bho":null, "_distanceuom":"mile", "hourssun":"Please Call", "computers":"N", "cfl":"N", "regionalimageurl":null, "city":"Guelph", "singleuse":"Y", "fax":null, "country":"CA", "logourl":"http://www.call2recycle.org/notpress/where2getit/call2recycle.png", "phone":"519-767-0598", "address2":null, "locationimageurl":null, "_distance":"7.66",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</si>
  <si>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"latitude":"43.65154", "url":null, "postalcode":"L7G 4B5", "province":"ON", "sustainabilityurl":null, "hoursmon":"Please Call", "longitude":"-79.92861", "uid":26983843, "retailerlinkurl":null, "hourssat":"Please Call", "clientkey":"165651", "name":"Deker Electric Ltd", "locationlinkurl":null, "address1":"11-348 Guelph St",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"phone":"905-702-0515", "address2":null, "locationimageurl":null, "_distance":"8.51",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</si>
  <si>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"latitude":"43.6505627272727", "url":null, "postalcode":"L7G 5X7", "province":"ON", "sustainabilityurl":null, "hoursmon":"Please Call", "longitude":"-79.9088590909091", "uid":782932702, "retailerlinkurl":null, "hourssat":"Please Call", "clientkey":"126194", "name":"The UPS Store", "locationlinkurl":null, "address1":"162A Guelph Street",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"phone":"905-873-2781", "address2":null, "locationimageurl":null, "_distance":"9.49",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</si>
  <si>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"latitude":"43.6498857142857", "url":"http://www.thesource.ca", "postalcode":"L7G 4B1", "province":"ON", "sustainabilityurl":"http://www.thesource.ca/sitelets/jobs/environment.asp", "hoursmon":"Please Call", "longitude":"-79.8959142857143", "uid":-847052576, "retailerlinkurl":null, "hourssat":"Please Call", "clientkey":"550", "name":"The Source", "locationlinkurl":null, "address1":"280 Guelph St", "icon":"preferred", "bho":null, "_distanceuom":"mile", "hourssun":"Please Call", "computers":"N", "cfl":"N", "regionalimageurl":null, "city":"Georgetown", "singleuse":"Y", "fax":null, "country":"CA", "logourl":"http://www.call2recycle.org/notpress/where2getit/thesource.png", "phone":"905-877-8693", "address2":null, "locationimageurl":null, "_distance":"10.13",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</si>
  <si>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"latitude":"43.5605428595857", "url":null, "postalcode":"N1H 3Z1", "province":"ON", "sustainabilityurl":null, "hoursmon":"Please Call", "longitude":"-80.2712401819304", "uid":604842703, "retailerlinkurl":null, "hourssat":"Please Call", "clientkey":"157998", "name":"ListenUp! Canada", "locationlinkurl":null, "address1":"690 Woolwich St", "icon":"normal", "bho":null, "_distanceuom":"mile", "hourssun":"Please Call", "computers":"N", "cfl":"N", "regionalimageurl":null, "city":"Guelph", "singleuse":"Y", "fax":null, "country":"CA", "logourl":"http://www.call2recycle.org/notpress/where2getit/call2recycle.png", "phone":"519-767-5500", "address2":null, "locationimageurl":null, "_distance":"10.18",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</si>
  <si>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"latitude":"43.5659664168708", "url":null, "postalcode":"N1H 1G7", "province":"ON", "sustainabilityurl":null, "hoursmon":"Please Call", "longitude":"-80.2761626391892", "uid":1601453874, "retailerlinkurl":null, "hourssat":"Please Call", "clientkey":"68062", "name":"Staples", "locationlinkurl":null, "address1":"20 Woodlawn Rd E", "icon":"preferred", "bho":null, "_distanceuom":"mile", "hourssun":"Please Call", "computers":"N", "cfl":"N", "regionalimageurl":null, "city":"Guelph", "singleuse":"Y", "fax":null, "country":"CA", "logourl":"http://www.call2recycle.org/notpress/where2getit/staples.png", "phone":"519-822-2344", "address2":null, "locationimageurl":null, "_distance":"10.20",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</si>
  <si>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"latitude":"43.6495412602003", "url":null, "postalcode":"L7G 4B5", "province":"ON", "sustainabilityurl":null, "hoursmon":"Please Call", "longitude":"-79.8896765710905", "uid":392185284, "retailerlinkurl":null, "hourssat":"Please Call", "clientkey":"157985", "name":"ListenUp! Canada", "locationlinkurl":null, "address1":"324 Guelph St", "icon":"normal", "bho":null, "_distanceuom":"mile", "hourssun":"Please Call", "computers":"N", "cfl":"N", "regionalimageurl":null, "city":"Georgetown", "singleuse":"Y", "fax":null, "country":"CA", "logourl":"http://www.call2recycle.org/notpress/where2getit/call2recycle.png", "phone":"905-702-1945", "address2":null, "locationimageurl":null, "_distance":"10.43",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</si>
  <si>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"latitude":"43.6493977405453", "url":"http://www.canadiantire.ca", "postalcode":"L7G 4B3", "province":"ON", "sustainabilityurl":null, "hoursmon":"8:00am-9:00pm", "longitude":"-79.8871084649661", "uid":1182191356, "retailerlinkurl":null, "hourssat":"Please Call", "clientkey":"1516", "name":"Canadian Tire", "locationlinkurl":null, "address1":"315 Guelph St", "icon":"preferred", "bho":null, "_distanceuom":"mile", "hourssun":"Please Call", "computers":"N", "cfl":"Y", "regionalimageurl":null, "city":"Georgetown", "singleuse":"Y", "fax":null, "country":"CA", "logourl":"http://www.call2recycle.org/notpress/where2getit/canadiantire.png", "phone":"905-877-5289", "address2":null, "locationimageurl":null, "_distance":"10.56",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</si>
  <si>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"latitude":"43.56155", "url":null, "postalcode":"N1H 1G8", "province":"ON", "sustainabilityurl":null, "hoursmon":"Please Call", "longitude":"-80.2822", "uid":-2116054183, "retailerlinkurl":null, "hourssat":"Please Call", "clientkey":"94844", "name":"Home Depot", "locationlinkurl":null, "address1":"63 Woodlawn Rd W", "icon":"preferred", "bho":null, "_distanceuom":"mile", "hourssun":"Please Call", "computers":"N", "cfl":"N", "regionalimageurl":null, "city":"Guelph", "singleuse":"Y", "fax":null, "country":"CA", "logourl":"http://www.call2recycle.org/notpress/where2getit/homedepot.png", "phone":"519-780-3400", "address2":null, "locationimageurl":null, "_distance":"10.62",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</si>
  <si>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"latitude":"43.51797", "url":null, "postalcode":"N1G 4V9", "province":"ON", "sustainabilityurl":null, "hoursmon":"Please Call", "longitude":"-80.23639", "uid":-1239796047, "retailerlinkurl":null, "hourssat":"Please Call", "clientkey":"68063", "name":"Staples", "locationlinkurl":null, "address1":"370 Stone Rd W.", "icon":"normal", "bho":null, "_distanceuom":"mile", "hourssun":"Please Call", "computers":"N", "cfl":"N", "regionalimageurl":null, "city":"Guelph", "singleuse":"Y", "fax":null, "country":"CA", "logourl":"http://www.call2recycle.org/notpress/where2getit/staples.png", "phone":"519-763-4205", "address2":null, "locationimageurl":null, "_distance":"10.78",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</si>
  <si>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"latitude":"43.5168533333333", "url":"http://www.thesource.ca", "postalcode":"N1G 2X6", "province":"ON", "sustainabilityurl":"http://www.thesource.ca/sitelets/jobs/environment.asp", "hoursmon":"Please Call", "longitude":"-80.2378733333333", "uid":211152298, "retailerlinkurl":null, "hourssat":"Please Call", "clientkey":"546", "name":"The Source", "locationlinkurl":null, "address1":"435 Stone Rd. W", "icon":"normal", "bho":null, "_distanceuom":"mile", "hourssun":"Please Call", "computers":"N", "cfl":"N", "regionalimageurl":null, "city":"Guelph", "singleuse":"Y", "fax":null, "country":"CA", "logourl":"http://www.call2recycle.org/notpress/where2getit/thesource.png", "phone":"519-822-9929", "address2":null, "locationimageurl":null, "_distance":"10.89",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</si>
  <si>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"latitude":"43.5415727", "url":"http://www.canadiantire.ca", "postalcode":"L9T 6R1", "province":"ON", "sustainabilityurl":null, "hoursmon":"8:00am-9:00pm", "longitude":"-79.8715343", "uid":-2088431991, "retailerlinkurl":null, "hourssat":"Please Call", "clientkey":"1583", "name":"Canadian Tire", "locationlinkurl":null, "address1":"1210 Steeles Ave E", "icon":"preferred", "bho":null, "_distanceuom":"mile", "hourssun":"Please Call", "computers":"N", "cfl":"Y", "regionalimageurl":null, "city":"Milton", "singleuse":"Y", "fax":null, "country":"CA", "logourl":"http://www.call2recycle.org/notpress/where2getit/canadiantire.png", "phone":"905-878-2349", "address2":null, "locationimageurl":null, "_distance":"13.11",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</si>
  <si>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"latitude":"43.5417045", "url":null, "postalcode":"L9T 6R1", "province":"ON", "sustainabilityurl":null, "hoursmon":"Please Call", "longitude":"-79.8713099", "uid":-254640389, "retailerlinkurl":null, "hourssat":"Please Call", "clientkey":"102518", "name":"Staples", "locationlinkurl":null, "address1":"1220 Steeles Ave E", "icon":"preferred", "bho":null, "_distanceuom":"mile", "hourssun":"Please Call", "computers":"N", "cfl":"N", "regionalimageurl":null, "city":"Milton", "singleuse":"Y", "fax":null, "country":"CA", "logourl":"http://www.call2recycle.org/notpress/where2getit/staples.png", "phone":"905-878-2434", "address2":null, "locationimageurl":null, "_distance":"13.12",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</si>
  <si>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"latitude":"43.53572", "url":null, "postalcode":"L9T 0A5", "province":"ON", "sustainabilityurl":null, "hoursmon":"Please Call", "longitude":"-79.87415", "uid":1503277587, "retailerlinkurl":null, "hourssat":"Please Call", "clientkey":"94847", "name":"Home Depot", "locationlinkurl":null, "address1":"1013 Maple Ave", "icon":"preferred", "bho":null, "_distanceuom":"mile", "hourssun":"Please Call", "computers":"N", "cfl":"N", "regionalimageurl":null, "city":"Milton", "singleuse":"Y", "fax":null, "country":"CA", "logourl":"http://www.call2recycle.org/notpress/where2getit/homedepot.png", "phone":"905-864-1200", "address2":null, "locationimageurl":null, "_distance":"13.21",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</si>
  <si>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"latitude":"43.6914476674055", "url":"http://www.canadiantire.ca", "postalcode":"N1M 3N7", "province":"ON", "sustainabilityurl":null, "hoursmon":"8:00am-9:00pm", "longitude":"-80.3603031196803", "uid":131278621, "retailerlinkurl":null, "hourssat":"Please Call", "clientkey":"1501", "name":"Canadian Tire", "locationlinkurl":null, "address1":"950 Tower St S", "icon":"normal", "bho":null, "_distanceuom":"mile", "hourssun":"Please Call", "computers":"N", "cfl":"Y", "regionalimageurl":null, "city":"Fergus", "singleuse":"Y", "fax":null, "country":"CA", "logourl":"http://www.call2recycle.org/notpress/where2getit/canadiantire.png", "phone":"519-843-3680", "address2":null, "locationimageurl":null, "_distance":"13.65",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</si>
  <si>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"latitude":"43.6945291057203", "url":"http://www.thesource.ca", "postalcode":"N1M 3N7", "province":"ON", "sustainabilityurl":"http://www.thesource.ca/sitelets/jobs/environment.asp", "hoursmon":"Please Call", "longitude":"-80.3645413918637", "uid":1071828898, "retailerlinkurl":null, "hourssat":"Please Call", "clientkey":"144155", "name":"The Source", "locationlinkurl":null, "address1":"878 Tower St S", "icon":"normal", "bho":null, "_distanceuom":"mile", "hourssun":"Please Call", "computers":"N", "cfl":"N", "regionalimageurl":null, "city":"Fergus", "singleuse":"Y", "fax":null, "country":"CA", "logourl":"http://www.call2recycle.org/notpress/where2getit/thesource.png", "phone":"519-843-2982", "address2":null, "locationimageurl":null, "_distance":"13.91",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</si>
  <si>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"latitude":"43.6573580898888", "url":null, "postalcode":"L6X 0Z8", "province":"ON", "sustainabilityurl":null, "hoursmon":"Please Call", "longitude":"-79.8165908828266", "uid":-853657653, "retailerlinkurl":null, "hourssat":"Please Call", "clientkey":"161652", "name":"Home Depot", "locationlinkurl":null, "address1":"9515 Mississauga Rd", "icon":"preferred", "bho":null, "_distanceuom":"mile", "hourssun":"Please Call", "computers":"N", "cfl":"N", "regionalimageurl":null, "city":"Brampton", "singleuse":"Y", "fax":null, "country":"CA", "logourl":"http://www.call2recycle.org/notpress/where2getit/homedepot.png", "phone":"905-457-1800", "address2":null, "locationimageurl":null, "_distance":"14.12", "inktoner":"N", "nationalinkurl":null, "regionallinkurl":null, "cellphones":"Y", "hourstues":"Please Call", "consumerelectronics":"N", "hourswed":"Please Call", "rank":"1"</t>
  </si>
  <si>
    <t xml:space="preserve">        "collectioncount":11,</t>
  </si>
  <si>
    <t xml:space="preserve">            "rechargeable": "Y", "nationalimageurl":null, "glasses":"N", "hoursthurs":"Please Call", "state":null, "retailerimageurl":null, "hoursfri":"Please Call", "acceptedmaterialsurl":null, "latitude":"43.11613", "url":null, "postalcode":"N4V 1B9", "province":"ON", "sustainabilityurl":null, "hoursmon":"Please Call", "longitude":"-80.72925", "uid":1182196480, "retailerlinkurl":null, "hourssat":"Please Call", "clientkey":"78354", "name":"Home Depot", "locationlinkurl":null, "address1":"901 Juliana Dr", "icon":"preferred", "bho":null, "_distanceuom":"mile", "hourssun":"Please Call", "computers":"N", "cfl":"N", "regionalimageurl":null, "city":"Woodstock", "singleuse":"Y", "fax":null, "country":"CA", "logourl":"http://www.call2recycle.org/notpress/where2getit/homedepot.png", "phone":"519-421-5500", "address2":null, "locationimageurl":null, "_distance":"10.17",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</si>
  <si>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"latitude":"43.2072454545455", "url":null, "postalcode":"N0J 1M0", "province":"ON", "sustainabilityurl":null, "hoursmon":"Please Call", "longitude":"-80.6978127272727", "uid":1182190247, "retailerlinkurl":null, "hourssat":"Please Call", "clientkey":"110689", "name":"K.C.s Repair Centre", "locationlinkurl":null, "address1":"156 Blandford St", "icon":"preferred", "bho":null, "_distanceuom":"mile", "hourssun":"Please Call", "computers":"N", "cfl":"N", "regionalimageurl":null, "city":"Innerkip", "singleuse":"Y", "fax":null, "country":"CA", "logourl":"http://www.call2recycle.org/notpress/where2getit/call2recycle.png", "phone":"519-469-3351", "address2":null, "locationimageurl":null, "_distance":"10.41",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</si>
  <si>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"latitude":"43.1158086046512", "url":null, "postalcode":"N4S 9A2", "province":"ON", "sustainabilityurl":null, "hoursmon":"Please Call", "longitude":"-80.7378265116279", "uid":1525169926, "retailerlinkurl":null, "hourssat":"Please Call", "clientkey":"67948", "name":"Staples", "locationlinkurl":null, "address1":"497 Norwich Ave", "icon":"preferred", "bho":null, "_distanceuom":"mile", "hourssun":"Please Call", "computers":"N", "cfl":"N", "regionalimageurl":null, "city":"Woodstock", "singleuse":"Y", "fax":null, "country":"CA", "logourl":"http://www.call2recycle.org/notpress/where2getit/staples.png", "phone":"519-421-3202", "address2":null, "locationimageurl":null, "_distance":"10.60",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</si>
  <si>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"latitude":"43.1162686666667", "url":"http://www.thesource.ca", "postalcode":"N4S 9A2", "province":"ON", "sustainabilityurl":"http://www.thesource.ca/sitelets/jobs/environment.asp", "hoursmon":"Please Call", "longitude":"-80.7379913333333", "uid":1182177102, "retailerlinkurl":null, "hourssat":"Please Call", "clientkey":"688", "name":"The Source", "locationlinkurl":null, "address1":"477 Norwich Ave Unit C1", "icon":"preferred", "bho":null, "_distanceuom":"mile", "hourssun":"Please Call", "computers":"N", "cfl":"N", "regionalimageurl":null, "city":"Woodstock", "singleuse":"Y", "fax":null, "country":"CA", "logourl":"http://www.call2recycle.org/notpress/where2getit/thesource.png", "phone":"519-539-3339", "address2":null, "locationimageurl":null, "_distance":"10.61",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</si>
  <si>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"latitude":"43.13", "url":null, "postalcode":"N4S 1C2", "province":"ON", "sustainabilityurl":null, "hoursmon":"Please Call", "longitude":"-80.7573725", "uid":502591972, "retailerlinkurl":null, "hourssat":"Please Call", "clientkey":"157933", "name":"ListenUp! Canada", "locationlinkurl":null, "address1":"469 Dundas St", "icon":"normal", "bho":null, "_distanceuom":"mile", "hourssun":"Please Call", "computers":"N", "cfl":"N", "regionalimageurl":null, "city":"Woodstock", "singleuse":"Y", "fax":null, "country":"CA", "logourl":"http://www.call2recycle.org/notpress/where2getit/call2recycle.png", "phone":"519-537-8361", "address2":null, "locationimageurl":null, "_distance":"11.59",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</si>
  <si>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"latitude":"43.1693666109149", "url":null, "postalcode":"N3R 7C5", "province":"ON", "sustainabilityurl":null, "hoursmon":"Please Call", "longitude":"-80.2479792495133", "uid":1697151414, "retailerlinkurl":null, "hourssat":"Please Call", "clientkey":"135676", "name":"Staples", "locationlinkurl":null, "address1":"595 West St", "icon":"preferred", "bho":null, "_distanceuom":"mile", "hourssun":"Please Call", "computers":"N", "cfl":"N", "regionalimageurl":null, "city":"Brantford", "singleuse":"Y", "fax":null, "country":"CA", "logourl":"http://www.call2recycle.org/notpress/where2getit/staples.png", "phone":"519-752-3367", "address2":null, "locationimageurl":null, "_distance":"14.49",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</si>
  <si>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"latitude":"43.1630392918477", "url":null, "postalcode":"N3R 7J4", "province":"ON", "sustainabilityurl":null, "hoursmon":"Please Call", "longitude":"-80.2414100444489", "uid":1182199391, "retailerlinkurl":null, "hourssat":"Please Call", "clientkey":"43551", "name":"Home Depot", "locationlinkurl":null, "address1":"25 Holiday Drive", "icon":"preferred", "bho":null, "_distanceuom":"mile", "hourssun":"Please Call", "computers":"N", "cfl":"N", "regionalimageurl":null, "city":"Brantford", "singleuse":"Y", "fax":null, "country":"CA", "logourl":"http://www.call2recycle.org/notpress/where2getit/homedepot.png", "phone":"519-757-3534", "address2":null, "locationimageurl":null, "_distance":"14.72",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</si>
  <si>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"latitude":"43.1474446153846", "url":null, "postalcode":"N3R 4X8", "province":"ON", "sustainabilityurl":null, "hoursmon":"Please Call", "longitude":"-80.2361169230769", "uid":400726427, "retailerlinkurl":null, "hourssat":"Please Call", "clientkey":"157967", "name":"ListenUp! Canada", "locationlinkurl":null, "address1":"422 Grey St", "icon":"preferred", "bho":null, "_distanceuom":"mile", "hourssun":"Please Call", "computers":"N", "cfl":"N", "regionalimageurl":null, "city":"Brantford", "singleuse":"Y", "fax":null, "country":"CA", "logourl":"http://www.call2recycle.org/notpress/where2getit/call2recycle.png", "phone":"519-753-4182", "address2":null, "locationimageurl":null, "_distance":"14.81",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</si>
  <si>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"latitude":"43.155372", "url":null, "postalcode":"N3S 7R4", "province":"ON", "sustainabilityurl":null, "hoursmon":"Please Call", "longitude":"-80.237796", "uid":1560276600, "retailerlinkurl":null, "hourssat":"Please Call", "clientkey":"105410", "name":"Lowes", "locationlinkurl":null, "address1":"215 Henry St", "icon":"preferred", "bho":null, "_distanceuom":"mile", "hourssun":"Please Call", "computers":"N", "cfl":"N", "regionalimageurl":null, "city":"Brantford", "singleuse":"Y", "fax":null, "country":"CA", "logourl":"http://www.call2recycle.org/notpress/where2getit/lowes.png", "phone":"519-720-2060", "address2":null, "locationimageurl":null, "_distance":"14.81",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</si>
  <si>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"latitude":"43.1733746666667", "url":"http://www.thesource.ca", "postalcode":"N3R 6B8", "province":"ON", "sustainabilityurl":"http://www.thesource.ca/sitelets/jobs/environment.asp", "hoursmon":"Please Call", "longitude":"-80.242096", "uid":1986290910, "retailerlinkurl":null, "hourssat":"Please Call", "clientkey":"513", "name":"The Source", "locationlinkurl":null, "address1":"Lynden Park Mall 84 Lynden Rd Unit E8", "icon":"preferred", "bho":null, "_distanceuom":"mile", "hourssun":"Please Call", "computers":"N", "cfl":"N", "regionalimageurl":null, "city":"Brantford", "singleuse":"Y", "fax":null, "country":"CA", "logourl":"http://www.call2recycle.org/notpress/where2getit/thesource.png", "phone":"519-759-8462", "address2":null, "locationimageurl":null, "_distance":"14.84",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</si>
  <si>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"latitude":"43.155558", "url":null, "postalcode":"N3S 7R4", "province":"ON", "sustainabilityurl":null, "hoursmon":"Please Call", "longitude":"-80.236674", "uid":677051379, "retailerlinkurl":null, "hourssat":"Please Call", "clientkey":"169751", "name":"Princess Auto", "locationlinkurl":null, "address1":"221 Henry St", "icon":"normal", "bho":null, "_distanceuom":"mile", "hourssun":"Please Call", "computers":"N", "cfl":"N", "regionalimageurl":null, "city":"Brantford", "singleuse":"Y", "fax":null, "country":"CA", "logourl":"http://www.call2recycle.org/notpress/where2getit/PrincessAuto_150x150.png", "phone":"226-227-9440", "address2":null, "locationimageurl":null, "_distance":"14.86", "inktoner":"N", "nationalinkurl":null, "regionallinkurl":null, "cellphones":"Y", "hourstues":"Please Call", "consumerelectronics":"N", "hourswed":"Please Call", "rank":"0"</t>
  </si>
  <si>
    <t xml:space="preserve">        "collectioncount":10,</t>
  </si>
  <si>
    <t xml:space="preserve">            "rechargeable": "Y", "nationalimageurl":null, "glasses":"N", "hoursthurs":"Please Call", "state":null, "retailerimageurl":null, "hoursfri":"Please Call", "acceptedmaterialsurl":null, "latitude":"43.0405984210526", "url":null, "postalcode":"N5C 4B1", "province":"ON", "sustainabilityurl":null, "hoursmon":"Please Call", "longitude":"-80.8850492105263", "uid":392185533, "retailerlinkurl":null, "hourssat":"Please Call", "clientkey":"168156", "name":"ListenUp Canada", "locationlinkurl":null, "address1":"9-120 Thames St N", "icon":"normal", "bho":null, "_distanceuom":"mile", "hourssun":"Please Call", "computers":"N", "cfl":"N", "regionalimageurl":null, "city":"Ingersoll", "singleuse":"Y", "fax":null, "country":"CA", "logourl":"http://www.call2recycle.org/notpress/where2getit/call2recycle.png", "phone":"519-485-1671", "address2":null, "locationimageurl":null, "_distance":"6.76",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</si>
  <si>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"latitude":"43.0416027272727", "url":"http://www.canadiantire.ca", "postalcode":"N5C 1S5", "province":"ON", "sustainabilityurl":null, "hoursmon":"8:00am-9:00pm", "longitude":"-80.8822027272727", "uid":239851921, "retailerlinkurl":null, "hourssat":"Please Call", "clientkey":"1514", "name":"Canadian Tire", "locationlinkurl":null, "address1":"98 Mutual St S", "icon":"preferred", "bho":null, "_distanceuom":"mile", "hourssun":"Please Call", "computers":"N", "cfl":"Y", "regionalimageurl":null, "city":"Ingersoll", "singleuse":"Y", "fax":null, "country":"CA", "logourl":"http://www.call2recycle.org/notpress/where2getit/canadiantire.png", "phone":"519-485-3900", "address2":null, "locationimageurl":null, "_distance":"6.87",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</si>
  <si>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"latitude":"42.86217", "url":"http://www.thesource.ca", "postalcode":"N4G 5A7", "province":"ON", "sustainabilityurl":"http://www.thesource.ca/sitelets/jobs/environment.asp", "hoursmon":"Please Call", "longitude":"-80.72937", "uid":1182196804, "retailerlinkurl":null, "hourssat":"Please Call", "clientkey":"433", "name":"The Source", "locationlinkurl":null, "address1":"200 Broadway St. Units 53/54", "icon":"normal", "bho":null, "_distanceuom":"mile", "hourssun":"Please Call", "computers":"N", "cfl":"N", "regionalimageurl":null, "city":"Tillsonburg", "singleuse":"Y", "fax":null, "country":"CA", "logourl":"http://www.call2recycle.org/notpress/where2getit/thesource.png", "phone":"519-842-7916", "address2":null, "locationimageurl":null, "_distance":"11.52",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</si>
  <si>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"latitude":"42.86217", "url":null, "postalcode":"N4G 5A7", "province":"ON", "sustainabilityurl":null, "hoursmon":"Please Call", "longitude":"-80.72937", "uid":1697151341, "retailerlinkurl":null, "hourssat":"Please Call", "clientkey":"102527", "name":"Staples", "locationlinkurl":null, "address1":"200 Broadway St.", "icon":"preferred", "bho":null, "_distanceuom":"mile", "hourssun":"Please Call", "computers":"N", "cfl":"N", "regionalimageurl":null, "city":"Tillsonburg", "singleuse":"Y", "fax":null, "country":"CA", "logourl":"http://www.call2recycle.org/notpress/where2getit/staples.png", "phone":"519-688-2196", "address2":null, "locationimageurl":null, "_distance":"11.52",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</si>
  <si>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"latitude":"43.0062405882353", "url":"http://www.canadiantire.ca", "postalcode":"N5V 4Y5", "province":"ON", "sustainabilityurl":null, "hoursmon":"8:00am-9:00pm", "longitude":"-81.1704935294118", "uid":1182182746, "retailerlinkurl":null, "hourssat":"Please Call", "clientkey":"1555", "name":"Canadian Tire", "locationlinkurl":null, "address1":"1975 Dundas St", "icon":"preferred", "bho":null, "_distanceuom":"mile", "hourssun":"Please Call", "computers":"N", "cfl":"Y", "regionalimageurl":null, "city":"London", "singleuse":"Y", "fax":null, "country":"CA", "logourl":"http://www.call2recycle.org/notpress/where2getit/canadiantire.png", "phone":"519-451-6260", "address2":null, "locationimageurl":null, "_distance":"13.05",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</si>
  <si>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"latitude":"43.00147", "url":"http://www.thesource.ca", "postalcode":"N5V 1P7", "province":"ON", "sustainabilityurl":"http://www.thesource.ca/sitelets/jobs/environment.asp", "hoursmon":"Please Call", "longitude":"-81.17418", "uid":129958584, "retailerlinkurl":null, "hourssat":"Please Call", "clientkey":"764", "name":"The Source", "locationlinkurl":null, "address1":"332 Clarke Rd",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"phone":"519-453-2780", "address2":null, "locationimageurl":null, "_distance":"13.13",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</si>
  <si>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"latitude":"43.00526", "url":null, "postalcode":"N5V 1P7", "province":"ON", "sustainabilityurl":null, "hoursmon":"Please Call", "longitude":"-81.17402", "uid":-2116054293, "retailerlinkurl":null, "hourssat":"Please Call", "clientkey":"140263", "name":"Staples", "locationlinkurl":null, "address1":"1925 Dundas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"phone":"519-659-3428", "address2":null, "locationimageurl":null, "_distance":"13.20",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</si>
  <si>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"latitude":"43.00669", "url":null, "postalcode":"N5W 6H1", "province":"ON", "sustainabilityurl":null, "hoursmon":"Please Call", "longitude":"-81.1768", "uid":1182190078, "retailerlinkurl":null, "hourssat":"Please Call", "clientkey":"103017", "name":"Home Depot", "locationlinkurl":null, "address1":"448 Clarke Rd",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"phone":"519-457-5800", "address2":null, "locationimageurl":null, "_distance":"13.37",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</si>
  <si>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"latitude":"42.9615917315216", "url":null, "postalcode":"N5Z 3L1", "province":"ON", "sustainabilityurl":null, "hoursmon":"Please Call", "longitude":"-81.2186812885449", "uid":1561147260, "retailerlinkurl":null, "hourssat":"Please Call", "clientkey":"72917", "name":"DeWalt Factory Service (Canada)", "locationlinkurl":null, "address1":"270 Adelaide St S",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"phone":"519-649-2407", "address2":null, "locationimageurl":null, "_distance":"14.88",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</si>
  <si>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"latitude":"42.927951232845", "url":null, "postalcode":"N6E 1M3", "province":"ON", "sustainabilityurl":null, "hoursmon":"Please Call", "longitude":"-81.2188128202866", "uid":778812599, "retailerlinkurl":null, "hourssat":"Please Call", "clientkey":"162171", "name":"Mountain Equipment Co-op", "locationlinkurl":null, "address1":"1230 Wellington Rd",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"phone":"519-668-7734", "address2":null, "locationimageurl":null, "_distance":"14.91", "inktoner":"N", "nationalinkurl":null, "regionallinkurl":null, "cellphones":"Y", "hourstues":"Please Call", "consumerelectronics":"N", "hourswed":"Please Call", "rank":"0"</t>
  </si>
  <si>
    <t xml:space="preserve">        "collectioncount":32,</t>
  </si>
  <si>
    <t xml:space="preserve">            "rechargeable": "Y", "nationalimageurl":null, "glasses":"N", "hoursthurs":"Please Call", "state":null, "retailerimageurl":null, "hoursfri":"Please Call", "acceptedmaterialsurl":null, "latitude":"42.9248020437138", "url":null, "postalcode":"N6E 2Z2", "province":"ON", "sustainabilityurl":null, "hoursmon":"Please Call", "longitude":"-81.2291344937418", "uid":677051357, "retailerlinkurl":null, "hourssat":"Please Call", "clientkey":"169701", "name":"Princess Auto", "locationlinkurl":null, "address1":"583 Exeter Rd", "icon":"preferred", "bho":null, "_distanceuom":"mile", "hourssun":"Please Call", "computers":"N", "cfl":"N", "regionalimageurl":null, "city":"London", "singleuse":"Y", "fax":null, "country":"CA", "logourl":"http://www.call2recycle.org/notpress/where2getit/PrincessAuto_150x150.png", "phone":"519-649-7001", "address2":null, "locationimageurl":null, "_distance":"6.22",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</si>
  <si>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"latitude":"42.936906337748", "url":null, "postalcode":"N6L 1A6", "province":"ON", "sustainabilityurl":null, "hoursmon":"Please Call", "longitude":"-81.2809181670529", "uid":1525169929, "retailerlinkurl":null, "hourssat":"Please Call", "clientkey":"102516", "name":"Staples", "locationlinkurl":null, "address1":"3080 Wonderland Rd S",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"phone":"519-690-2049", "address2":null, "locationimageurl":null, "_distance":"6.42",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</si>
  <si>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"latitude":"42.9381032981888", "url":null, "postalcode":"N6L 1R4", "province":"ON", "sustainabilityurl":null, "hoursmon":"Please Call", "longitude":"-81.2811966905401", "uid":1182174823, "retailerlinkurl":null, "hourssat":"Please Call", "clientkey":"43547", "name":"Home Depot", "locationlinkurl":null, "address1":"3035 Wonderland Rd S",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"phone":"519-691-1400", "address2":null, "locationimageurl":null, "_distance":"6.51",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</si>
  <si>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"latitude":"42.93705", "url":null, "postalcode":"N6P 0C6", "province":"ON", "sustainabilityurl":null, "hoursmon":"Please Call", "longitude":"-81.3083131428571", "uid":959135451, "retailerlinkurl":null, "hourssat":"Please Call", "clientkey":"154672", "name":"FCC", "locationlinkurl":null, "address1":"835 Southdale Rd W",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"phone":"519-681-2179", "address2":null, "locationimageurl":null, "_distance":"6.56",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</si>
  <si>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"latitude":"42.93903125", "url":null, "postalcode":"N6J 4G8", "province":"ON", "sustainabilityurl":null, "hoursmon":"Please Call", "longitude":"-81.2812578125", "uid":400726432, "retailerlinkurl":null, "hourssat":"Please Call", "clientkey":"157970", "name":"ListenUp! Canada", "locationlinkurl":null, "address1":"379 Southdale Rd W",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"phone":"519-668-6279", "address2":null, "locationimageurl":null, "_distance":"6.57",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</si>
  <si>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"latitude":"42.927951232845", "url":null, "postalcode":"N6E 1M3", "province":"ON", "sustainabilityurl":null, "hoursmon":"Please Call", "longitude":"-81.2188128202866", "uid":778812599, "retailerlinkurl":null, "hourssat":"Please Call", "clientkey":"162171", "name":"Mountain Equipment Co-op", "locationlinkurl":null, "address1":"1230 Wellington Rd",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"phone":"519-668-7734", "address2":null, "locationimageurl":null, "_distance":"6.65",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</si>
  <si>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"latitude":"42.7859033333333", "url":"http://www.rona.ca", "postalcode":"N5P 1Y8", "province":"ON", "sustainabilityurl":"http://www.rona.ca/corporate/corporate-responsibility", "hoursmon":"Please Call", "longitude":"-81.1773933333333", "uid":1182201457, "retailerlinkurl":null, "hourssat":"Please Call", "clientkey":"128189", "name":"RONA", "locationlinkurl":null, "address1":"101 Edward St", "icon":"preferred", "bho":null, "_distanceuom":"mile", "hourssun":"Please Call", "computers":"N", "cfl":"Y", "regionalimageurl":null, "city":"St Thomas", "singleuse":"Y", "fax":null, "country":"CA", "logourl":"http://www.call2recycle.org/notpress/where2getit/rona.png", "phone":"519-631-2250", "address2":null, "locationimageurl":null, "_distance":"6.69",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</si>
  <si>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"latitude":"42.9316311111111", "url":"http://www.thesource.ca", "postalcode":"N6E 1V4", "province":"ON", "sustainabilityurl":"http://www.thesource.ca/sitelets/jobs/environment.asp", "hoursmon":"Please Call", "longitude":"-81.2214222222222", "uid":609560795, "retailerlinkurl":null, "hourssat":"Please Call", "clientkey":"763", "name":"The Source", "locationlinkurl":null, "address1":"1105 Wellington Rd S", "icon":"normal", "bho":null, "_distanceuom":"mile", "hourssun":"Please Call", "computers":"N", "cfl":"N", "regionalimageurl":null, "city":"London", "singleuse":"Y", "fax":null, "country":"CA", "logourl":"http://www.call2recycle.org/notpress/where2getit/thesource.png", "phone":"519-681-5914", "address2":null, "locationimageurl":null, "_distance":"6.81",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</si>
  <si>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"latitude":"42.93354", "url":null, "postalcode":"N6E 1M2", "province":"ON", "sustainabilityurl":null, "hoursmon":"Please Call", "longitude":"-81.22307", "uid":89280209, "retailerlinkurl":null, "hourssat":"Please Call", "clientkey":"132740", "name":"Best Buy", "locationlinkurl":null, "address1":"1080 Wellington Rd", "icon":"preferred", "bho":null, "_distanceuom":"mile", "hourssun":"Please Call", "computers":"N", "cfl":"N", "regionalimageurl":null, "city":"London", "singleuse":"Y", "fax":null, "country":"CA", "logourl":"http://www.call2recycle.org/notpress/where2getit/bestbuy.png", "phone":"519-686-2160", "address2":null, "locationimageurl":null, "_distance":"6.90",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</si>
  <si>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"latitude":"42.77878", "url":null, "postalcode":"N5P 1G4", "province":"ON", "sustainabilityurl":null, "hoursmon":"Please Call", "longitude":"-81.1723", "uid":-76711533, "retailerlinkurl":null, "hourssat":"Please Call", "clientkey":"142648", "name":"Staples", "locationlinkurl":null, "address1":"1063 Talbot St", "icon":"preferred", "bho":null, "_distanceuom":"mile", "hourssun":"Please Call", "computers":"N", "cfl":"N", "regionalimageurl":null, "city":"St Thomas", "singleuse":"Y", "fax":null, "country":"CA", "logourl":"http://www.call2recycle.org/notpress/where2getit/staples.png", "phone":"519-631-1810", "address2":null, "locationimageurl":null, "_distance":"7.20",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</si>
  <si>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"latitude":"42.77878", "url":"http://www.thesource.ca", "postalcode":"N5P 1G4", "province":"ON", "sustainabilityurl":"http://www.thesource.ca/sitelets/jobs/environment.asp", "hoursmon":"Please Call", "longitude":"-81.1723", "uid":1182189553, "retailerlinkurl":null, "hourssat":"Please Call", "clientkey":"80030", "name":"The Source", "locationlinkurl":null, "address1":"1063 Talbot St", "icon":"preferred", "bho":null, "_distanceuom":"mile", "hourssun":"Please Call", "computers":"N", "cfl":"N", "regionalimageurl":null, "city":"St Thomas", "singleuse":"Y", "fax":null, "country":"CA", "logourl":"http://www.call2recycle.org/notpress/where2getit/thesource.png", "phone":"519-633-8119", "address2":null, "locationimageurl":null, "_distance":"7.20",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</si>
  <si>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"latitude":"42.7752223", "url":null, "postalcode":"N5R 4M5", "province":"ON", "sustainabilityurl":null, "hoursmon":"Please Call", "longitude":"-81.1751688", "uid":400726412, "retailerlinkurl":null, "hourssat":"Please Call", "clientkey":"157951", "name":"ListenUp! Canada", "locationlinkurl":null, "address1":"24 First Ave", "icon":"normal", "bho":null, "_distanceuom":"mile", "hourssun":"Please Call", "computers":"N", "cfl":"N", "regionalimageurl":null, "city":"St Thomas", "singleuse":"Y", "fax":null, "country":"CA", "logourl":"http://www.call2recycle.org/notpress/where2getit/call2recycle.png", "phone":"519-633-3330", "address2":null, "locationimageurl":null, "_distance":"7.24",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</si>
  <si>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"latitude":"42.96328", "url":null, "postalcode":"N6C 4P6", "province":"ON", "sustainabilityurl":null, "hoursmon":"Please Call", "longitude":"-81.23147", "uid":1618865818, "retailerlinkurl":null, "hourssat":"Please Call", "clientkey":"68073", "name":"Staples", "locationlinkurl":null, "address1":"332 Wellington Rd",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"phone":"519-645-7042", "address2":null, "locationimageurl":null, "_distance":"8.65",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</si>
  <si>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"latitude":"42.9615917315216", "url":null, "postalcode":"N5Z 3L1", "province":"ON", "sustainabilityurl":null, "hoursmon":"Please Call", "longitude":"-81.2186812885449", "uid":1561147260, "retailerlinkurl":null, "hourssat":"Please Call", "clientkey":"72917", "name":"DeWalt Factory Service (Canada)", "locationlinkurl":null, "address1":"270 Adelaide St S",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"phone":"519-649-2407", "address2":null, "locationimageurl":null, "_distance":"8.76",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</si>
  <si>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"latitude":"42.9713077777778", "url":null, "postalcode":"N6C 4Y7", "province":"ON", "sustainabilityurl":null, "hoursmon":"Please Call", "longitude":"-81.2523133333333", "uid":403245227, "retailerlinkurl":null, "hourssat":"Please Call", "clientkey":"112443", "name":"Pharmasave", "locationlinkurl":null, "address1":"190 Wortley Rd Unit 206",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"phone":"519-438-6600", "address2":null, "locationimageurl":null, "_distance":"8.94",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</si>
  <si>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"latitude":"42.9724794444444", "url":null, "postalcode":"N6E 3V8", "province":"ON", "sustainabilityurl":null, "hoursmon":"Please Call", "longitude":"-81.2382733333333", "uid":1182185916, "retailerlinkurl":null, "hourssat":"Please Call", "clientkey":"75375", "name":"Henrys", "locationlinkurl":null, "address1":"19-1070 Wellington Rd",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"phone":"519-686-7481", "address2":null, "locationimageurl":null, "_distance":"9.17",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</si>
  <si>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"latitude":"42.9751614941291", "url":null, "postalcode":"N6B 2K4", "province":"ON", "sustainabilityurl":null, "hoursmon":"Please Call", "longitude":"-81.2403128906191", "uid":1182199081, "retailerlinkurl":null, "hourssat":"Please Call", "clientkey":"32997", "name":"Spectrum Communications", "locationlinkurl":null, "address1":"79 Wellington St",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"phone":"519-663-2109", "address2":null, "locationimageurl":null, "_distance":"9.32",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</si>
  <si>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"latitude":"42.9751614941291", "url":null, "postalcode":"N6B 2K4", "province":"ON", "sustainabilityurl":null, "hoursmon":"Please Call", "longitude":"-81.2403128906191", "uid":670810639, "retailerlinkurl":null, "hourssat":"Please Call", "clientkey":"63119", "name":"Forest City Communications Ltd.", "locationlinkurl":null, "address1":"79 Wellington St", "icon":"normal", "bho":null, "_distanceuom":"mile", "hourssun":"Please Call", "computers":"N", "cfl":"N", "regionalimageurl":null, "city":"London", "singleuse":"Y", "fax":null, "country":"CA", "logourl":"http://www.call2recycle.org/notpress/where2getit/call2recycle.png", "phone":"519-686-3046", "address2":null, "locationimageurl":null, "_distance":"9.32",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</si>
  <si>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"latitude":"42.983266", "url":"http://www.thesource.ca", "postalcode":"N6A 3N7", "province":"ON", "sustainabilityurl":"http://www.thesource.ca/sitelets/jobs/environment.asp", "hoursmon":"Please Call", "longitude":"-81.24441", "uid":947268766, "retailerlinkurl":null, "hourssat":"Please Call", "clientkey":"568", "name":"The Source", "locationlinkurl":null, "address1":"355 Wellington St Unit 131A",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"phone":"519-672-9986", "address2":null, "locationimageurl":null, "_distance":"9.82",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</si>
  <si>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"latitude":"42.9911473069883", "url":"http://www.rona.ca", "postalcode":"N6H 4L1", "province":"ON", "sustainabilityurl":"http://www.rona.ca/corporate/corporate-responsibility", "hoursmon":"Please Call", "longitude":"-81.3002761337478", "uid":1182187030, "retailerlinkurl":null, "hourssat":"Please Call", "clientkey":"121764", "name":"RONA", "locationlinkurl":null, "address1":"820 Blythwood Rd", "icon":"normal", "bho":null, "_distanceuom":"mile", "hourssun":"Please Call", "computers":"N", "cfl":"Y", "regionalimageurl":null, "city":"London", "singleuse":"Y", "fax":null, "country":"CA", "logourl":"http://www.call2recycle.org/notpress/where2getit/rona.png", "phone":"519-471-6621", "address2":null, "locationimageurl":null, "_distance":"10.21",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</si>
  <si>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"latitude":"43.00564", "url":null, "postalcode":"N6H 5L8", "province":"ON", "sustainabilityurl":null, "hoursmon":"Please Call", "longitude":"-81.34093", "uid":-671996288, "retailerlinkurl":null, "hourssat":"Please Call", "clientkey":"162494", "name":"Andersons Electronics Inc", "locationlinkurl":null, "address1":"1-2018 Mallard Rd",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"phone":"519-657-2063", "address2":null, "locationimageurl":null, "_distance":"11.55",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</si>
  <si>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"latitude":"43.01158", "url":null, "postalcode":"N6G 0E3", "province":"ON", "sustainabilityurl":null, "hoursmon":"Please Call", "longitude":"-81.33416", "uid":1522034744, "retailerlinkurl":null, "hourssat":"Please Call", "clientkey":"135082", "name":"Lowes", "locationlinkurl":null, "address1":"1335 Fanshawe Park Rd W", "icon":"preferred", "bho":null, "_distanceuom":"mile", "hourssun":"Please Call", "computers":"N", "cfl":"N", "regionalimageurl":null, "city":"London", "singleuse":"Y", "fax":null, "country":"CA", "logourl":"http://www.call2recycle.org/notpress/where2getit/lowes.png", "phone":"--", "address2":null, "locationimageurl":null, "_distance":"11.87",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</si>
  <si>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"latitude":"43.01705", "url":null, "postalcode":"N6G 3Y9", "province":"ON", "sustainabilityurl":null, "hoursmon":"Please Call", "longitude":"-81.27336", "uid":341261759, "retailerlinkurl":null, "hourssat":"Please Call", "clientkey":"159875", "name":"Best Buy", "locationlinkurl":null, "address1":"Richmond St", "icon":"normal", "bho":null, "_distanceuom":"mile", "hourssun":"Please Call", "computers":"N", "cfl":"N", "regionalimageurl":null, "city":"London", "singleuse":"Y", "fax":null, "country":"CA", "logourl":"http://www.call2recycle.org/notpress/where2getit/bestbuy.png", "phone":"--", "address2":null, "locationimageurl":null, "_distance":"11.97",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</si>
  <si>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"latitude":"43.00147", "url":"http://www.thesource.ca", "postalcode":"N5V 1P7", "province":"ON", "sustainabilityurl":"http://www.thesource.ca/sitelets/jobs/environment.asp", "hoursmon":"Please Call", "longitude":"-81.17418", "uid":129958584, "retailerlinkurl":null, "hourssat":"Please Call", "clientkey":"764", "name":"The Source", "locationlinkurl":null, "address1":"332 Clarke Rd",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"phone":"519-453-2780", "address2":null, "locationimageurl":null, "_distance":"12.20",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</si>
  <si>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"latitude":"43.00526", "url":null, "postalcode":"N5V 1P7", "province":"ON", "sustainabilityurl":null, "hoursmon":"Please Call", "longitude":"-81.17402", "uid":-2116054293, "retailerlinkurl":null, "hourssat":"Please Call", "clientkey":"140263", "name":"Staples", "locationlinkurl":null, "address1":"1925 Dundas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"phone":"519-659-3428", "address2":null, "locationimageurl":null, "_distance":"12.44",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</si>
  <si>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"latitude":"43.00669", "url":null, "postalcode":"N5W 6H1", "province":"ON", "sustainabilityurl":null, "hoursmon":"Please Call", "longitude":"-81.1768", "uid":1182190078, "retailerlinkurl":null, "hourssat":"Please Call", "clientkey":"103017", "name":"Home Depot", "locationlinkurl":null, "address1":"448 Clarke Rd",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"phone":"519-457-5800", "address2":null, "locationimageurl":null, "_distance":"12.46",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</si>
  <si>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"latitude":"43.02498", "url":"http://www.thesource.ca", "postalcode":"N6G 3Y9", "province":"ON", "sustainabilityurl":"http://www.thesource.ca/sitelets/jobs/environment.asp", "hoursmon":"Please Call", "longitude":"-81.28175", "uid":904541695, "retailerlinkurl":null, "hourssat":"Please Call", "clientkey":"748", "name":"The Source", "locationlinkurl":null, "address1":"1680 Richmond St", "icon":"preferred", "bho":null, "_distanceuom":"mile", "hourssun":"Please Call", "computers":"N", "cfl":"N", "regionalimageurl":null, "city":"London", "singleuse":"Y", "fax":null, "country":"CA", "logourl":"http://www.call2recycle.org/notpress/where2getit/thesource.png", "phone":"519-660-1984", "address2":null, "locationimageurl":null, "_distance":"12.51",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</si>
  <si>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"latitude":"43.0254633333333", "url":null, "postalcode":"N6G 2N3", "province":"ON", "sustainabilityurl":null, "hoursmon":"Please Call", "longitude":"-81.2820055555556", "uid":941812245, "retailerlinkurl":null, "hourssat":"Please Call", "clientkey":"157947", "name":"ListenUp! Canada", "locationlinkurl":null, "address1":"1673 Richmond St", "icon":"preferred", "bho":null, "_distanceuom":"mile", "hourssun":"Please Call", "computers":"N", "cfl":"N", "regionalimageurl":null, "city":"London", "singleuse":"Y", "fax":null, "country":"CA", "logourl":"http://www.call2recycle.org/notpress/where2getit/call2recycle.png", "phone":"519-667-0303", "address2":null, "locationimageurl":null, "_distance":"12.54",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</si>
  <si>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"latitude":"43.0062405882353", "url":"http://www.canadiantire.ca", "postalcode":"N5V 4Y5", "province":"ON", "sustainabilityurl":null, "hoursmon":"8:00am-9:00pm", "longitude":"-81.1704935294118", "uid":1182182746, "retailerlinkurl":null, "hourssat":"Please Call", "clientkey":"1555", "name":"Canadian Tire", "locationlinkurl":null, "address1":"1975 Dundas St", "icon":"preferred", "bho":null, "_distanceuom":"mile", "hourssun":"Please Call", "computers":"N", "cfl":"Y", "regionalimageurl":null, "city":"London", "singleuse":"Y", "fax":null, "country":"CA", "logourl":"http://www.call2recycle.org/notpress/where2getit/canadiantire.png", "phone":"519-451-6260", "address2":null, "locationimageurl":null, "_distance":"12.58",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</si>
  <si>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"latitude":"43.0277044897959", "url":null, "postalcode":"N5X 3Y2", "province":"ON", "sustainabilityurl":null, "hoursmon":"Please Call", "longitude":"-81.2831842857143", "uid":1697151372, "retailerlinkurl":null, "hourssat":"Please Call", "clientkey":"68071", "name":"Staples", "locationlinkurl":null, "address1":"1737 Richmond St", "icon":"preferred", "bho":null, "_distanceuom":"mile", "hourssun":"Please Call", "computers":"N", "cfl":"N", "regionalimageurl":null, "city":"London", "singleuse":"Y", "fax":null, "country":"CA", "logourl":"http://www.call2recycle.org/notpress/where2getit/staples.png", "phone":"519-661-0888", "address2":null, "locationimageurl":null, "_distance":"12.70",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</si>
  <si>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"latitude":"43.034694137931", "url":null, "postalcode":"N5X 1L1", "province":"ON", "sustainabilityurl":null, "hoursmon":"Please Call", "longitude":"-81.2553737931034", "uid":1182192410, "retailerlinkurl":null, "hourssat":"Please Call", "clientkey":"43546", "name":"Home Depot", "locationlinkurl":null, "address1":"600 Fanshawe Park Rd E", "icon":"preferred", "bho":null, "_distanceuom":"mile", "hourssun":"Please Call", "computers":"N", "cfl":"N", "regionalimageurl":null, "city":"London", "singleuse":"Y", "fax":null, "country":"CA", "logourl":"http://www.call2recycle.org/notpress/where2getit/homedepot.png", "phone":"519-850-5900", "address2":null, "locationimageurl":null, "_distance":"13.25",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</si>
  <si>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"latitude":"43.03662", "url":null, "postalcode":"N5X 3Y2", "province":"ON", "sustainabilityurl":null, "hoursmon":"Please Call", "longitude":"-81.28786", "uid":983606375, "retailerlinkurl":null, "hourssat":"Please Call", "clientkey":"132730", "name":"Best Buy", "locationlinkurl":null, "address1":"Richmond St", "icon":"preferred", "bho":null, "_distanceuom":"mile", "hourssun":"Please Call", "computers":"N", "cfl":"N", "regionalimageurl":null, "city":"London", "singleuse":"Y", "fax":null, "country":"CA", "logourl":"http://www.call2recycle.org/notpress/where2getit/bestbuy.png", "phone":"519-963-8494", "address2":null, "locationimageurl":null, "_distance":"13.31",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</si>
  <si>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"latitude":"42.66374", "url":null, "postalcode":"N0L 1J0", "province":"ON", "sustainabilityurl":null, "hoursmon":"Please Call", "longitude":"-81.50269", "uid":-521429939, "retailerlinkurl":null, "hourssat":"Please Call", "clientkey":"163310", "name":"Municipality of Dutton/Dunwich", "locationlinkurl":null, "address1":"199 Currie Rd", "icon":"normal",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</si>
  <si>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"latitude":"42.66185", "url":null, "postalcode":"N0L 1J0", "province":"ON", "sustainabilityurl":null, "hoursmon":"Please Call", "longitude":"-81.50551", "uid":-521429937, "retailerlinkurl":null, "hourssat":"Please Call", "clientkey":"163506", "name":"Dutton Dunwich Community Centre", "locationlinkurl":null, "address1":"1 Scotland St", "icon":"preferred",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</si>
  <si>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"latitude":"42.6617606666667", "url":null, "postalcode":"N0L 1J0", "province":"ON", "sustainabilityurl":null, "hoursmon":"Please Call", "longitude":"-81.5026606666667", "uid":926967316, "retailerlinkurl":null, "hourssat":"Please Call", "clientkey":"163505", "name":"John Kenneth Galbraith Reference Library", "locationlinkurl":null, "address1":"236 Shackleton St", "icon":"normal", "bho":null, "_distanceuom":"mile", "hourssun":"Please Call", "computers":"N", "cfl":"N", "regionalimageurl":null, "city":"Dutton", "singleuse":"Y", "fax":null, "country":"CA", "logourl":"http://www.call2recycle.org/notpress/where2getit/call2recycle.png", "phone":"519-762-2204", "address2":null, "locationimageurl":null, "_distance":"9.16",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</si>
  <si>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"latitude":"42.6814763636364", "url":null, "postalcode":"N0L 1Z0", "province":"ON", "sustainabilityurl":null, "hoursmon":"Please Call", "longitude":"-81.7933845454545", "uid":1582784823, "retailerlinkurl":null, "hourssat":"Please Call", "clientkey":"113053", "name":"Mcnaughton Home Hardware Building Centre", "locationlinkurl":null, "address1":"22789 Hagerty Rd", "icon":"normal", "bho":null, "_distanceuom":"mile", "hourssun":"Please Call", "computers":"N", "cfl":"N", "regionalimageurl":null, "city":"Newbury", "singleuse":"Y", "fax":null, "country":"CA", "logourl":"http://www.call2recycle.org/notpress/where2getit/call2recycle.png", "phone":"519-693-4449", "address2":null, "locationimageurl":null, "_distance":"10.96",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</si>
  <si>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"latitude":"42.6846520044148", "url":null, "postalcode":"N0L 1Z0", "province":"ON", "sustainabilityurl":null, "hoursmon":"Please Call", "longitude":"-81.7995860132445", "uid":-270870602, "retailerlinkurl":null, "hourssat":"Please Call", "clientkey":"126267", "name":"Newbury Community Services", "locationlinkurl":null, "address1":"22910 Hagerty Rd", "icon":"preferred", "bho":null, "_distanceuom":"mile", "hourssun":"Please Call", "computers":"N", "cfl":"N", "regionalimageurl":null, "city":"Newbury", "singleuse":"Y", "fax":null, "country":"CA", "logourl":"http://www.call2recycle.org/notpress/where2getit/call2recycle.png", "phone":"519-693-4941", "address2":null, "locationimageurl":null, "_distance":"11.11",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</si>
  <si>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"latitude":"42.9470654794521", "url":null, "postalcode":"N7G 2P5", "province":"ON", "sustainabilityurl":null, "hoursmon":"Please Call", "longitude":"-81.6128139726027", "uid":1616638466, "retailerlinkurl":null, "hourssat":"Please Call", "clientkey":"106095", "name":"Staples", "locationlinkurl":null, "address1":"425 Caradoc St S", "icon":"preferred", "bho":null, "_distanceuom":"mile", "hourssun":"Please Call", "computers":"N", "cfl":"N", "regionalimageurl":null, "city":"Strathroy", "singleuse":"Y", "fax":null, "country":"CA", "logourl":"http://www.call2recycle.org/notpress/where2getit/staples.png", "phone":"519-245-5665", "address2":null, "locationimageurl":null, "_distance":"12.42",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</si>
  <si>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"latitude":"42.960192", "url":null, "postalcode":"N7S 5P1", "province":"ON", "sustainabilityurl":null, "hoursmon":"Please Call", "longitude":"-82.357514", "uid":1182192337, "retailerlinkurl":null, "hourssat":"Please Call", "clientkey":"45206", "name":"Spectrum Communications", "locationlinkurl":null, "address1":"1361 Confederation St", "icon":"preferred", "bho":null, "_distanceuom":"mile", "hourssun":"Please Call", "computers":"N", "cfl":"N", "regionalimageurl":null, "city":"Sarnia", "singleuse":"Y", "fax":null, "country":"CA", "logourl":"http://www.call2recycle.org/notpress/where2getit/call2recycle.png", "phone":"519-332-4224", "address2":null, "locationimageurl":null, "_distance":"13.39",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</si>
  <si>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"latitude":"42.8141918309859", "url":null, "postalcode":"N0N 1K0", "province":"ON", "sustainabilityurl":null, "hoursmon":"Please Call", "longitude":"-81.9824474647887", "uid":1044141407, "retailerlinkurl":null, "hourssat":"Please Call", "clientkey":"96431", "name":"Gregs Electronics", "locationlinkurl":null, "address1":"3139 Inwood Rd", "icon":"preferred", "bho":null, "_distanceuom":"mile", "hourssun":"Please Call", "computers":"N", "cfl":"N", "regionalimageurl":null, "city":"Inwood", "singleuse":"Y", "fax":null, "country":"CA", "logourl":"http://www.call2recycle.org/notpress/where2getit/call2recycle.png", "phone":"519-844-2442", "address2":null, "locationimageurl":null, "_distance":"14.36",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</si>
  <si>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"latitude":"42.9590421810257", "url":null, "postalcode":"N0N 1T0", "province":"ON", "sustainabilityurl":null, "hoursmon":"Please Call", "longitude":"-82.1184700008745", "uid":1923338464, "retailerlinkurl":null, "hourssat":"Please Call", "clientkey":"105907", "name":"Lambton County Administration Building", "locationlinkurl":null, "address1":"789 Broadway St", "icon":"preferred", "bho":null, "_distanceuom":"mile", "hourssun":"Please Call", "computers":"N", "cfl":"N", "regionalimageurl":null, "city":"Wyoming", "singleuse":"Y", "fax":null, "country":"CA", "logourl":"http://www.call2recycle.org/notpress/where2getit/call2recycle.png", "phone":"519-845-0801", "address2":null, "locationimageurl":null, "_distance":"14.37",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</si>
  <si>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"latitude":"42.98041", "url":null, "postalcode":"N7S 1P6", "province":"ON", "sustainabilityurl":null, "hoursmon":"Please Call", "longitude":"-82.35197", "uid":1690093540, "retailerlinkurl":null, "hourssat":"Please Call", "clientkey":"68009", "name":"Staples", "locationlinkurl":null, "address1":"1379 London Rd", "icon":"preferred", "bho":null, "_distanceuom":"mile", "hourssun":"Please Call", "computers":"N", "cfl":"N", "regionalimageurl":null, "city":"Sarnia", "singleuse":"Y", "fax":null, "country":"CA", "logourl":"http://www.call2recycle.org/notpress/where2getit/staples.png", "phone":"519-542-4461", "address2":null, "locationimageurl":null, "_distance":"14.61",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</si>
  <si>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"latitude":"42.98041", "url":null, "postalcode":"N7S 1P6", "province":"ON", "sustainabilityurl":null, "hoursmon":"Please Call", "longitude":"-82.35197", "uid":-1390063782, "retailerlinkurl":null, "hourssat":"Please Call", "clientkey":"159752", "name":"Staples Canada", "locationlinkurl":null, "address1":"1379 London Rd Unit 2", "icon":"preferred", "bho":null, "_distanceuom":"mile", "hourssun":"Please Call", "computers":"N", "cfl":"N", "regionalimageurl":null, "city":"Sarnia", "singleuse":"Y", "fax":null, "country":"CA", "logourl":"http://www.call2recycle.org/notpress/where2getit/staples.png", "phone":"519-542-3639", "address2":null, "locationimageurl":null, "_distance":"14.61",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</si>
  <si>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"latitude":"42.9803011111111", "url":"http://www.thesource.ca", "postalcode":"N7S 1P8", "province":"ON", "sustainabilityurl":"http://www.thesource.ca/sitelets/jobs/environment.asp", "hoursmon":"Please Call", "longitude":"-82.3531288888889", "uid":1182173663, "retailerlinkurl":null, "hourssat":"Please Call", "clientkey":"624", "name":"The Source", "locationlinkurl":null, "address1":"1380 London Rd", "icon":"normal", "bho":null, "_distanceuom":"mile", "hourssun":"Please Call", "computers":"N", "cfl":"N", "regionalimageurl":null, "city":"Sarnia", "singleuse":"Y", "fax":null, "country":"CA", "logourl":"http://www.call2recycle.org/notpress/where2getit/thesource.png", "phone":"519-541-9543", "address2":null, "locationimageurl":null, "_distance":"14.62",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</si>
  <si>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"latitude":"42.9803011111111", "url":null, "postalcode":"N7S 6L7", "province":"ON", "sustainabilityurl":null, "hoursmon":"Please Call", "longitude":"-82.3531288888889", "uid":412422153, "retailerlinkurl":null, "hourssat":"Please Call", "clientkey":"75461", "name":"Sears (Canada)", "locationlinkurl":null, "address1":"1380 London Rd", "icon":"normal", "bho":null, "_distanceuom":"mile", "hourssun":"Please Call", "computers":"N", "cfl":"N", "regionalimageurl":null, "city":"Sarnia", "singleuse":"Y", "fax":null, "country":"CA", "logourl":"http://www.call2recycle.org/notpress/where2getit/sears.png", "phone":"519-542-2121", "address2":null, "locationimageurl":null, "_distance":"14.62",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</si>
  <si>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"latitude":"42.4152357142857", "url":"http://www.thesource.ca", "postalcode":"N7L 3K5", "province":"ON", "sustainabilityurl":"http://www.thesource.ca/sitelets/jobs/environment.asp", "hoursmon":"Please Call", "longitude":"-82.2002357142857", "uid":1182180627, "retailerlinkurl":null, "hourssat":"Please Call", "clientkey":"501", "name":"The Source", "locationlinkurl":null, "address1":"412 St Clair St", "icon":"normal", "bho":null, "_distanceuom":"mile", "hourssun":"Please Call", "computers":"N", "cfl":"N", "regionalimageurl":null, "city":"Chatham", "singleuse":"Y", "fax":null, "country":"CA", "logourl":"http://www.call2recycle.org/notpress/where2getit/thesource.png", "phone":"519-351-4001", "address2":null, "locationimageurl":null, "_distance":"7.34",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</si>
  <si>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"latitude":"42.4068083", "url":null, "postalcode":"N7L 1B5", "province":"ON", "sustainabilityurl":null, "hoursmon":"Please Call", "longitude":"-82.1923201", "uid":400726521, "retailerlinkurl":null, "hourssat":"Please Call", "clientkey":"157936", "name":"ListenUp! Canada", "locationlinkurl":null, "address1":"42 Grand Ave W", "icon":"normal", "bho":null, "_distanceuom":"mile", "hourssun":"Please Call", "computers":"N", "cfl":"N", "regionalimageurl":null, "city":"Chatham", "singleuse":"Y", "fax":null, "country":"CA", "logourl":"http://www.call2recycle.org/notpress/where2getit/call2recycle.png", "phone":"519-351-1810", "address2":null, "locationimageurl":null, "_distance":"7.37",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</si>
  <si>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"latitude":"42.4294472916667", "url":null, "postalcode":"N7L 0E8", "province":"ON", "sustainabilityurl":null, "hoursmon":"Please Call", "longitude":"-82.2177283333333", "uid":1947850375, "retailerlinkurl":null, "hourssat":"Please Call", "clientkey":"68054", "name":"Staples", "locationlinkurl":null, "address1":"788 St Clair St", "icon":"preferred", "bho":null, "_distanceuom":"mile", "hourssun":"Please Call", "computers":"N", "cfl":"N", "regionalimageurl":null, "city":"Chatham", "singleuse":"Y", "fax":null, "country":"CA", "logourl":"http://www.call2recycle.org/notpress/where2getit/staples.png", "phone":"519-360-1344", "address2":null, "locationimageurl":null, "_distance":"7.62",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</si>
  <si>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"latitude":"42.432877979798", "url":null, "postalcode":"N7M 5J1", "province":"ON", "sustainabilityurl":null, "hoursmon":"Please Call", "longitude":"-82.2240496969697", "uid":-1825702053, "retailerlinkurl":null, "hourssat":"Please Call", "clientkey":"94843", "name":"Home Depot", "locationlinkurl":null, "address1":"8582 Pioneer Line", "icon":"preferred", "bho":null, "_distanceuom":"mile", "hourssun":"Please Call", "computers":"N", "cfl":"N", "regionalimageurl":null, "city":"Chatham", "singleuse":"Y", "fax":null, "country":"CA", "logourl":"http://www.call2recycle.org/notpress/where2getit/homedepot.png", "phone":"519-380-2040", "address2":null, "locationimageurl":null, "_distance":"7.82",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</si>
  <si>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"latitude":"42.3907847058824", "url":null, "postalcode":"N7M 3H1", "province":"ON", "sustainabilityurl":null, "hoursmon":"Please Call", "longitude":"-82.2059329411765", "uid":-1366162020, "retailerlinkurl":null, "hourssat":"Please Call", "clientkey":"113408", "name":"Chatham-Kent Home Hardware Bldg Ctr", "locationlinkurl":null, "address1":"124 Keil Dr S", "icon":"preferred", "bho":null, "_distanceuom":"mile", "hourssun":"Please Call", "computers":"N", "cfl":"N", "regionalimageurl":null, "city":"Chatham", "singleuse":"Y", "fax":null, "country":"CA", "logourl":"http://www.call2recycle.org/notpress/where2getit/call2recycle.png", "phone":"519-354-0700", "address2":null, "locationimageurl":null, "_distance":"8.63", "inktoner":"N", "nationalinkurl":null, "regionallinkurl":null, "cellphones":"Y", "hourstues":"Please Call", "consumerelectronics":"N", "hourswed":"Please Call", "rank":"1"</t>
  </si>
  <si>
    <t xml:space="preserve">        "collectioncount":1,</t>
  </si>
  <si>
    <t xml:space="preserve">            "rechargeable": "Y", "nationalimageurl":null, "glasses":"N", "hoursthurs":"Please Call", "state":null, "retailerimageurl":null, "hoursfri":"Please Call", "acceptedmaterialsurl":null, "latitude":"42.3907847058824", "url":null, "postalcode":"N7M 3H1", "province":"ON", "sustainabilityurl":null, "hoursmon":"Please Call", "longitude":"-82.2059329411765", "uid":-1366162020, "retailerlinkurl":null, "hourssat":"Please Call", "clientkey":"113408", "name":"Chatham-Kent Home Hardware Bldg Ctr", "locationlinkurl":null, "address1":"124 Keil Dr S", "icon":"preferred", "bho":null, "_distanceuom":"mile", "hourssun":"Please Call", "computers":"N", "cfl":"N", "regionalimageurl":null, "city":"Chatham", "singleuse":"Y", "fax":null, "country":"CA", "logourl":"http://www.call2recycle.org/notpress/where2getit/call2recycle.png", "phone":"519-354-0700", "address2":null, "locationimageurl":null, "_distance":"14.57", "inktoner":"N", "nationalinkurl":null, "regionallinkurl":null, "cellphones":"Y", "hourstues":"Please Call", "consumerelectronics":"N", "hourswed":"Please Call", "rank":"1"</t>
  </si>
  <si>
    <t xml:space="preserve">        "collectioncount":9,</t>
  </si>
  <si>
    <t xml:space="preserve">            "rechargeable": "Y", "nationalimageurl":null, "glasses":"N", "hoursthurs":"Please Call", "state":null, "retailerimageurl":null, "hoursfri":"Please Call", "acceptedmaterialsurl":null, "latitude":"42.0384704540773", "url":null, "postalcode":"N9Y 1A7", "province":"ON", "sustainabilityurl":null, "hoursmon":"Please Call", "longitude":"-82.7256786274688", "uid":502592012, "retailerlinkurl":null, "hourssat":"Please Call", "clientkey":"157960", "name":"ListenUp! Canada", "locationlinkurl":null, "address1":"313 Main St E", "icon":"normal", "bho":null, "_distanceuom":"mile", "hourssun":"Please Call", "computers":"N", "cfl":"N", "regionalimageurl":null, "city":"Kingsville", "singleuse":"Y", "fax":null, "country":"CA", "logourl":"http://www.call2recycle.org/notpress/where2getit/call2recycle.png", "phone":"519-733-3331", "address2":null, "locationimageurl":null, "_distance":"8.69",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</si>
  <si>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"latitude":"42.2899317647059", "url":null, "postalcode":"N0R 1A0", "province":"ON", "sustainabilityurl":null, "hoursmon":"Please Call", "longitude":"-82.7344741176471", "uid":221388796, "retailerlinkurl":null, "hourssat":"Please Call", "clientkey":"149420", "name":"Ontario Clean Water Agency - Essex East (North) Hub", "locationlinkurl":null, "address1":"276 Rourke Line", "icon":"preferred", "bho":null, "_distanceuom":"mile", "hourssun":"Please Call", "computers":"N", "cfl":"N", "regionalimageurl":null, "city":"Belle River", "singleuse":"Y", "fax":null, "country":"CA", "logourl":"http://www.call2recycle.org/notpress/where2getit/call2recycle.png", "phone":"519-727-6256", "address2":null, "locationimageurl":null, "_distance":"8.87",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</si>
  <si>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"latitude":"42.0475540404885", "url":"http://www.rona.ca", "postalcode":"N8H 4H3", "province":"ON", "sustainabilityurl":"http://www.rona.ca/corporate/corporate-responsibility", "hoursmon":"Please Call", "longitude":"-82.6224780931071", "uid":-473872937, "retailerlinkurl":null, "hourssat":"Please Call", "clientkey":"123603", "name":"RONA", "locationlinkurl":null, "address1":"274 Talbot St W", "icon":"normal", "bho":null, "_distanceuom":"mile", "hourssun":"Please Call", "computers":"N", "cfl":"Y", "regionalimageurl":null, "city":"Leamington", "singleuse":"Y", "fax":null, "country":"CA", "logourl":"http://www.call2recycle.org/notpress/where2getit/rona.png", "phone":"519-322-4908", "address2":null, "locationimageurl":null, "_distance":"9.05",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</si>
  <si>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"latitude":"42.0376591564033", "url":"http://www.thesource.ca", "postalcode":"N8H 3C4", "province":"ON", "sustainabilityurl":"http://www.thesource.ca/sitelets/jobs/environment.asp", "hoursmon":"Please Call", "longitude":"-82.6008447851261", "uid":921156581, "retailerlinkurl":null, "hourssat":"Please Call", "clientkey":"75692", "name":"The Source", "locationlinkurl":null, "address1":"275 Erie St S.", "icon":"preferred", "bho":null, "_distanceuom":"mile", "hourssun":"Please Call", "computers":"N", "cfl":"N", "regionalimageurl":null, "city":"Leamington", "singleuse":"Y", "fax":null, "country":"CA", "logourl":"http://www.call2recycle.org/notpress/where2getit/thesource.png", "phone":"519-326-5009", "address2":null, "locationimageurl":null, "_distance":"10.19",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</si>
  <si>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"latitude":"42.0337584782609", "url":null, "postalcode":"N8H 2L2", "province":"ON", "sustainabilityurl":null, "hoursmon":"Please Call", "longitude":"-82.5972702173913", "uid":1724594267, "retailerlinkurl":null, "hourssat":"Please Call", "clientkey":"126716", "name":"Staples", "locationlinkurl":null, "address1":"16 Seacliff Dr E", "icon":"preferred", "bho":null, "_distanceuom":"mile", "hourssun":"Please Call", "computers":"N", "cfl":"N", "regionalimageurl":null, "city":"Leamington", "singleuse":"Y", "fax":null, "country":"CA", "logourl":"http://www.call2recycle.org/notpress/where2getit/staples.png", "phone":"519-324-1370", "address2":null, "locationimageurl":null, "_distance":"10.52",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</si>
  <si>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"latitude":"42.307187272484", "url":"http://www.thesource.ca", "postalcode":"N9K 1C7", "province":"ON", "sustainabilityurl":"http://www.thesource.ca/sitelets/jobs/environment.asp", "hoursmon":"Please Call", "longitude":"-82.8677227087863", "uid":1182182452, "retailerlinkurl":null, "hourssat":"Please Call", "clientkey":"75796", "name":"The Source", "locationlinkurl":null, "address1":"25 Amy Croft Dr Unit 15", "icon":"preferred", "bho":null, "_distanceuom":"mile", "hourssun":"Please Call", "computers":"N", "cfl":"N", "regionalimageurl":null, "city":"Windsor", "singleuse":"Y", "fax":null, "country":"CA", "logourl":"http://www.call2recycle.org/notpress/where2getit/thesource.png", "phone":"519-735-6131", "address2":null, "locationimageurl":null, "_distance":"12.96",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</si>
  <si>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"latitude":"42.30635875", "url":null, "postalcode":"N8N 1Y3", "province":"ON", "sustainabilityurl":null, "hoursmon":"Please Call", "longitude":"-82.8849108333333", "uid":400726401, "retailerlinkurl":null, "hourssat":"Please Call", "clientkey":"157941", "name":"ListenUp! Canada", "locationlinkurl":null, "address1":"1614 Lesperance Rd", "icon":"normal", "bho":null, "_distanceuom":"mile", "hourssun":"Please Call", "computers":"N", "cfl":"N", "regionalimageurl":null, "city":"Tecumseh", "singleuse":"Y", "fax":null, "country":"CA", "logourl":"http://www.call2recycle.org/notpress/where2getit/call2recycle.png", "phone":"519-735-6966", "address2":null, "locationimageurl":null, "_distance":"13.50",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</si>
  <si>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"latitude":"42.2986560494708", "url":null, "postalcode":"N8T 0A3", "province":"ON", "sustainabilityurl":null, "hoursmon":"Please Call", "longitude":"-82.9251618054316", "uid":677051370, "retailerlinkurl":null, "hourssat":"Please Call", "clientkey":"169740", "name":"Princess Auto", "locationlinkurl":null, "address1":"3575 Forest Glade Dr", "icon":"normal", "bho":null, "_distanceuom":"mile", "hourssun":"Please Call", "computers":"N", "cfl":"N", "regionalimageurl":null, "city":"Windsor", "singleuse":"Y", "fax":null, "country":"CA", "logourl":"http://www.call2recycle.org/notpress/where2getit/PrincessAuto_150x150.png", "phone":"519-974-1261", "address2":null, "locationimageurl":null, "_distance":"14.64",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</si>
  <si>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"latitude":"42.2549034080717", "url":null, "postalcode":"N8W 3T6", "province":"ON", "sustainabilityurl":null, "hoursmon":"Please Call", "longitude":"-82.9641382959641", "uid":1645740537, "retailerlinkurl":null, "hourssat":"Please Call", "clientkey":"134805", "name":"Staples", "locationlinkurl":null, "address1":"4511 Walker Rd",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"phone":"519-972-5127", "address2":null, "locationimageurl":null, "_distance":"14.70", "inktoner":"N", "nationalinkurl":null, "regionallinkurl":null, "cellphones":"Y", "hourstues":"Please Call", "consumerelectronics":"N", "hourswed":"Please Call", "rank":"1"</t>
  </si>
  <si>
    <t xml:space="preserve">        "collectioncount":22,</t>
  </si>
  <si>
    <t xml:space="preserve">            "rechargeable": "Y", "nationalimageurl":null, "glasses":"N", "hoursthurs":"Please Call", "state":null, "retailerimageurl":null, "hoursfri":"Please Call", "acceptedmaterialsurl":null, "latitude":"42.2549034080717", "url":null, "postalcode":"N8W 3T6", "province":"ON", "sustainabilityurl":null, "hoursmon":"Please Call", "longitude":"-82.9641382959641", "uid":1645740537, "retailerlinkurl":null, "hourssat":"Please Call", "clientkey":"134805", "name":"Staples", "locationlinkurl":null, "address1":"4511 Walker Rd",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"phone":"519-972-5127", "address2":null, "locationimageurl":null, "_distance":"7.02",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</si>
  <si>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"latitude":"42.2623589795918", "url":null, "postalcode":"N8W 1Z7", "province":"ON", "sustainabilityurl":null, "hoursmon":"Please Call", "longitude":"-82.973536122449", "uid":1997567050, "retailerlinkurl":null, "hourssat":"Please Call", "clientkey":"129690", "name":"Home Depot", "locationlinkurl":null, "address1":"1925 Division Road", "icon":"preferred", "bho":null, "_distanceuom":"mile", "hourssun":"Please Call", "computers":"N", "cfl":"N", "regionalimageurl":null, "city":"Windsor", "singleuse":"Y", "fax":null, "country":"CA", "logourl":"http://www.call2recycle.org/notpress/where2getit/homedepot.png", "phone":"519-967-3700", "address2":null, "locationimageurl":null, "_distance":"7.63",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</si>
  <si>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"latitude":"42.2742911889364", "url":null, "postalcode":"N8X 3Y7", "province":"ON", "sustainabilityurl":null, "hoursmon":"Please Call", "longitude":"-83.0051525767869", "uid":1803454067, "retailerlinkurl":null, "hourssat":"Please Call", "clientkey":"41331", "name":"Sears (Canada)", "locationlinkurl":null, "address1":"3050 Howard Ave", "icon":"normal", "bho":null, "_distanceuom":"mile", "hourssun":"Please Call", "computers":"N", "cfl":"N", "regionalimageurl":null, "city":"Windsor", "singleuse":"Y", "fax":null, "country":"CA", "logourl":"http://www.call2recycle.org/notpress/where2getit/sears.png", "phone":"519-966-2822", "address2":null, "locationimageurl":null, "_distance":"8.94",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</si>
  <si>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"latitude":"42.28679", "url":null, "postalcode":"N8N 2M1", "province":"ON", "sustainabilityurl":null, "hoursmon":"Please Call", "longitude":"-82.95502", "uid":636392825, "retailerlinkurl":null, "hourssat":"Please Call", "clientkey":"169585", "name":"Franklin Empire", "locationlinkurl":null, "address1":"5950 Rhodes Dr RR 2", "icon":"normal", "bho":null, "_distanceuom":"mile", "hourssun":"Please Call", "computers":"N", "cfl":"N", "regionalimageurl":null, "city":"Windsor", "singleuse":"Y", "fax":null, "country":"CA", "logourl":"http://www.call2recycle.org/notpress/where2getit/call2recycle.png", "phone":"519-945-7550", "address2":null, "locationimageurl":null, "_distance":"9.13",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</si>
  <si>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"latitude":"42.09741", "url":"http://www.thesource.ca", "postalcode":"N9V 3L4", "province":"ON", "sustainabilityurl":"http://www.thesource.ca/sitelets/jobs/environment.asp", "hoursmon":"Please Call", "longitude":"-83.10814", "uid":54344508, "retailerlinkurl":null, "hourssat":"Please Call", "clientkey":"470", "name":"The Source", "locationlinkurl":null, "address1":"400 Sandwich St S Unit 200", "icon":"preferred", "bho":null, "_distanceuom":"mile", "hourssun":"Please Call", "computers":"N", "cfl":"N", "regionalimageurl":null, "city":"Amherstburg", "singleuse":"Y", "fax":null, "country":"CA", "logourl":"http://www.call2recycle.org/notpress/where2getit/thesource.png", "phone":"519-736-7153", "address2":null, "locationimageurl":null, "_distance":"9.69",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</si>
  <si>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"latitude":"42.093229349766", "url":null, "postalcode":"N9V 3R2", "province":"ON", "sustainabilityurl":null, "hoursmon":"Please Call", "longitude":"-83.1077009589504", "uid":959133338, "retailerlinkurl":null, "hourssat":"Please Call", "clientkey":"170895", "name":"The Corporation of the Town of Amherstburg", "locationlinkurl":null, "address1":"512 Sandwich St S", "icon":"preferred", "bho":null, "_distanceuom":"mile", "hourssun":"Please Call", "computers":"N", "cfl":"N", "regionalimageurl":null, "city":"Amherstburg", "singleuse":"Y", "fax":null, "country":"CA", "logourl":"http://www.call2recycle.org/notpress/where2getit/call2recycle.png", "phone":"519-736-3664", "address2":null, "locationimageurl":null, "_distance":"9.79",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</si>
  <si>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"latitude":"42.2851328123105", "url":null, "postalcode":"N8X 1L7", "province":"ON", "sustainabilityurl":null, "hoursmon":"Please Call", "longitude":"-83.0182925347012", "uid":1707706651, "retailerlinkurl":null, "hourssat":"Please Call", "clientkey":"67952", "name":"Staples", "locationlinkurl":null, "address1":"2550 Ouellette Ave",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"phone":"519-966-9495", "address2":null, "locationimageurl":null, "_distance":"9.90",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</si>
  <si>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"latitude":"42.2986560494708", "url":null, "postalcode":"N8T 0A3", "province":"ON", "sustainabilityurl":null, "hoursmon":"Please Call", "longitude":"-82.9251618054316", "uid":677051370, "retailerlinkurl":null, "hourssat":"Please Call", "clientkey":"169740", "name":"Princess Auto", "locationlinkurl":null, "address1":"3575 Forest Glade Dr", "icon":"normal", "bho":null, "_distanceuom":"mile", "hourssun":"Please Call", "computers":"N", "cfl":"N", "regionalimageurl":null, "city":"Windsor", "singleuse":"Y", "fax":null, "country":"CA", "logourl":"http://www.call2recycle.org/notpress/where2getit/PrincessAuto_150x150.png", "phone":"519-974-1261", "address2":null, "locationimageurl":null, "_distance":"9.91",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</si>
  <si>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"latitude":"42.2793168548387", "url":null, "postalcode":"N9C 3R5", "province":"ON", "sustainabilityurl":null, "hoursmon":"Please Call", "longitude":"-83.0554799193548", "uid":-1390064227, "retailerlinkurl":null, "hourssat":"Please Call", "clientkey":"58703", "name":"Kelcom (H.O.)", "locationlinkurl":null, "address1":"1983 Ambassador Dr", "icon":"preferred", "bho":null, "_distanceuom":"mile", "hourssun":"Please Call", "computers":"N", "cfl":"N", "regionalimageurl":null, "city":"Windsor", "singleuse":"Y", "fax":null, "country":"CA", "logourl":"http://www.call2recycle.org/notpress/where2getit/call2recycle.png", "phone":"519-250-9100", "address2":null, "locationimageurl":null, "_distance":"10.52",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</si>
  <si>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"latitude":"42.3088938718444", "url":null, "postalcode":"N9A 6J3", "province":"ON", "sustainabilityurl":null, "hoursmon":"Please Call", "longitude":"-82.9474942723306", "uid":1182194458, "retailerlinkurl":null, "hourssat":"Please Call", "clientkey":"129798", "name":"Batteries and More", "locationlinkurl":null, "address1":"6314 Thornberry Cresant", "icon":"preferred", "bho":null, "_distanceuom":"mile", "hourssun":"Please Call", "computers":"N", "cfl":"N", "regionalimageurl":null, "city":"Windsor", "singleuse":"Y", "fax":null, "country":"CA", "logourl":"http://www.call2recycle.org/notpress/where2getit/call2recycle.png", "phone":"519-962-7737", "address2":null, "locationimageurl":null, "_distance":"10.62",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</si>
  <si>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"hoursthurs":"9am - 5pm", "state":null, "retailerimageurl":null, "hoursfri":"9am - 5pm", "acceptedmaterialsurl":null, "latitude":"42.29867", "url":null, "postalcode":"N8X 2S2", "province":"ON", "sustainabilityurl":null, "hoursmon":"Closed", "longitude":"-83.01356", "uid":639478145, "retailerlinkurl":null, "hourssat":"9am to 12noon", "clientkey":"169601", "name":"Appliance Medic", "locationlinkurl":null, "address1":"766 Tecumseh Rd E", "icon":"preferred", "bho":null, "_distanceuom":"mile", "hourssun":"Closed", "computers":"N", "cfl":"N", "regionalimageurl":null, "city":"Windsor", "singleuse":"Y", "fax":null, "country":"CA", "logourl":"http://www.call2recycle.org/notpress/where2getit/call2recycle.png", "phone":"519-252-1500", "address2":null, "locationimageurl":null, "_distance":"10.66", "inktoner":"N", "nationalinkurl":null, "regionallinkurl":null, "cellphones":"Y", "hourstues":"9am - 5pm", "consumerelectronics":"N", "hourswed":"9am - 5pm", "rank":"1"</t>
  </si>
  <si>
    <t xml:space="preserve">            "rechargeable": "Y", "nationalimageurl":null, "glasses":"N", "hoursthurs":"Please Call", "state":null, "retailerimageurl":null, "hoursfri":"Please Call", "acceptedmaterialsurl":null, "latitude":"42.2982581203008", "url":null, "postalcode":"N8X 4X9", "province":"ON", "sustainabilityurl":null, "hoursmon":"Please Call", "longitude":"-83.0157816541353", "uid":554517449, "retailerlinkurl":null, "hourssat":"Please Call", "clientkey":"158001", "name":"ListenUp! Canada", "locationlinkurl":null, "address1":"Medical Building 600 Tecumseh Rd E", "icon":"normal", "bho":null, "_distanceuom":"mile", "hourssun":"Please Call", "computers":"N", "cfl":"N", "regionalimageurl":null, "city":"Windsor", "singleuse":"Y", "fax":null, "country":"CA", "logourl":"http://www.call2recycle.org/notpress/where2getit/call2recycle.png", "phone":"519-256-6868", "address2":null, "locationimageurl":null, "_distance":"10.68",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</si>
  <si>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"latitude":"42.30635875", "url":null, "postalcode":"N8N 1Y3", "province":"ON", "sustainabilityurl":null, "hoursmon":"Please Call", "longitude":"-82.8849108333333", "uid":400726401, "retailerlinkurl":null, "hourssat":"Please Call", "clientkey":"157941", "name":"ListenUp! Canada", "locationlinkurl":null, "address1":"1614 Lesperance Rd", "icon":"normal", "bho":null, "_distanceuom":"mile", "hourssun":"Please Call", "computers":"N", "cfl":"N", "regionalimageurl":null, "city":"Tecumseh", "singleuse":"Y", "fax":null, "country":"CA", "logourl":"http://www.call2recycle.org/notpress/where2getit/call2recycle.png", "phone":"519-735-6966", "address2":null, "locationimageurl":null, "_distance":"10.75",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</si>
  <si>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"latitude":"42.3115110344828", "url":null, "postalcode":"N8T 1E6", "province":"ON", "sustainabilityurl":null, "hoursmon":"Please Call", "longitude":"-82.9461636781609", "uid":2071210242, "retailerlinkurl":null, "hourssat":"Please Call", "clientkey":"78353", "name":"Home Depot", "locationlinkurl":null, "address1":"6570 Tecumseh Rd E", "icon":"preferred", "bho":null, "_distanceuom":"mile", "hourssun":"Please Call", "computers":"N", "cfl":"N", "regionalimageurl":null, "city":"Windsor", "singleuse":"Y", "fax":null, "country":"CA", "logourl":"http://www.call2recycle.org/notpress/where2getit/homedepot.png", "phone":"519-974-5420", "address2":null, "locationimageurl":null, "_distance":"10.80",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</si>
  <si>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"latitude":"42.31242", "url":null, "postalcode":"N8T 1E6", "province":"ON", "sustainabilityurl":null, "hoursmon":"Please Call", "longitude":"-82.94135", "uid":1870813189, "retailerlinkurl":null, "hourssat":"Please Call", "clientkey":"67950", "name":"Staples", "locationlinkurl":null, "address1":"7126 Tecumseh Rd E", "icon":"preferred", "bho":null, "_distanceuom":"mile", "hourssun":"Please Call", "computers":"N", "cfl":"N", "regionalimageurl":null, "city":"Windsor", "singleuse":"Y", "fax":null, "country":"CA", "logourl":"http://www.call2recycle.org/notpress/where2getit/staples.png", "phone":"519-948-1283", "address2":null, "locationimageurl":null, "_distance":"10.85",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</si>
  <si>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"latitude":"42.307187272484", "url":"http://www.thesource.ca", "postalcode":"N9K 1C7", "province":"ON", "sustainabilityurl":"http://www.thesource.ca/sitelets/jobs/environment.asp", "hoursmon":"Please Call", "longitude":"-82.8677227087863", "uid":1182182452, "retailerlinkurl":null, "hourssat":"Please Call", "clientkey":"75796", "name":"The Source", "locationlinkurl":null, "address1":"25 Amy Croft Dr Unit 15", "icon":"preferred", "bho":null, "_distanceuom":"mile", "hourssun":"Please Call", "computers":"N", "cfl":"N", "regionalimageurl":null, "city":"Windsor", "singleuse":"Y", "fax":null, "country":"CA", "logourl":"http://www.call2recycle.org/notpress/where2getit/thesource.png", "phone":"519-735-6131", "address2":null, "locationimageurl":null, "_distance":"11.05",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</si>
  <si>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"hoursthurs":"6:00am-10:00pm", "state":"MI", "retailerimageurl":null, "hoursfri":"6:00am-10:00pm", "acceptedmaterialsurl":null, "latitude":"42.1883091835448", "url":"http://www.lowes.com", "postalcode":"48195", "province":null, "sustainabilityurl":"http://responsibility.lowes.com/environment/our-programs/our-mission/", "hoursmon":"6:00am-10:00pm", "longitude":"-83.1925567531649", "uid":1182182070, "retailerlinkurl":null, "hourssat":"6:00am-10:00pm", "clientkey":"69124", "name":"Lowes", "locationlinkurl":null, "address1":"16410 Trenton Rd", "icon":"preferred", "bho":null, "_distanceuom":"mile", "hourssun":"8:00am-8:00pm", "computers":"N", "cfl":"Y", "regionalimageurl":null, "city":"Southgate", "singleuse":"N", "fax":null, "country":"US", "logourl":"http://www.call2recycle.org/notpress/where2getit/lowes.png", "phone":"734-284-6843", "address2":null, "locationimageurl":null, "_distance":"13.33",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</si>
  <si>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"state":"MI", "retailerimageurl":null, "hoursfri":"Please Call", "acceptedmaterialsurl":null, "latitude":"42.32707", "url":null, "postalcode":"48226", "province":null, "sustainabilityurl":null, "hoursmon":"Please Call", "longitude":"-83.05858", "uid":1028681220, "retailerlinkurl":null, "hourssat":"Please Call", "clientkey":"100956", "name":"Grainger", "locationlinkurl":null, "address1":"1201 W Lafayette Blvd", "icon":"preferred", "bho":null, "_distanceuom":"mile", "hourssun":"Please Call", "computers":"N", "cfl":"N", "regionalimageurl":null, "city":"Detroit", "singleuse":"N", "fax":null, "country":"US", "logourl":"http://www.call2recycle.org/notpress/where2getit/call2recycle.png", "phone":"313-965-3500", "address2":null, "locationimageurl":null, "_distance":"13.41",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</si>
  <si>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"latitude":"42.0384704540773", "url":null, "postalcode":"N9Y 1A7", "province":"ON", "sustainabilityurl":null, "hoursmon":"Please Call", "longitude":"-82.7256786274688", "uid":502592012, "retailerlinkurl":null, "hourssat":"Please Call", "clientkey":"157960", "name":"ListenUp! Canada", "locationlinkurl":null, "address1":"313 Main St E", "icon":"normal", "bho":null, "_distanceuom":"mile", "hourssun":"Please Call", "computers":"N", "cfl":"N", "regionalimageurl":null, "city":"Kingsville", "singleuse":"Y", "fax":null, "country":"CA", "logourl":"http://www.call2recycle.org/notpress/where2getit/call2recycle.png", "phone":"519-733-3331", "address2":null, "locationimageurl":null, "_distance":"13.48",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</si>
  <si>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"latitude":"42.2899317647059", "url":null, "postalcode":"N0R 1A0", "province":"ON", "sustainabilityurl":null, "hoursmon":"Please Call", "longitude":"-82.7344741176471", "uid":221388796, "retailerlinkurl":null, "hourssat":"Please Call", "clientkey":"149420", "name":"Ontario Clean Water Agency - Essex East (North) Hub", "locationlinkurl":null, "address1":"276 Rourke Line", "icon":"preferred", "bho":null, "_distanceuom":"mile", "hourssun":"Please Call", "computers":"N", "cfl":"N", "regionalimageurl":null, "city":"Belle River", "singleuse":"Y", "fax":null, "country":"CA", "logourl":"http://www.call2recycle.org/notpress/where2getit/call2recycle.png", "phone":"519-727-6256", "address2":null, "locationimageurl":null, "_distance":"13.88",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</si>
  <si>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"state":"MI", "retailerimageurl":null, "hoursfri":"Please Call", "acceptedmaterialsurl":"http://radioshack.cexchange.com/online/home/index.rails", "latitude":"42.2543057894737", "url":"http://www.radioshack.com", "postalcode":"48146", "province":null, "sustainabilityurl":"http://www.radioshackcorporation.com/citizenship/environment.php", "hoursmon":"Please Call", "longitude":"-83.1912273684211", "uid":116278944, "retailerlinkurl":null, "hourssat":"Please Call", "clientkey":"3189", "name":"RadioShack", "locationlinkurl":null, "address1":"1887 Southfield Rd", "icon":"preferred", "bho":null, "_distanceuom":"mile", "hourssun":"Please Call", "computers":"N", "cfl":"N", "regionalimageurl":null, "city":"Lincoln Park", "singleuse":"N", "fax":null, "country":"US", "logourl":"http://www.call2recycle.org/notpress/where2getit/radioshack.png", "phone":"313-388-1120", "address2":null, "locationimageurl":null, "_distance":"14.74",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</si>
  <si>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"hoursthurs":"6:00am-10:00pm", "state":"MI", "retailerimageurl":null, "hoursfri":"6:00am-10:00pm", "acceptedmaterialsurl":null, "latitude":"42.1393206748466", "url":"http://www.homedepot.com", "postalcode":"48183", "province":null, "sustainabilityurl":"https://corporate.homedepot.com/CorporateResponsibility/Environment/Pages/default.aspx", "hoursmon":"6:00am-10:00pm", "longitude":"-83.2260723312883", "uid":1182196931, "retailerlinkurl":null, "hourssat":"6:00am-10:00pm", "clientkey":"43129", "name":"The Home Depot", "locationlinkurl":null, "address1":"23300 Allen Rd", "icon":"preferred", "bho":null, "_distanceuom":"mile", "hourssun":"8:00am-8:00pm", "computers":"N", "cfl":"Y", "regionalimageurl":null, "city":"Woodhaven", "singleuse":"N", "fax":null, "country":"US", "logourl":"http://www.call2recycle.org/notpress/where2getit/homedepot.png", "phone":"734-671-4400", "address2":null, "locationimageurl":null, "_distance":"14.90",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</si>
  <si>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"state":null, "retailerimageurl":null, "hoursfri":"Please Call", "acceptedmaterialsurl":null, "latitude":"43.83706", "url":null, "postalcode":"N0G 1A0", "province":"ON", "sustainabilityurl":null, "hoursmon":"Please Call", "longitude":"-80.48081", "uid":1064589789, "retailerlinkurl":null, "hourssat":"Please Call", "clientkey":"29152", "name":"Longs Home Hardware Building Center", "locationlinkurl":null, "address1":"RR 3", "icon":"preferred", "bho":null, "_distanceuom":"mile", "hourssun":"Please Call", "computers":"N", "cfl":"N", "regionalimageurl":null, "city":"Arthur", "singleuse":"Y", "fax":null, "country":"CA", "logourl":"http://www.call2recycle.org/notpress/where2getit/call2recycle.png", "phone":"519-848-2444", "address2":null, "locationimageurl":null, "_distance":"3.80",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</si>
  <si>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"latitude":"44.1562580701754", "url":null, "postalcode":"N4N 2V6", "province":"ON", "sustainabilityurl":null, "hoursmon":"Please Call", "longitude":"-81.0243749122807", "uid":341261655, "retailerlinkurl":null, "hourssat":"Please Call", "clientkey":"131831", "name":"Belmatic Battery Systems Inc.", "locationlinkurl":null, "address1":"638 12th Ave Unit 3", "icon":"normal", "bho":null, "_distanceuom":"mile", "hourssun":"Please Call", "computers":"N", "cfl":"N", "regionalimageurl":null, "city":"Hanover", "singleuse":"Y", "fax":null, "country":"CA", "logourl":"http://www.call2recycle.org/notpress/where2getit/call2recycle.png", "phone":"519-364-7029", "address2":null, "locationimageurl":null, "_distance":"20.60",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</si>
  <si>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"latitude":"44.5766641395434", "url":null, "postalcode":"N4K 0E2", "province":"ON", "sustainabilityurl":null, "hoursmon":"Please Call", "longitude":"-80.8997548332625", "uid":677051381, "retailerlinkurl":null, "hourssat":"Please Call", "clientkey":"169752", "name":"Princess Auto", "locationlinkurl":null, "address1":"2125 16th St E", "icon":"preferred", "bho":null, "_distanceuom":"mile", "hourssun":"Please Call", "computers":"N", "cfl":"N", "regionalimageurl":null, "city":"Owen Sound", "singleuse":"Y", "fax":null, "country":"CA", "logourl":"http://www.call2recycle.org/notpress/where2getit/PrincessAuto_150x150.png", "phone":"226-256-8260", "address2":null, "locationimageurl":null, "_distance":"23.92",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</si>
  <si>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"latitude":"44.5756734802963", "url":"http://www.thesource.ca", "postalcode":"N4K 5N3", "province":"ON", "sustainabilityurl":"http://www.thesource.ca/sitelets/jobs/environment.asp", "hoursmon":"Please Call", "longitude":"-80.9084239243326", "uid":1182187678, "retailerlinkurl":null, "hourssat":"Please Call", "clientkey":"572", "name":"The Source", "locationlinkurl":null, "address1":"1979-16th St E Unit E3", "icon":"preferred", "bho":null, "_distanceuom":"mile", "hourssun":"Please Call", "computers":"N", "cfl":"N", "regionalimageurl":null, "city":"Owen Sound", "singleuse":"Y", "fax":null, "country":"CA", "logourl":"http://www.call2recycle.org/notpress/where2getit/thesource.png", "phone":"519-376-5041", "address2":null, "locationimageurl":null, "_distance":"24.09",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</si>
  <si>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"latitude":"44.57018", "url":null, "postalcode":"N4K 5S2", "province":"ON", "sustainabilityurl":null, "hoursmon":"Please Call", "longitude":"-80.92203", "uid":1561147173, "retailerlinkurl":null, "hourssat":"Please Call", "clientkey":"67975", "name":"Staples", "locationlinkurl":null, "address1":"1077 10th St W", "icon":"preferred", "bho":null, "_distanceuom":"mile", "hourssun":"Please Call", "computers":"N", "cfl":"N", "regionalimageurl":null, "city":"Owen Sound", "singleuse":"Y", "fax":null, "country":"CA", "logourl":"http://www.call2recycle.org/notpress/where2getit/staples.png", "phone":"519-372-2228", "address2":null, "locationimageurl":null, "_distance":"24.14",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</si>
  <si>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"latitude":"44.5741628282828", "url":null, "postalcode":"N4K 6N7", "province":"ON", "sustainabilityurl":null, "hoursmon":"Please Call", "longitude":"-80.9216897979798", "uid":533723933, "retailerlinkurl":null, "hourssat":"Please Call", "clientkey":"41339", "name":"Sears (Canada)", "locationlinkurl":null, "address1":"1350 16th St E", "icon":"normal", "bho":null, "_distanceuom":"mile", "hourssun":"Please Call", "computers":"N", "cfl":"N", "regionalimageurl":null, "city":"Owen Sound", "singleuse":"Y", "fax":null, "country":"CA", "logourl":"http://www.call2recycle.org/notpress/where2getit/sears.png", "phone":"519-376-8080", "address2":null, "locationimageurl":null, "_distance":"24.36",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</si>
  <si>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"latitude":"44.5838226929319", "url":null, "postalcode":"N4K 5N3", "province":"ON", "sustainabilityurl":null, "hoursmon":"Please Call", "longitude":"-80.9002807372817", "uid":1182174606, "retailerlinkurl":null, "hourssat":"Please Call", "clientkey":"39449", "name":"City of Owen Sound", "locationlinkurl":null, "address1":"1900 20th St East",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"phone":"519-376-4274", "address2":null, "locationimageurl":null, "_distance":"24.36",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</si>
  <si>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"latitude":"44.5832195483447", "url":null, "postalcode":"N4K 2B5", "province":"ON", "sustainabilityurl":null, "hoursmon":"Please Call", "longitude":"-80.9055115611075", "uid":45496997, "retailerlinkurl":null, "hourssat":"Please Call", "clientkey":"78240", "name":"Home Depot", "locationlinkurl":null, "address1":"1590 20th St E", "icon":"preferred", "bho":null, "_distanceuom":"mile", "hourssun":"Please Call", "computers":"N", "cfl":"N", "regionalimageurl":null, "city":"Owen Sound", "singleuse":"Y", "fax":null, "country":"CA", "logourl":"http://www.call2recycle.org/notpress/where2getit/homedepot.png", "phone":"519-372-3970", "address2":null, "locationimageurl":null, "_distance":"24.45",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</si>
  <si>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"latitude":"44.5652534", "url":"http://www.rona.ca", "postalcode":"N4K 2H3", "province":"ON", "sustainabilityurl":"http://www.rona.ca/corporate/corporate-responsibility", "hoursmon":"Please Call", "longitude":"-80.9430214", "uid":-1353535888, "retailerlinkurl":null, "hourssat":"Please Call", "clientkey":"94514", "name":"RONA", "locationlinkurl":null, "address1":"874 2nd Ave E", "icon":"preferred", "bho":null, "_distanceuom":"mile", "hourssun":"Please Call", "computers":"N", "cfl":"Y", "regionalimageurl":null, "city":"Owen Sound", "singleuse":"Y", "fax":null, "country":"CA", "logourl":"http://www.call2recycle.org/notpress/where2getit/rona.png", "phone":"519-376-7729", "address2":null, "locationimageurl":null, "_distance":"24.46",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</si>
  <si>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"latitude":"44.5717094", "url":null, "postalcode":"N4K 2H9", "province":"ON", "sustainabilityurl":null, "hoursmon":"Please Call", "longitude":"-80.9408688", "uid":1182195832, "retailerlinkurl":null, "hourssat":"Please Call", "clientkey":"116156", "name":"Murrays Sharpening &amp; Tool Repair", "locationlinkurl":null, "address1":"1190 2nd Ave E",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"phone":"519-376-2495", "address2":null, "locationimageurl":null, "_distance":"24.76",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</si>
  <si>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"latitude":"44.56692", "url":"http://www.rona.ca", "postalcode":"N4K 5R4", "province":"ON", "sustainabilityurl":"http://www.rona.ca/corporate/corporate-responsibility", "hoursmon":"Please Call", "longitude":"-80.95044", "uid":941812344, "retailerlinkurl":null, "hourssat":"Please Call", "clientkey":"68517", "name":"RONA", "locationlinkurl":null, "address1":"Highway 21 (Springmount)", "icon":"normal", "bho":null, "_distanceuom":"mile", "hourssun":"Please Call", "computers":"N", "cfl":"Y", "regionalimageurl":null, "city":"Owen Sound", "singleuse":"Y", "fax":null, "country":"CA", "logourl":"http://www.call2recycle.org/notpress/where2getit/rona.png", "phone":"519-376-3181", "address2":null, "locationimageurl":null, "_distance":"24.78",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</si>
  <si>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"latitude":"44.56692", "url":"http://www.rona.ca", "postalcode":"N4K 5R4", "province":"ON", "sustainabilityurl":"http://www.rona.ca/corporate/corporate-responsibility", "hoursmon":"Please Call", "longitude":"-80.95044", "uid":941812344, "retailerlinkurl":null, "hourssat":"Please Call", "clientkey":"68517", "name":"RONA", "locationlinkurl":null, "address1":"Highway 21 (Springmount)", "icon":"normal", "bho":null, "_distanceuom":"mile", "hourssun":"Please Call", "computers":"N", "cfl":"Y", "regionalimageurl":null, "city":"Owen Sound", "singleuse":"Y", "fax":null, "country":"CA", "logourl":"http://www.call2recycle.org/notpress/where2getit/rona.png", "phone":"519-376-3181", "address2":null, "locationimageurl":null, "_distance":"16.27",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</si>
  <si>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"latitude":"44.5717094", "url":null, "postalcode":"N4K 2H9", "province":"ON", "sustainabilityurl":null, "hoursmon":"Please Call", "longitude":"-80.9408688", "uid":1182195832, "retailerlinkurl":null, "hourssat":"Please Call", "clientkey":"116156", "name":"Murrays Sharpening &amp; Tool Repair", "locationlinkurl":null, "address1":"1190 2nd Ave E",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"phone":"519-376-2495", "address2":null, "locationimageurl":null, "_distance":"16.37",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</si>
  <si>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"latitude":"44.5652534", "url":"http://www.rona.ca", "postalcode":"N4K 2H3", "province":"ON", "sustainabilityurl":"http://www.rona.ca/corporate/corporate-responsibility", "hoursmon":"Please Call", "longitude":"-80.9430214", "uid":-1353535888, "retailerlinkurl":null, "hourssat":"Please Call", "clientkey":"94514", "name":"RONA", "locationlinkurl":null, "address1":"874 2nd Ave E", "icon":"preferred", "bho":null, "_distanceuom":"mile", "hourssun":"Please Call", "computers":"N", "cfl":"Y", "regionalimageurl":null, "city":"Owen Sound", "singleuse":"Y", "fax":null, "country":"CA", "logourl":"http://www.call2recycle.org/notpress/where2getit/rona.png", "phone":"519-376-7729", "address2":null, "locationimageurl":null, "_distance":"16.61",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</si>
  <si>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"latitude":"44.5741628282828", "url":null, "postalcode":"N4K 6N7", "province":"ON", "sustainabilityurl":null, "hoursmon":"Please Call", "longitude":"-80.9216897979798", "uid":533723933, "retailerlinkurl":null, "hourssat":"Please Call", "clientkey":"41339", "name":"Sears (Canada)", "locationlinkurl":null, "address1":"1350 16th St E", "icon":"normal", "bho":null, "_distanceuom":"mile", "hourssun":"Please Call", "computers":"N", "cfl":"N", "regionalimageurl":null, "city":"Owen Sound", "singleuse":"Y", "fax":null, "country":"CA", "logourl":"http://www.call2recycle.org/notpress/where2getit/sears.png", "phone":"519-376-8080", "address2":null, "locationimageurl":null, "_distance":"16.96",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</si>
  <si>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"latitude":"44.57018", "url":null, "postalcode":"N4K 5S2", "province":"ON", "sustainabilityurl":null, "hoursmon":"Please Call", "longitude":"-80.92203", "uid":1561147173, "retailerlinkurl":null, "hourssat":"Please Call", "clientkey":"67975", "name":"Staples", "locationlinkurl":null, "address1":"1077 10th St W", "icon":"preferred", "bho":null, "_distanceuom":"mile", "hourssun":"Please Call", "computers":"N", "cfl":"N", "regionalimageurl":null, "city":"Owen Sound", "singleuse":"Y", "fax":null, "country":"CA", "logourl":"http://www.call2recycle.org/notpress/where2getit/staples.png", "phone":"519-372-2228", "address2":null, "locationimageurl":null, "_distance":"17.13",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</si>
  <si>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"latitude":"44.5832195483447", "url":null, "postalcode":"N4K 2B5", "province":"ON", "sustainabilityurl":null, "hoursmon":"Please Call", "longitude":"-80.9055115611075", "uid":45496997, "retailerlinkurl":null, "hourssat":"Please Call", "clientkey":"78240", "name":"Home Depot", "locationlinkurl":null, "address1":"1590 20th St E", "icon":"preferred", "bho":null, "_distanceuom":"mile", "hourssun":"Please Call", "computers":"N", "cfl":"N", "regionalimageurl":null, "city":"Owen Sound", "singleuse":"Y", "fax":null, "country":"CA", "logourl":"http://www.call2recycle.org/notpress/where2getit/homedepot.png", "phone":"519-372-3970", "address2":null, "locationimageurl":null, "_distance":"17.18",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</si>
  <si>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"latitude":"44.5838226929319", "url":null, "postalcode":"N4K 5N3", "province":"ON", "sustainabilityurl":null, "hoursmon":"Please Call", "longitude":"-80.9002807372817", "uid":1182174606, "retailerlinkurl":null, "hourssat":"Please Call", "clientkey":"39449", "name":"City of Owen Sound", "locationlinkurl":null, "address1":"1900 20th St East", "icon":"preferred", "bho":null, "_distanceuom":"mile", "hourssun":"Please Call", "computers":"N", "cfl":"N", "regionalimageurl":null, "city":"Owen Sound", "singleuse":"Y", "fax":null, "country":"CA", "logourl":"http://www.call2recycle.org/notpress/where2getit/call2recycle.png", "phone":"519-376-4274", "address2":null, "locationimageurl":null, "_distance":"17.36",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</si>
  <si>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"latitude":"44.5756734802963", "url":"http://www.thesource.ca", "postalcode":"N4K 5N3", "province":"ON", "sustainabilityurl":"http://www.thesource.ca/sitelets/jobs/environment.asp", "hoursmon":"Please Call", "longitude":"-80.9084239243326", "uid":1182187678, "retailerlinkurl":null, "hourssat":"Please Call", "clientkey":"572", "name":"The Source", "locationlinkurl":null, "address1":"1979-16th St E Unit E3", "icon":"preferred", "bho":null, "_distanceuom":"mile", "hourssun":"Please Call", "computers":"N", "cfl":"N", "regionalimageurl":null, "city":"Owen Sound", "singleuse":"Y", "fax":null, "country":"CA", "logourl":"http://www.call2recycle.org/notpress/where2getit/thesource.png", "phone":"519-376-5041", "address2":null, "locationimageurl":null, "_distance":"17.39",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</si>
  <si>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"latitude":"44.5766641395434", "url":null, "postalcode":"N4K 0E2", "province":"ON", "sustainabilityurl":null, "hoursmon":"Please Call", "longitude":"-80.8997548332625", "uid":677051381, "retailerlinkurl":null, "hourssat":"Please Call", "clientkey":"169752", "name":"Princess Auto", "locationlinkurl":null, "address1":"2125 16th St E", "icon":"preferred", "bho":null, "_distanceuom":"mile", "hourssun":"Please Call", "computers":"N", "cfl":"N", "regionalimageurl":null, "city":"Owen Sound", "singleuse":"Y", "fax":null, "country":"CA", "logourl":"http://www.call2recycle.org/notpress/where2getit/PrincessAuto_150x150.png", "phone":"226-256-8260", "address2":null, "locationimageurl":null, "_distance":"17.68",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</si>
  <si>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"latitude":"44.42609", "url":"http://www.thesource.ca", "postalcode":"N0H 2C1", "province":"ON", "sustainabilityurl":"http://www.thesource.ca/sitelets/jobs/environment.asp", "hoursmon":"Please Call", "longitude":"-81.39685", "uid":1503277358, "retailerlinkurl":null, "hourssat":"Please Call", "clientkey":"148037", "name":"The Source", "locationlinkurl":null, "address1":"216 Goderich St", "icon":"normal", "bho":null, "_distanceuom":"mile", "hourssun":"Please Call", "computers":"N", "cfl":"N", "regionalimageurl":null, "city":"Port Elgin", "singleuse":"Y", "fax":null, "country":"CA", "logourl":"http://www.call2recycle.org/notpress/where2getit/thesource.png", "phone":"519-832-3100", "address2":null, "locationimageurl":null, "_distance":"23.74",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</si>
  <si>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"latitude":"44.3394913947389", "url":null, "postalcode":"L4N 8V4", "province":"ON", "sustainabilityurl":null, "hoursmon":"Please Call", "longitude":"-79.6907598235247", "uid":677051364, "retailerlinkurl":null, "hourssat":"Please Call", "clientkey":"169717", "name":"Princess Auto", "locationlinkurl":null, "address1":"356 Bryne Dr", "icon":"preferred", "bho":null, "_distanceuom":"mile", "hourssun":"Please Call", "computers":"N", "cfl":"N", "regionalimageurl":null, "city":"Barrie", "singleuse":"Y", "fax":null, "country":"CA", "logourl":"http://www.call2recycle.org/notpress/where2getit/PrincessAuto_150x150.png", "phone":"705-739-0575", "address2":null, "locationimageurl":null, "_distance":"3.82",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</si>
  <si>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"latitude":"44.3345883986964", "url":"http://www.thesource.ca", "postalcode":"L4N 9H5", "province":"ON", "sustainabilityurl":"http://www.thesource.ca/sitelets/jobs/environment.asp", "hoursmon":"Please Call", "longitude":"-79.6883767061378", "uid":1182193357, "retailerlinkurl":null, "hourssat":"Please Call", "clientkey":"35637", "name":"The Source", "locationlinkurl":null, "address1":"33 Mapleview Dr W", "icon":"normal", "bho":null, "_distanceuom":"mile", "hourssun":"Please Call", "computers":"N", "cfl":"N", "regionalimageurl":null, "city":"Barrie", "singleuse":"Y", "fax":null, "country":"CA", "logourl":"http://www.call2recycle.org/notpress/where2getit/thesource.png", "phone":"705-726-6965", "address2":null, "locationimageurl":null, "_distance":"3.90",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</si>
  <si>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"latitude":"44.3378780769231", "url":null, "postalcode":"L4N 8V4", "province":"ON", "sustainabilityurl":null, "hoursmon":"Please Call", "longitude":"-79.68763", "uid":1525169919, "retailerlinkurl":null, "hourssat":"Please Call", "clientkey":"68041", "name":"Staples", "locationlinkurl":null, "address1":"36 Barrie View Dr", "icon":"preferred", "bho":null, "_distanceuom":"mile", "hourssun":"Please Call", "computers":"N", "cfl":"N", "regionalimageurl":null, "city":"Barrie", "singleuse":"Y", "fax":null, "country":"CA", "logourl":"http://www.call2recycle.org/notpress/where2getit/staples.png", "phone":"705-733-3329", "address2":null, "locationimageurl":null, "_distance":"3.96",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</si>
  <si>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"latitude":"44.3555056096924", "url":null, "postalcode":"L4N 8V8", "province":"ON", "sustainabilityurl":null, "hoursmon":"Please Call", "longitude":"-79.6950121487654", "uid":1062266055, "retailerlinkurl":null, "hourssat":"Please Call", "clientkey":"162302", "name":"Mountain Equipment Co-op", "locationlinkurl":null, "address1":"61 Bryne Dr",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"phone":"705-792-4675",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</si>
  <si>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"latitude":"44.3383230769231", "url":null, "postalcode":"L4N 8V4", "province":"ON", "sustainabilityurl":null, "hoursmon":"Please Call", "longitude":"-79.6875", "uid":1182185288, "retailerlinkurl":null, "hourssat":"Please Call", "clientkey":"39393", "name":"Home Depot", "locationlinkurl":null, "address1":"10 Barrie View Drive", "icon":"preferred", "bho":null, "_distanceuom":"mile", "hourssun":"Please Call", "computers":"N", "cfl":"N", "regionalimageurl":null, "city":"Barrie", "singleuse":"Y", "fax":null, "country":"CA", "logourl":"http://www.call2recycle.org/notpress/where2getit/homedepot.png", "phone":"705-733-2800",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</si>
  <si>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"latitude":"44.3368537264172", "url":null, "postalcode":"L4N 6P1", "province":"ON", "sustainabilityurl":null, "hoursmon":"Please Call", "longitude":"-79.6809685624446", "uid":-70786744, "retailerlinkurl":null, "hourssat":"Please Call", "clientkey":"102657", "name":"Henrys", "locationlinkurl":null, "address1":"110 Park Place Blvd", "icon":"normal", "bho":null, "_distanceuom":"mile", "hourssun":"Please Call", "computers":"N", "cfl":"N", "regionalimageurl":null, "city":"Barrie", "singleuse":"Y", "fax":null, "country":"CA", "logourl":"http://www.call2recycle.org/notpress/where2getit/call2recycle.png", "phone":"705-720-2300", "address2":null, "locationimageurl":null, "_distance":"4.28",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</si>
  <si>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"latitude":"44.3364375", "url":"http://www.rona.ca", "postalcode":"L4N 9H5", "province":"ON", "sustainabilityurl":"http://www.rona.ca/corporate/corporate-responsibility", "hoursmon":"Please Call", "longitude":"-79.6802366666667", "uid":1182187040, "retailerlinkurl":null, "hourssat":"Please Call", "clientkey":"121757", "name":"RONA", "locationlinkurl":null, "address1":"61 Mapleview Dr E", "icon":"preferred", "bho":null, "_distanceuom":"mile", "hourssun":"Please Call", "computers":"N", "cfl":"Y", "regionalimageurl":null, "city":"Barrie", "singleuse":"Y", "fax":null, "country":"CA", "logourl":"http://www.call2recycle.org/notpress/where2getit/rona.png", "phone":"705-792-6670", "address2":null, "locationimageurl":null, "_distance":"4.31",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</si>
  <si>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"latitude":"44.3552610195549", "url":"http://www.thesource.ca", "postalcode":"L4N 3N7", "province":"ON", "sustainabilityurl":"http://www.thesource.ca/sitelets/jobs/environment.asp", "hoursmon":"Please Call", "longitude":"-79.6814634338286", "uid":901343177, "retailerlinkurl":null, "hourssat":"Please Call", "clientkey":"26201", "name":"The Source", "locationlinkurl":null, "address1":"277 Bayview Dr", "icon":"preferred", "bho":null, "_distanceuom":"mile", "hourssun":"Please Call", "computers":"N", "cfl":"N", "regionalimageurl":null, "city":"Barrie", "singleuse":"Y", "fax":null, "country":"CA", "logourl":"http://www.call2recycle.org/notpress/where2getit/thesource.png", "phone":"705-728-4837", "address2":null, "locationimageurl":null, "_distance":"4.57",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</si>
  <si>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"latitude":"44.3355679294061", "url":null, "postalcode":"L4N 8Z9", "province":"ON", "sustainabilityurl":null, "hoursmon":"Please Call", "longitude":"-79.6738948305988", "uid":1182182110, "retailerlinkurl":null, "hourssat":"Please Call", "clientkey":"66542", "name":"Point to Point Communications", "locationlinkurl":null, "address1":"38 Hooper Rd",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"phone":"705-721-9877", "address2":null, "locationimageurl":null, "_distance":"4.62",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</si>
  <si>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"latitude":"44.40157", "url":"http://www.canadiantire.ca", "postalcode":"L4M 3C1", "province":"ON", "sustainabilityurl":null, "hoursmon":"8:00am-9:00pm", "longitude":"-79.70077", "uid":1182173701, "retailerlinkurl":null, "hourssat":"Please Call", "clientkey":"1649", "name":"Canadian Tire", "locationlinkurl":null, "address1":"320 Bayfield St", "icon":"preferred", "bho":null, "_distanceuom":"mile", "hourssun":"Please Call", "computers":"N", "cfl":"Y", "regionalimageurl":null, "city":"Barrie", "singleuse":"Y", "fax":null, "country":"CA", "logourl":"http://www.call2recycle.org/notpress/where2getit/canadiantire.png", "phone":"705-726-6418", "address2":null, "locationimageurl":null, "_distance":"5.92",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</si>
  <si>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"latitude":"44.41404", "url":"http://www.thesource.ca", "postalcode":"L4M 4Z8", "province":"ON", "sustainabilityurl":"http://www.thesource.ca/sitelets/jobs/environment.asp", "hoursmon":"Please Call", "longitude":"-79.71168", "uid":836696324, "retailerlinkurl":null, "hourssat":"Please Call", "clientkey":"473", "name":"The Source", "locationlinkurl":null, "address1":"509 Bayfield St Unit N016", "icon":"normal", "bho":null, "_distanceuom":"mile", "hourssun":"Please Call", "computers":"N", "cfl":"N", "regionalimageurl":null, "city":"Barrie", "singleuse":"Y", "fax":null, "country":"CA", "logourl":"http://www.call2recycle.org/notpress/where2getit/thesource.png", "phone":"705-726-0987", "address2":null, "locationimageurl":null, "_distance":"6.41",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</si>
  <si>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"latitude":"44.4146266666667", "url":null, "postalcode":"L4M 4Z9", "province":"ON", "sustainabilityurl":null, "hoursmon":"Please Call", "longitude":"-79.7121866666667", "uid":502592131, "retailerlinkurl":null, "hourssat":"Please Call", "clientkey":"41337", "name":"Sears (Canada)", "locationlinkurl":null, "address1":"521 Bayfield St", "icon":"normal", "bho":null, "_distanceuom":"mile", "hourssun":"Please Call", "computers":"N", "cfl":"N", "regionalimageurl":null, "city":"Barrie", "singleuse":"Y", "fax":null, "country":"CA", "logourl":"http://www.call2recycle.org/notpress/where2getit/sears.png", "phone":"705-726-4451", "address2":null, "locationimageurl":null, "_distance":"6.43",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</si>
  <si>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"latitude":"44.4152877777778", "url":null, "postalcode":"L4M 4Z9", "province":"ON", "sustainabilityurl":null, "hoursmon":"Please Call", "longitude":"-79.7127644444444", "uid":642399732, "retailerlinkurl":null, "hourssat":"Please Call", "clientkey":"168314", "name":"Dashvapes Inc", "locationlinkurl":null, "address1":"531 Bayfield St 110A", "icon":"normal", "bho":null, "_distanceuom":"mile", "hourssun":"Please Call", "computers":"N", "cfl":"N", "regionalimageurl":null, "city":"Barrie", "singleuse":"Y", "fax":null, "country":"CA", "logourl":"http://www.call2recycle.org/notpress/where2getit/call2recycle.png", "phone":"705-915-3274", "address2":null, "locationimageurl":null, "_distance":"6.46",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</si>
  <si>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"latitude":"44.4170117391304", "url":null, "postalcode":"L4M 4Z9", "province":"ON", "sustainabilityurl":null, "hoursmon":"Please Call", "longitude":"-79.7142417391304", "uid":1667018895, "retailerlinkurl":null, "hourssat":"Please Call", "clientkey":"95081", "name":"Staples", "locationlinkurl":null, "address1":"561 Bayfield St", "icon":"preferred", "bho":null, "_distanceuom":"mile", "hourssun":"Please Call", "computers":"N", "cfl":"N", "regionalimageurl":null, "city":"Barrie", "singleuse":"Y", "fax":null, "country":"CA", "logourl":"http://www.call2recycle.org/notpress/where2getit/staples.png", "phone":"705-735-4058", "address2":null, "locationimageurl":null, "_distance":"6.54",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</si>
  <si>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"latitude":"44.415656122449", "url":null, "postalcode":"L4M 7G1", "province":"ON", "sustainabilityurl":null, "hoursmon":"Please Call", "longitude":"-79.6589920408163", "uid":1090067584, "retailerlinkurl":null, "hourssat":"Please Call", "clientkey":"158010", "name":"ListenUp! Canada", "locationlinkurl":null, "address1":"5 Quarry Ridge Rd", "icon":"preferred", "bho":null, "_distanceuom":"mile", "hourssun":"Please Call", "computers":"N", "cfl":"N", "regionalimageurl":null, "city":"Barrie", "singleuse":"Y", "fax":null, "country":"CA", "logourl":"http://www.call2recycle.org/notpress/where2getit/call2recycle.png", "phone":"705-719-7009", "address2":null, "locationimageurl":null, "_distance":"7.96",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</si>
  <si>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"latitude":"44.3083969623904", "url":"http://www.thesource.ca", "postalcode":"L9S 4B2", "province":"ON", "sustainabilityurl":"http://www.thesource.ca/sitelets/jobs/environment.asp", "hoursmon":"Please Call", "longitude":"-79.5762149746913", "uid":-1667962009, "retailerlinkurl":null, "hourssat":"Please Call", "clientkey":"139224", "name":"The Source", "locationlinkurl":null, "address1":"1491 Innisfil Beach Rd Unit 6", "icon":"normal", "bho":null, "_distanceuom":"mile", "hourssun":"Please Call", "computers":"N", "cfl":"N", "regionalimageurl":null, "city":"Innisfil", "singleuse":"Y", "fax":null, "country":"CA", "logourl":"http://www.call2recycle.org/notpress/where2getit/thesource.png", "phone":"705-436-4070", "address2":null, "locationimageurl":null, "_distance":"9.55",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</si>
  <si>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"latitude":"44.14841", "url":"http://www.thesource.ca", "postalcode":"L9R 1P8", "province":"ON", "sustainabilityurl":"http://www.thesource.ca/sitelets/jobs/environment.asp", "hoursmon":"Please Call", "longitude":"-79.88178", "uid":-1949772953, "retailerlinkurl":null, "hourssat":"Please Call", "clientkey":"64265", "name":"The Source", "locationlinkurl":null, "address1":"86 Yonge St Unit S3", "icon":"normal", "bho":null, "_distanceuom":"mile", "hourssun":"Please Call", "computers":"N", "cfl":"N", "regionalimageurl":null, "city":"Alliston", "singleuse":"Y", "fax":null, "country":"CA", "logourl":"http://www.call2recycle.org/notpress/where2getit/thesource.png", "phone":"705-435-7102", "address2":null, "locationimageurl":null, "_distance":"13.78",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</si>
  <si>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"latitude":"44.148355", "url":null, "postalcode":"L9R 1P8", "province":"ON", "sustainabilityurl":null, "hoursmon":"Please Call", "longitude":"-79.882015", "uid":1551561458, "retailerlinkurl":null, "hourssat":"Please Call", "clientkey":"95080", "name":"Staples", "locationlinkurl":null, "address1":"92 Young St", "icon":"preferred", "bho":null, "_distanceuom":"mile", "hourssun":"Please Call", "computers":"N", "cfl":"N", "regionalimageurl":null, "city":"Alliston", "singleuse":"Y", "fax":null, "country":"CA", "logourl":"http://www.call2recycle.org/notpress/where2getit/staples.png", "phone":"705-434-4992", "address2":null, "locationimageurl":null, "_distance":"13.79",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</si>
  <si>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"latitude":"44.4292733333333", "url":"http://www.thesource.ca", "postalcode":"L0K 1A0", "province":"ON", "sustainabilityurl":"http://www.thesource.ca/sitelets/jobs/environment.asp", "hoursmon":"Please Call", "longitude":"-79.1527777777778", "uid":1090067630, "retailerlinkurl":null, "hourssat":"Please Call", "clientkey":"1329", "name":"The Source", "locationlinkurl":null, "address1":"396 Simcoe St", "icon":"preferred", "bho":null, "_distanceuom":"mile", "hourssun":"Please Call", "computers":"N", "cfl":"N", "regionalimageurl":null, "city":"Beaverton", "singleuse":"Y", "fax":null, "country":"CA", "logourl":"http://www.call2recycle.org/notpress/where2getit/thesource.png", "phone":"705-426-7795", "address2":null, "locationimageurl":null, "_distance":"10.49",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</si>
  <si>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"latitude":"44.34876", "url":null, "postalcode":"K9V 2Z7", "province":"ON", "sustainabilityurl":null, "hoursmon":"Please Call", "longitude":"-78.76655", "uid":1625581566, "retailerlinkurl":null, "hourssat":"Please Call", "clientkey":"102515", "name":"Staples", "locationlinkurl":null, "address1":"600-363 Kent St W", "icon":"preferred", "bho":null, "_distanceuom":"mile", "hourssun":"Please Call", "computers":"N", "cfl":"N", "regionalimageurl":null, "city":"Lindsay", "singleuse":"Y", "fax":null, "country":"CA", "logourl":"http://www.call2recycle.org/notpress/where2getit/staples.png", "phone":"705-328-3427", "address2":null, "locationimageurl":null, "_distance":"10.93",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</si>
  <si>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"latitude":"44.35011", "url":"http://www.thesource.ca", "postalcode":"K9V 4Z1", "province":"ON", "sustainabilityurl":"http://www.thesource.ca/sitelets/jobs/environment.asp", "hoursmon":"Please Call", "longitude":"-78.7597", "uid":394871308, "retailerlinkurl":null, "hourssat":"Please Call", "clientkey":"589", "name":"The Source", "locationlinkurl":null, "address1":"Zellers Square 401 Kent St W", "icon":"normal", "bho":null, "_distanceuom":"mile", "hourssun":"Please Call", "computers":"N", "cfl":"N", "regionalimageurl":null, "city":"Lindsay", "singleuse":"Y", "fax":null, "country":"CA", "logourl":"http://www.call2recycle.org/notpress/where2getit/thesource.png", "phone":"705-324-1901", "address2":null, "locationimageurl":null, "_distance":"11.28",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</si>
  <si>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"latitude":"44.3533542857143", "url":null, "postalcode":"K9V 6A4", "province":"ON", "sustainabilityurl":null, "hoursmon":"Please Call", "longitude":"-78.7440314285714", "uid":502592001, "retailerlinkurl":null, "hourssat":"Please Call", "clientkey":"157943", "name":"ListenUp! Canada", "locationlinkurl":null, "address1":"232 Kent St W", "icon":"normal", "bho":null, "_distanceuom":"mile", "hourssun":"Please Call", "computers":"N", "cfl":"N", "regionalimageurl":null, "city":"Lindsay", "singleuse":"Y", "fax":null, "country":"CA", "logourl":"http://www.call2recycle.org/notpress/where2getit/call2recycle.png", "phone":"705-328-9181", "address2":null, "locationimageurl":null, "_distance":"12.07",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</si>
  <si>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"latitude":"44.35381", "url":null, "postalcode":"K9V 2Y9", "province":"ON", "sustainabilityurl":null, "hoursmon":"Please Call", "longitude":"-78.74207", "uid":642399701, "retailerlinkurl":null, "hourssat":"Please Call", "clientkey":"166330", "name":"Home Hardware", "locationlinkurl":null, "address1":"207 Kent St W", "icon":"normal", "bho":null, "_distanceuom":"mile", "hourssun":"Please Call", "computers":"N", "cfl":"N", "regionalimageurl":null, "city":"Lindsay", "singleuse":"Y", "fax":null, "country":"CA", "logourl":"http://www.call2recycle.org/notpress/where2getit/call2recycle.png", "phone":"705-324-4611", "address2":null, "locationimageurl":null, "_distance":"12.17",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</si>
  <si>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"latitude":"44.34109", "url":null, "postalcode":"K9V 2N3", "province":"ON", "sustainabilityurl":null, "hoursmon":"Please Call", "longitude":"-78.72824", "uid":642399714, "retailerlinkurl":null, "hourssat":"Please Call", "clientkey":"167490", "name":"Home Building Center", "locationlinkurl":null, "address1":"220 Lindsay St S", "icon":"preferred", "bho":null, "_distanceuom":"mile", "hourssun":"Please Call", "computers":"N", "cfl":"N", "regionalimageurl":null, "city":"Lindsay", "singleuse":"Y", "fax":null, "country":"CA", "logourl":"http://www.call2recycle.org/notpress/where2getit/call2recycle.png", "phone":"705-324-3516", "address2":null, "locationimageurl":null, "_distance":"12.79", "inktoner":"N", "nationalinkurl":null, "regionallinkurl":null, "cellphones":"Y", "hourstues":"Please Call", "consumerelectronics":"N", "hourswed":"Please Call", "rank":"1"</t>
  </si>
  <si>
    <t xml:space="preserve">        "collectioncount":12,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</si>
  <si>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"latitude":"44.421163", "url":"http://www.rona.ca", "postalcode":"K0L 2H0", "province":"ON", "sustainabilityurl":"http://www.rona.ca/corporate/corporate-responsibility", "hoursmon":"Please Call", "longitude":"-78.271105", "uid":941812249, "retailerlinkurl":null, "hourssat":"Please Call", "clientkey":"153230", "name":"RONA", "locationlinkurl":null, "address1":"178 Water Street", "icon":"normal", "bho":null, "_distanceuom":"mile", "hourssun":"Please Call", "computers":"N", "cfl":"Y", "regionalimageurl":null, "city":"Lakefield", "singleuse":"Y", "fax":null, "country":"CA", "logourl":"http://www.call2recycle.org/notpress/where2getit/rona.png", "phone":"705-652-3347", "address2":null, "locationimageurl":null, "_distance":"3.85",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</si>
  <si>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"latitude":"44.42319", "url":null, "postalcode":"K0L 2H0", "province":"ON", "sustainabilityurl":null, "hoursmon":"Please Call", "longitude":"-78.2721875", "uid":1182192096, "retailerlinkurl":null, "hourssat":"Please Call", "clientkey":"29297", "name":"Kawartha Hardware Limited", "locationlinkurl":null, "address1":"24 Queen St. (Box 149)", "icon":"preferred", "bho":null, "_distanceuom":"mile", "hourssun":"Please Call", "computers":"N", "cfl":"N", "regionalimageurl":null, "city":"Lakefield", "singleuse":"Y", "fax":null, "country":"CA", "logourl":"http://www.call2recycle.org/notpress/where2getit/call2recycle.png", "phone":"705-652-3171", "address2":null, "locationimageurl":null, "_distance":"3.95",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</si>
  <si>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"latitude":"44.30466", "url":null, "postalcode":"K9H 3R2", "province":"ON", "sustainabilityurl":null, "hoursmon":"Please Call", "longitude":"-78.31997", "uid":400726469, "retailerlinkurl":null, "hourssat":"Please Call", "clientkey":"158006", "name":"ListenUp! Canada", "locationlinkurl":null, "address1":"361 George St N", "icon":"normal", "bho":null, "_distanceuom":"mile", "hourssun":"Please Call", "computers":"N", "cfl":"N", "regionalimageurl":null, "city":"Peterborough", "singleuse":"Y", "fax":null, "country":"CA", "logourl":"http://www.call2recycle.org/notpress/where2getit/call2recycle.png", "phone":"705-741-2947", "address2":null, "locationimageurl":null, "_distance":"4.72",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</si>
  <si>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"latitude":"44.3025876914989", "url":null, "postalcode":"K9J 3C7", "province":"ON", "sustainabilityurl":null, "hoursmon":"Please Call", "longitude":"-78.3189538463336", "uid":-725079434, "retailerlinkurl":null, "hourssat":"Please Call", "clientkey":"162170", "name":"MNRF", "locationlinkurl":null, "address1":"300 Water St", "icon":"preferred", "bho":null, "_distanceuom":"mile", "hourssun":"Please Call", "computers":"N", "cfl":"N", "regionalimageurl":null, "city":"Peterborough", "singleuse":"Y", "fax":null, "country":"CA", "logourl":"http://www.call2recycle.org/notpress/where2getit/call2recycle.png", "phone":"705-755-1740", "address2":null, "locationimageurl":null, "_distance":"4.85",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</si>
  <si>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"latitude":"44.3008138095238", "url":null, "postalcode":"K9J 2N3", "province":"ON", "sustainabilityurl":null, "hoursmon":"Please Call", "longitude":"-78.3198766666667", "uid":1679417608, "retailerlinkurl":null, "hourssat":"Please Call", "clientkey":"152404", "name":"Larry Electric Motor Service Ltd", "locationlinkurl":null, "address1":"164 Sherbrooke St", "icon":"preferred", "bho":null, "_distanceuom":"mile", "hourssun":"Please Call", "computers":"N", "cfl":"N", "regionalimageurl":null, "city":"Peterborough", "singleuse":"Y", "fax":null, "country":"CA", "logourl":"http://www.call2recycle.org/notpress/where2getit/call2recycle.png", "phone":"705-743-3167", "address2":null, "locationimageurl":null, "_distance":"4.98",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</si>
  <si>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"latitude":"44.2896633333333", "url":null, "postalcode":"K9J 3R8", "province":"ON", "sustainabilityurl":null, "hoursmon":"Please Call", "longitude":"-78.3234533333333", "uid":1805064245, "retailerlinkurl":null, "hourssat":"Please Call", "clientkey":"67984", "name":"Staples", "locationlinkurl":null, "address1":"109 Park St S", "icon":"preferred", "bho":null, "_distanceuom":"mile", "hourssun":"Please Call", "computers":"N", "cfl":"N", "regionalimageurl":null, "city":"Peterborough", "singleuse":"Y", "fax":null, "country":"CA", "logourl":"http://www.call2recycle.org/notpress/where2getit/staples.png", "phone":"705-741-1130", "address2":null, "locationimageurl":null, "_distance":"5.76",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</si>
  <si>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"latitude":"44.2865753416109", "url":null, "postalcode":"K9J 8J7", "province":"ON", "sustainabilityurl":null, "hoursmon":"Please Call", "longitude":"-78.3271086335564", "uid":1182192340, "retailerlinkurl":null, "hourssat":"Please Call", "clientkey":"43518", "name":"Home Depot", "locationlinkurl":null, "address1":"500 Lansdowne St W", "icon":"preferred", "bho":null, "_distanceuom":"mile", "hourssun":"Please Call", "computers":"N", "cfl":"N", "regionalimageurl":null, "city":"Peterborough", "singleuse":"Y", "fax":null, "country":"CA", "logourl":"http://www.call2recycle.org/notpress/where2getit/homedepot.png", "phone":"705-876-4560", "address2":null, "locationimageurl":null, "_distance":"6.00",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</si>
  <si>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"latitude":"44.28491", "url":"http://www.thesource.ca", "postalcode":"K9J 7Y5", "province":"ON", "sustainabilityurl":"http://www.thesource.ca/sitelets/jobs/environment.asp", "hoursmon":"Please Call", "longitude":"-78.3334", "uid":477915032, "retailerlinkurl":null, "hourssat":"Please Call", "clientkey":"599", "name":"The Source", "locationlinkurl":null, "address1":"645 Lansdowne St W Unit 169", "icon":"normal", "bho":null, "_distanceuom":"mile", "hourssun":"Please Call", "computers":"N", "cfl":"N", "regionalimageurl":null, "city":"Peterborough", "singleuse":"Y", "fax":null, "country":"CA", "logourl":"http://www.call2recycle.org/notpress/where2getit/thesource.png", "phone":"705-743-2189", "address2":null, "locationimageurl":null, "_distance":"6.17",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</si>
  <si>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"latitude":"44.284434", "url":null, "postalcode":"K9J 5Y3", "province":"ON", "sustainabilityurl":null, "hoursmon":"Please Call", "longitude":"-78.350731", "uid":502592289, "retailerlinkurl":null, "hourssat":"Please Call", "clientkey":"138344", "name":"ListenUp! Canada", "locationlinkurl":null, "address1":"824 Clonsilla Ave", "icon":"normal", "bho":null, "_distanceuom":"mile", "hourssun":"Please Call", "computers":"N", "cfl":"N", "regionalimageurl":null, "city":"Peterborough", "singleuse":"Y", "fax":null, "country":"CA", "logourl":"http://www.call2recycle.org/notpress/where2getit/call2recycle.png", "phone":"705-749-9180", "address2":null, "locationimageurl":null, "_distance":"6.42",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</si>
  <si>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"latitude":"44.28143", "url":null, "postalcode":"K9J 7M2", "province":"ON", "sustainabilityurl":null, "hoursmon":"Please Call", "longitude":"-78.34724", "uid":1522037484, "retailerlinkurl":null, "hourssat":"Please Call", "clientkey":"132810", "name":"Best Buy Canada", "locationlinkurl":null, "address1":"1101 Lansdowne St W", "icon":"preferred", "bho":null, "_distanceuom":"mile", "hourssun":"Please Call", "computers":"N", "cfl":"N", "regionalimageurl":null, "city":"Peterborough", "singleuse":"Y", "fax":null, "country":"CA", "logourl":"http://www.call2recycle.org/notpress/where2getit/bestbuy.png", "phone":"705-741-2081", "address2":null, "locationimageurl":null, "_distance":"6.57",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</si>
  <si>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"latitude":"44.28028625", "url":"http://www.canadiantire.ca", "postalcode":"K9J 2A1", "province":"ON", "sustainabilityurl":null, "hoursmon":"8:00am-9:00pm", "longitude":"-78.35212875", "uid":1182182777, "retailerlinkurl":null, "hourssat":"Please Call", "clientkey":"1581", "name":"Canadian Tire", "locationlinkurl":null, "address1":"1200 Lansdowne Street W.", "icon":"preferred", "bho":null, "_distanceuom":"mile", "hourssun":"Please Call", "computers":"N", "cfl":"Y", "regionalimageurl":null, "city":"Peterborough", "singleuse":"Y", "fax":null, "country":"CA", "logourl":"http://www.call2recycle.org/notpress/where2getit/canadiantire.png", "phone":"705-742-0406", "address2":null, "locationimageurl":null, "_distance":"6.71",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</si>
  <si>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"latitude":"44.42824", "url":null, "postalcode":"K0L 3A0", "province":"ON", "sustainabilityurl":null, "hoursmon":"Please Call", "longitude":"-78.13654", "uid":1957194846, "retailerlinkurl":null, "hourssat":"Please Call", "clientkey":"119236", "name":"Township of Douro-Dummer", "locationlinkurl":null, "address1":"894 South Street", "icon":"preferred", "bho":null, "_distanceuom":"mile", "hourssun":"Please Call", "computers":"N", "cfl":"N", "regionalimageurl":null, "city":"Warsaw", "singleuse":"Y", "fax":null, "country":"CA", "logourl":"http://www.call2recycle.org/notpress/where2getit/call2recycle.png", "phone":"705-652-8392", "address2":null, "locationimageurl":null, "_distance":"9.35", "inktoner":"N", "nationalinkurl":null, "regionallinkurl":null, "cellphones":"Y", "hourstues":"Please Call", "consumerelectronics":"N", "hourswed":"Please Call", "rank":"1"</t>
  </si>
  <si>
    <t xml:space="preserve">        "collectioncount":3,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</si>
  <si>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"_distance":"2.77",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</si>
  <si>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"latitude":"44.2890461052992", "url":"http://www.rona.ca", "postalcode":"K0L 1L0", "province":"ON", "sustainabilityurl":"http://www.rona.ca/corporate/corporate-responsibility", "hoursmon":"Please Call", "longitude":"-77.8092744786324", "uid":1182174305, "retailerlinkurl":null, "hourssat":"Please Call", "clientkey":"134514", "name":"RONA Campbellford", "locationlinkurl":null, "address1":"509 Grand Rd", "icon":"normal", "bho":null, "_distanceuom":"mile", "hourssun":"Please Call", "computers":"N", "cfl":"Y", "regionalimageurl":null, "city":"Campbellford", "singleuse":"Y", "fax":null, "country":"CA", "logourl":"http://www.call2recycle.org/notpress/where2getit/rona.png", "phone":"705-653-1440", "address2":null, "locationimageurl":null, "_distance":"11.97",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</si>
  <si>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"latitude":"44.2918933333333", "url":"http://www.rona.ca", "postalcode":"K0K 3E0", "province":"ON", "sustainabilityurl":"http://www.rona.ca/corporate/corporate-responsibility", "hoursmon":"Please Call", "longitude":"-77.5647533333333", "uid":989641543, "retailerlinkurl":null, "hourssat":"Please Call", "clientkey":"122264", "name":"RONA", "locationlinkurl":null, "address1":"436 Front St W", "icon":"preferred", "bho":null, "_distanceuom":"mile", "hourssun":"Please Call", "computers":"N", "cfl":"Y", "regionalimageurl":null, "city":"Stirling", "singleuse":"Y", "fax":null, "country":"CA", "logourl":"http://www.call2recycle.org/notpress/where2getit/rona.png", "phone":"613-395-3361", "address2":null, "locationimageurl":null, "_distance":"14.09",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</si>
  <si>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"_distance":"22.90",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</si>
  <si>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"_distance":"23.74",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</si>
  <si>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"latitude":"44.9048185713514", "url":null, "postalcode":"K7H 2Y4", "province":"ON", "sustainabilityurl":null, "hoursmon":"Please Call", "longitude":"-76.2661892542424", "uid":400726468, "retailerlinkurl":null, "hourssat":"Please Call", "clientkey":"158005", "name":"ListenUp! Canada", "locationlinkurl":null, "address1":"40 Sunset Blvd", "icon":"normal", "bho":null, "_distanceuom":"mile", "hourssun":"Please Call", "computers":"N", "cfl":"N", "regionalimageurl":null, "city":"Perth", "singleuse":"Y", "fax":null, "country":"CA", "logourl":"http://www.call2recycle.org/notpress/where2getit/call2recycle.png", "phone":"613-267-4877", "address2":null, "locationimageurl":null, "_distance":"34.11",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</si>
  <si>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"latitude":"44.9122139448057", "url":null, "postalcode":"K7H 2K8", "province":"ON", "sustainabilityurl":null, "hoursmon":"Please Call", "longitude":"-76.2617478896113", "uid":1041439704, "retailerlinkurl":null, "hourssat":"Please Call", "clientkey":"29382", "name":"Perth Home Hardware", "locationlinkurl":null, "address1":"115 Drummond St W", "icon":"preferred", "bho":null, "_distanceuom":"mile", "hourssun":"Please Call", "computers":"N", "cfl":"N", "regionalimageurl":null, "city":"Perth", "singleuse":"Y", "fax":null, "country":"CA", "logourl":"http://www.call2recycle.org/notpress/where2getit/call2recycle.png", "phone":"613-267-4501", "address2":null, "locationimageurl":null, "_distance":"34.32",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</si>
  <si>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"latitude":"44.41552", "url":null, "postalcode":"K0K 2S0", "province":"ON", "sustainabilityurl":null, "hoursmon":"Please Call", "longitude":"-76.98359", "uid":873151558, "retailerlinkurl":null, "hourssat":"Please Call", "clientkey":"164032", "name":"Newburgh Pharmacy", "locationlinkurl":null, "address1":"2608 County Rd 1 E", "icon":"normal", "bho":null, "_distanceuom":"mile", "hourssun":"Please Call", "computers":"N", "cfl":"N", "regionalimageurl":null, "city":"Newburgh", "singleuse":"Y", "fax":null, "country":"CA", "logourl":"http://www.call2recycle.org/notpress/where2getit/call2recycle.png", "phone":"613-378-2220", "address2":null, "locationimageurl":null, "_distance":"34.58",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</si>
  <si>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"latitude":"44.8894447890205", "url":null, "postalcode":"K7H 3C7", "province":"ON", "sustainabilityurl":null, "hoursmon":"Please Call", "longitude":"-76.1313426391912", "uid":341261022, "retailerlinkurl":null, "hourssat":"Please Call", "clientkey":"164985", "name":"Drummond North Elmsley Twnsp", "locationlinkurl":null, "address1":"310 Port Elmsley Rd RR 5", "icon":"preferred", "bho":null, "_distanceuom":"mile", "hourssun":"Please Call", "computers":"N", "cfl":"N", "regionalimageurl":null, "city":"Perth", "singleuse":"Y", "fax":null, "country":"CA", "logourl":"http://www.call2recycle.org/notpress/where2getit/call2recycle.png", "phone":"613-267-6565", "address2":null, "locationimageurl":null, "_distance":"40.75",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</si>
  <si>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"latitude":"45.4733353838408", "url":"http://www.thesource.ca", "postalcode":"K7V 0B4", "province":"ON", "sustainabilityurl":"http://www.thesource.ca/sitelets/jobs/environment.asp", "hoursmon":"Please Call", "longitude":"-76.6620634021754", "uid":1182187496, "retailerlinkurl":null, "hourssat":"Please Call", "clientkey":"131741", "name":"The Source", "locationlinkurl":null, "address1":"648 O’Brien Rd Unit B2", "icon":"normal", "bho":null, "_distanceuom":"mile", "hourssun":"Please Call", "computers":"N", "cfl":"N", "regionalimageurl":null, "city":"Renfrew", "singleuse":"Y", "fax":null, "country":"CA", "logourl":"http://www.call2recycle.org/notpress/where2getit/thesource.png", "phone":"613-433-8805", "address2":null, "locationimageurl":null, "_distance":"41.21",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</si>
  <si>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"latitude":"45.4815908474576", "url":"http://www.canadiantire.ca", "postalcode":"K7V 3Z4", "province":"ON", "sustainabilityurl":null, "hoursmon":"8:00am-9:00pm", "longitude":"-76.6472638983051", "uid":-1613173642, "retailerlinkurl":null, "hourssat":"Please Call", "clientkey":"1599", "name":"Canadian Tire", "locationlinkurl":null, "address1":"1050 O'Brien Road", "icon":"preferred", "bho":null, "_distanceuom":"mile", "hourssun":"Please Call", "computers":"N", "cfl":"Y", "regionalimageurl":null, "city":"Renfrew", "singleuse":"Y", "fax":null, "country":"CA", "logourl":"http://www.call2recycle.org/notpress/where2getit/canadiantire.png", "phone":"613-432-5821", "address2":null, "locationimageurl":null, "_distance":"42.01",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</si>
  <si>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"latitude":"45.13467", "url":null, "postalcode":"K7C 2T7", "province":"ON", "sustainabilityurl":null, "hoursmon":"Please Call", "longitude":"-76.1395070588235", "uid":400726407, "retailerlinkurl":null, "hourssat":"Please Call", "clientkey":"157948", "name":"ListenUp! Canada", "locationlinkurl":null, "address1":"130 Lansdowne Ave", "icon":"normal", "bho":null, "_distanceuom":"mile", "hourssun":"Please Call", "computers":"N", "cfl":"N", "regionalimageurl":null, "city":"Carleton Place", "singleuse":"Y", "fax":null, "country":"CA", "logourl":"http://www.call2recycle.org/notpress/where2getit/call2recycle.png", "phone":"613-253-0877", "address2":null, "locationimageurl":null, "_distance":"42.97",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</si>
  <si>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"latitude":"45.13363", "url":"http://www.canadiantire.ca", "postalcode":"K7C 4S6", "province":"ON", "sustainabilityurl":null, "hoursmon":"8:00am-9:00pm", "longitude":"-76.12181", "uid":1522039162, "retailerlinkurl":null, "hourssat":"Please Call", "clientkey":"1629", "name":"Canadian Tire", "locationlinkurl":null, "address1":"485 McNeely Ave", "icon":"preferred", "bho":null, "_distanceuom":"mile", "hourssun":"Please Call", "computers":"N", "cfl":"Y", "regionalimageurl":null, "city":"Carleton Place", "singleuse":"Y", "fax":null, "country":"CA", "logourl":"http://www.call2recycle.org/notpress/where2getit/canadiantire.png", "phone":"613-253-8473", "address2":null, "locationimageurl":null, "_distance":"43.75",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</si>
  <si>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"latitude":"45.1332345557538", "url":"http://www.thesource.ca", "postalcode":"K7C 0A8", "province":"ON", "sustainabilityurl":"http://www.thesource.ca/sitelets/jobs/environment.asp", "hoursmon":"Please Call", "longitude":"-76.1213763011819", "uid":-1997271843, "retailerlinkurl":null, "hourssat":"Please Call", "clientkey":"142069", "name":"The Source", "locationlinkurl":null, "address1":"515 McNeely Ave", "icon":"preferred", "bho":null, "_distanceuom":"mile", "hourssun":"Please Call", "computers":"N", "cfl":"N", "regionalimageurl":null, "city":"Carleton Place", "singleuse":"Y", "fax":null, "country":"CA", "logourl":"http://www.call2recycle.org/notpress/where2getit/thesource.png", "phone":"613-253-7813", "address2":null, "locationimageurl":null, "_distance":"43.76",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</si>
  <si>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"latitude":"45.1327560185777", "url":null, "postalcode":"K7C 0A8", "province":"ON", "sustainabilityurl":null, "hoursmon":"Please Call", "longitude":"-76.1207543897624", "uid":1567781750, "retailerlinkurl":null, "hourssat":"Please Call", "clientkey":"106093", "name":"Staples", "locationlinkurl":null, "address1":"555 McNeely Ave", "icon":"preferred", "bho":null, "_distanceuom":"mile", "hourssun":"Please Call", "computers":"N", "cfl":"N", "regionalimageurl":null, "city":"Carleton Place", "singleuse":"Y", "fax":null, "country":"CA", "logourl":"http://www.call2recycle.org/notpress/where2getit/staples.png", "phone":"613-253-2400", "address2":null, "locationimageurl":null, "_distance":"43.78",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</si>
  <si>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"latitude":"45.13223", "url":null, "postalcode":"K7C 0A7", "province":"ON", "sustainabilityurl":null, "hoursmon":"Please Call", "longitude":"-76.12007", "uid":1601453852, "retailerlinkurl":null, "hourssat":"Please Call", "clientkey":"110739", "name":"Home Depot", "locationlinkurl":null, "address1":"570 McNeely Ave", "icon":"preferred", "bho":null, "_distanceuom":"mile", "hourssun":"Please Call", "computers":"N", "cfl":"N", "regionalimageurl":null, "city":"Carleton Place", "singleuse":"Y", "fax":null, "country":"CA", "logourl":"http://www.call2recycle.org/notpress/where2getit/homedepot.png", "phone":"613-253-3870", "address2":null, "locationimageurl":null, "_distance":"43.80",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</si>
  <si>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"latitude":"45.0730625726286", "url":null, "postalcode":"K0L 1C0", "province":"ON", "sustainabilityurl":null, "hoursmon":"Please Call", "longitude":"-77.8625030411204", "uid":1182192082, "retailerlinkurl":null, "hourssat":"Please Call", "clientkey":"29156", "name":"Bancroft Home Hardware", "locationlinkurl":null, "address1":"248 Hastings St N", "icon":"preferred", "bho":null, "_distanceuom":"mile", "hourssun":"Please Call", "computers":"N", "cfl":"N", "regionalimageurl":null, "city":"Bancroft", "singleuse":"Y", "fax":null, "country":"CA", "logourl":"http://www.call2recycle.org/notpress/where2getit/call2recycle.png", "phone":"613-332-2060", "address2":null, "locationimageurl":null, "_distance":"45.27",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</si>
  <si>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"latitude":"45.0827948913303", "url":"http://www.canadiantire.ca", "postalcode":"K0L 1C0", "province":"ON", "sustainabilityurl":null, "hoursmon":"8:00am-9:00pm", "longitude":"-77.8604298133936", "uid":1182191280, "retailerlinkurl":null, "hourssat":"Please Call", "clientkey":"1648", "name":"Canadian Tire", "locationlinkurl":null, "address1":"341 Hastings St N", "icon":"normal", "bho":null, "_distanceuom":"mile", "hourssun":"Please Call", "computers":"N", "cfl":"Y", "regionalimageurl":null, "city":"Bancroft", "singleuse":"Y", "fax":null, "country":"CA", "logourl":"http://www.call2recycle.org/notpress/where2getit/canadiantire.png", "phone":"613-332-1074", "address2":null, "locationimageurl":null, "_distance":"45.33",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</si>
  <si>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"latitude":"44.2594669387755", "url":"http://www.thesource.ca", "postalcode":"K7R 3L2", "province":"ON", "sustainabilityurl":"http://www.thesource.ca/sitelets/jobs/environment.asp", "hoursmon":"Please Call", "longitude":"-76.9696418367347", "uid":1846587724, "retailerlinkurl":null, "hourssat":"Please Call", "clientkey":"104804", "name":"The Source", "locationlinkurl":null, "address1":"89D Jim Kimmett Blvd Units 3/4", "icon":"normal", "bho":null, "_distanceuom":"mile", "hourssun":"Please Call", "computers":"N", "cfl":"N", "regionalimageurl":null, "city":"Napanee", "singleuse":"Y", "fax":null, "country":"CA", "logourl":"http://www.call2recycle.org/notpress/where2getit/thesource.png", "phone":"613-354-6366", "address2":null, "locationimageurl":null, "_distance":"45.35",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</si>
  <si>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"latitude":"45.4221200682615", "url":"http://www.thesource.ca", "postalcode":"K7S 3G9", "province":"ON", "sustainabilityurl":"http://www.thesource.ca/sitelets/jobs/environment.asp", "hoursmon":"Please Call", "longitude":"-76.3679568434674", "uid":-1673569091, "retailerlinkurl":null, "hourssat":"Please Call", "clientkey":"151687", "name":"The Source", "locationlinkurl":null, "address1":"39 Winner's Circle Dr", "icon":"preferred", "bho":null, "_distanceuom":"mile", "hourssun":"Please Call", "computers":"N", "cfl":"N", "regionalimageurl":null, "city":"Arnprior", "singleuse":"Y", "fax":null, "country":"CA", "logourl":"http://www.call2recycle.org/notpress/where2getit/thesource.png", "phone":"613-623-9776", "address2":null, "locationimageurl":null, "_distance":"45.43",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</si>
  <si>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"latitude":"44.9065194367056", "url":null, "postalcode":"K7A 5L3", "province":"ON", "sustainabilityurl":null, "hoursmon":"Please Call", "longitude":"-76.0257185705578", "uid":400726482, "retailerlinkurl":null, "hourssat":"Please Call", "clientkey":"158016", "name":"ListenUp! Canada", "locationlinkurl":null, "address1":"91 Cornelia St W", "icon":"normal", "bho":null, "_distanceuom":"mile", "hourssun":"Please Call", "computers":"N", "cfl":"N", "regionalimageurl":null, "city":"Smiths Falls", "singleuse":"Y", "fax":null, "country":"CA", "logourl":"http://www.call2recycle.org/notpress/where2getit/call2recycle.png", "phone":"613-284-0877", "address2":null, "locationimageurl":null, "_distance":"45.87",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</si>
  <si>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"latitude":"45.4347", "url":null, "postalcode":"K7S 0A8", "province":"ON", "sustainabilityurl":null, "hoursmon":"Please Call", "longitude":"-76.3568", "uid":-1861677544, "retailerlinkurl":null, "hourssat":"Please Call", "clientkey":"57447", "name":"Town of Arnprior", "locationlinkurl":null, "address1":"105 Elgin St W", "icon":"preferred", "bho":null, "_distanceuom":"mile", "hourssun":"Please Call", "computers":"N", "cfl":"N", "regionalimageurl":null, "city":"Arnprior", "singleuse":"Y", "fax":null, "country":"CA", "logourl":"http://www.call2recycle.org/notpress/where2getit/call2recycle.png", "phone":"613-623-4231", "address2":null, "locationimageurl":null, "_distance":"46.45",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</si>
  <si>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"latitude":"44.24091", "url":null, "postalcode":"K7R 3V3", "province":"ON", "sustainabilityurl":null, "hoursmon":"Please Call", "longitude":"-76.96616", "uid":400726488, "retailerlinkurl":null, "hourssat":"Please Call", "clientkey":"158019", "name":"ListenUp! Canada", "locationlinkurl":null, "address1":"307A Bridge St W", "icon":"normal", "bho":null, "_distanceuom":"mile", "hourssun":"Please Call", "computers":"N", "cfl":"N", "regionalimageurl":null, "city":"Napanee", "singleuse":"Y", "fax":null, "country":"CA", "logourl":"http://www.call2recycle.org/notpress/where2getit/call2recycle.png", "phone":"613-354-7000", "address2":null, "locationimageurl":null, "_distance":"46.63",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</si>
  <si>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"latitude":"44.47863", "url":null, "postalcode":"K0K 2M0", "province":"ON", "sustainabilityurl":null, "hoursmon":"Please Call", "longitude":"-77.6922", "uid":2004517776, "retailerlinkurl":null, "hourssat":"Please Call", "clientkey":"155742", "name":"Drummond Bldg Supplies", "locationlinkurl":null, "address1":"2-90 Matthew St", "icon":"normal", "bho":null, "_distanceuom":"mile", "hourssun":"Please Call", "computers":"N", "cfl":"N", "regionalimageurl":null, "city":"Marmora", "singleuse":"Y", "fax":null, "country":"CA", "logourl":"http://www.call2recycle.org/notpress/where2getit/call2recycle.png", "phone":"613-472-2628", "address2":null, "locationimageurl":null, "_distance":"46.85",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</si>
  <si>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"latitude":"45.42595", "url":"http://www.rona.ca", "postalcode":"K7S 3N2", "province":"ON", "sustainabilityurl":"http://www.rona.ca/corporate/corporate-responsibility", "hoursmon":"Please Call", "longitude":"-76.32327", "uid":-2116055038, "retailerlinkurl":null, "hourssat":"Please Call", "clientkey":"147776", "name":"Rona", "locationlinkurl":null, "address1":"Madawaska Blvd", "icon":"preferred", "bho":null, "_distanceuom":"mile", "hourssun":"Please Call", "computers":"N", "cfl":"Y", "regionalimageurl":null, "city":"Arnprior", "singleuse":"Y", "fax":null, "country":"CA", "logourl":"http://www.call2recycle.org/notpress/where2getit/rona.png", "phone":"613-623-4791", "address2":null, "locationimageurl":null, "_distance":"47.05",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</si>
  <si>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"latitude":"44.2742812222652", "url":null, "postalcode":"K7P 2T4", "province":"ON", "sustainabilityurl":null, "hoursmon":"Please Call", "longitude":"-76.5654773740755", "uid":717072692, "retailerlinkurl":null, "hourssat":"Please Call", "clientkey":"75426", "name":"Christie and Walther", "locationlinkurl":null, "address1":"719 Fortune Cres",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"phone":"613-634-3636", "address2":null, "locationimageurl":null, "_distance":"48.45",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</si>
  <si>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"latitude":"44.261456779661", "url":null, "postalcode":"K7P 0G1", "province":"ON", "sustainabilityurl":null, "hoursmon":"Please Call", "longitude":"-76.5688013559322", "uid":1182177926, "retailerlinkurl":null, "hourssat":"Please Call", "clientkey":"135460", "name":"Lowes", "locationlinkurl":null, "address1":"1035 Gardiners Rd", "icon":"preferred", "bho":null, "_distanceuom":"mile", "hourssun":"Please Call", "computers":"N", "cfl":"N", "regionalimageurl":null, "city":"Kingston", "singleuse":"Y", "fax":null, "country":"CA", "logourl":"http://www.call2recycle.org/notpress/where2getit/lowes.png", "phone":"613-634-5410", "address2":null, "locationimageurl":null, "_distance":"49.20",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</si>
  <si>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"latitude":"44.2617269559147", "url":null, "postalcode":"K7P 2S5", "province":"ON", "sustainabilityurl":null, "hoursmon":"Please Call", "longitude":"-76.559581905584", "uid":677051369, "retailerlinkurl":null, "hourssat":"Please Call", "clientkey":"169739", "name":"Princess Auto", "locationlinkurl":null, "address1":"1016 Centennial Dr", "icon":"normal", "bho":null, "_distanceuom":"mile", "hourssun":"Please Call", "computers":"N", "cfl":"N", "regionalimageurl":null, "city":"Kingston", "singleuse":"Y", "fax":null, "country":"CA", "logourl":"http://www.call2recycle.org/notpress/where2getit/PrincessAuto_150x150.png", "phone":"613-530-3790", "address2":null, "locationimageurl":null, "_distance":"49.36",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</si>
  <si>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"latitude":"44.25836", "url":null, "postalcode":"K7P 0G3", "province":"ON", "sustainabilityurl":null, "hoursmon":"Please Call", "longitude":"-76.56869", "uid":540400462, "retailerlinkurl":null, "hourssat":"Please Call", "clientkey":"161202", "name":"Fastenal", "locationlinkurl":null, "address1":"101-1225 Gardiners Rd", "icon":"normal", "bho":null, "_distanceuom":"mile", "hourssun":"Please Call", "computers":"N", "cfl":"N", "regionalimageurl":null, "city":"Kingston", "singleuse":"Y", "fax":null, "country":"CA", "logourl":"http://www.call2recycle.org/notpress/where2getit/call2recycle.png", "phone":"613-389-3968", "address2":null, "locationimageurl":null, "_distance":"49.40",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</si>
  <si>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"latitude":"44.2564347058824", "url":"http://www.thesource.ca", "postalcode":"K7M 7H4", "province":"ON", "sustainabilityurl":"http://www.thesource.ca/sitelets/jobs/environment.asp", "hoursmon":"Please Call", "longitude":"-76.5687373529412", "uid":839391491, "retailerlinkurl":null, "hourssat":"Please Call", "clientkey":"560", "name":"The Source", "locationlinkurl":null, "address1":"945 Gardiners Rd Unit L-044", "icon":"normal", "bho":null, "_distanceuom":"mile", "hourssun":"Please Call", "computers":"N", "cfl":"N", "regionalimageurl":null, "city":"Kingston", "singleuse":"Y", "fax":null, "country":"CA", "logourl":"http://www.call2recycle.org/notpress/where2getit/thesource.png", "phone":"613-389-8201", "address2":null, "locationimageurl":null, "_distance":"49.52",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</si>
  <si>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"latitude":"44.2581559259259", "url":"http://www.rona.ca", "postalcode":"K7M 3G4", "province":"ON", "sustainabilityurl":"http://www.rona.ca/corporate/corporate-responsibility", "hoursmon":"Please Call", "longitude":"-76.5518459259259", "uid":1182194036, "retailerlinkurl":null, "hourssat":"Please Call", "clientkey":"121748", "name":"RONA", "locationlinkurl":null, "address1":"2342 Princess St", "icon":"preferred", "bho":null, "_distanceuom":"mile", "hourssun":"Please Call", "computers":"N", "cfl":"Y", "regionalimageurl":null, "city":"Kingston", "singleuse":"Y", "fax":null, "country":"CA", "logourl":"http://www.call2recycle.org/notpress/where2getit/rona.png", "phone":"613-531-6225", "address2":null, "locationimageurl":null, "_distance":"49.74",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</si>
  <si>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"latitude":"44.2509278198464", "url":null, "postalcode":"K7P 2N7", "province":"ON", "sustainabilityurl":null, "hoursmon":"Please Call", "longitude":"-76.5710049038168", "uid":400726487, "retailerlinkurl":null, "hourssat":"Please Call", "clientkey":"158018", "name":"ListenUp! Canada", "locationlinkurl":null, "address1":"770 Blackburn Mews", "icon":"preferred", "bho":null, "_distanceuom":"mile", "hourssun":"Please Call", "computers":"N", "cfl":"N", "regionalimageurl":null, "city":"Kingston", "singleuse":"Y", "fax":null, "country":"CA", "logourl":"http://www.call2recycle.org/notpress/where2getit/call2recycle.png", "phone":"613-634-0304", "address2":null, "locationimageurl":null, "_distance":"49.83",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</si>
  <si>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"hoursthurs":"5:00 p.m. to 7:30 p.m.", "state":null, "retailerimageurl":null, "hoursfri":"Closed", "acceptedmaterialsurl":null, "latitude":"45.53581", "url":null, "postalcode":"K0J 2C0", "province":"ON", "sustainabilityurl":null, "hoursmon":"5:00 p.m. to 7:30 p.m.", "longitude":"-78.0485", "uid":523023626, "retailerlinkurl":null, "hourssat":"Closed", "clientkey":"169096", "name":"Madawaska Library", "locationlinkurl":null, "address1":"26A Major Lake Road", "icon":"normal", "bho":null, "_distanceuom":"mile", "hourssun":"Closed", "computers":"N", "cfl":"N", "regionalimageurl":null, "city":"Madawaska", "singleuse":"Y", "fax":null, "country":"CA", "logourl":"http://www.call2recycle.org/notpress/where2getit/call2recycle.png", "phone":"--", "address2":null, "locationimageurl":null, "_distance":"17.04", "inktoner":"N", "nationalinkurl":null, "regionallinkurl":null, "cellphones":"Y", "hourstues":"10:00 a.m. to 12:00 p.m.", "consumerelectronics":"N", "hourswed":"5:30 p.m. to 7:30 p.m.", "rank":"0"</t>
  </si>
  <si>
    <t xml:space="preserve">            "rechargeable": "Y", "nationalimageurl":null, "glasses":"N", "hoursthurs":"Please Call", "state":null, "retailerimageurl":null, "hoursfri":"Please Call", "acceptedmaterialsurl":null, "latitude":"45.48304", "url":null, "postalcode":"K0J 2C0", "province":"ON", "sustainabilityurl":null, "hoursmon":"Please Call", "longitude":"-77.9388", "uid":523023624, "retailerlinkurl":null, "hourssat":"Please Call", "clientkey":"169095", "name":"Lyell Landfill Site", "locationlinkurl":null, "address1":"6319 Hyw 523", "icon":"normal", "bho":null, "_distanceuom":"mile", "hourssun":"Please Call", "computers":"N", "cfl":"N", "regionalimageurl":null, "city":"Madawaska", "singleuse":"Y", "fax":null, "country":"CA", "logourl":"http://www.call2recycle.org/notpress/where2getit/call2recycle.png", "phone":"--", "address2":null, "locationimageurl":null, "_distance":"17.80",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</si>
  <si>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"hoursthurs":"5:00 p.m. to 7:30 p.m", "state":null, "retailerimageurl":null, "hoursfri":"Closed", "acceptedmaterialsurl":null, "latitude":"45.4600026", "url":null, "postalcode":"K0J 2M0", "province":"ON", "sustainabilityurl":null, "hoursmon":"Closed", "longitude":"-78.1642873", "uid":523023627, "retailerlinkurl":null, "hourssat":"Closed", "clientkey":"169097", "name":"Whitney Library", "locationlinkurl":null, "address1":"33 Medical Centre Rd",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"_distance":"24.65", "inktoner":"N", "nationalinkurl":null, "regionallinkurl":null, "cellphones":"Y", "hourstues":"5:00 p.m. to 7:30 p.m", "consumerelectronics":"N", "hourswed":"11:00 a.m. to 6:00 p.m",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</si>
  <si>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"latitude":"44.81319", "url":"http://www.thesource.ca", "postalcode":"K0M 1S0", "province":"ON", "sustainabilityurl":"http://www.thesource.ca/sitelets/jobs/environment.asp", "hoursmon":"Please Call", "longitude":"-78.69893", "uid":839391494, "retailerlinkurl":null, "hourssat":"Please Call", "clientkey":"1239", "name":"Halco Electronics", "locationlinkurl":null, "address1":"PO Box 779", "icon":"normal", "bho":null, "_distanceuom":"mile", "hourssun":"Please Call", "computers":"N", "cfl":"N", "regionalimageurl":null, "city":"Haliburton", "singleuse":"Y", "fax":null, "country":"CA", "logourl":"http://www.call2recycle.org/notpress/where2getit/thesource.png", "phone":"705-457-1590", "address2":null, "locationimageurl":null, "_distance":"18.50",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</si>
  <si>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"latitude":"44.633", "url":"http://www.thesource.ca", "postalcode":"L3V 6H4", "province":"ON", "sustainabilityurl":"http://www.thesource.ca/sitelets/jobs/environment.asp", "hoursmon":"Please Call", "longitude":"-79.43521", "uid":1182186308, "retailerlinkurl":null, "hourssat":"Please Call", "clientkey":"728", "name":"The Source", "locationlinkurl":null, "address1":"1029 Brodie Dr Unit 11 RR 4", "icon":"preferred", "bho":null, "_distanceuom":"mile", "hourssun":"Please Call", "computers":"N", "cfl":"N", "regionalimageurl":null, "city":"Orillia", "singleuse":"Y", "fax":null, "country":"CA", "logourl":"http://www.call2recycle.org/notpress/where2getit/thesource.png", "phone":"705-327-0145", "address2":null, "locationimageurl":null, "_distance":"4.72",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</si>
  <si>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"latitude":"44.63189", "url":"http://www.canadiantire.ca", "postalcode":"L3V 7X6", "province":"ON", "sustainabilityurl":null, "hoursmon":"8:00am-9:00pm", "longitude":"-79.43708", "uid":1182182704, "retailerlinkurl":null, "hourssat":"Please Call", "clientkey":"1381", "name":"Canadian Tire", "locationlinkurl":null, "address1":"1017 Brodie Drive", "icon":"preferred", "bho":null, "_distanceuom":"mile", "hourssun":"Please Call", "computers":"N", "cfl":"Y", "regionalimageurl":null, "city":"Orillia", "singleuse":"Y", "fax":null, "country":"CA", "logourl":"http://www.call2recycle.org/notpress/where2getit/canadiantire.png", "phone":"705-325-7414", "address2":null, "locationimageurl":null, "_distance":"4.83",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</si>
  <si>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"latitude":"44.6166", "url":null, "postalcode":"L3V 0B5", "province":"ON", "sustainabilityurl":null, "hoursmon":"Please Call", "longitude":"-79.44411", "uid":1540842573, "retailerlinkurl":null, "hourssat":"Please Call", "clientkey":"150334", "name":"Staples Canada", "locationlinkurl":null, "address1":"135 Murphy Road", "icon":"preferred", "bho":null, "_distanceuom":"mile", "hourssun":"Please Call", "computers":"N", "cfl":"N", "regionalimageurl":null, "city":"Orillia", "singleuse":"Y", "fax":null, "country":"CA", "logourl":"http://www.call2recycle.org/notpress/where2getit/staples.png", "phone":"705-329-3074", "address2":null, "locationimageurl":null, "_distance":"5.93",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</si>
  <si>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"latitude":"44.6089418374835", "url":null, "postalcode":"L3V 7Z4", "province":"ON", "sustainabilityurl":null, "hoursmon":"Please Call", "longitude":"-79.4537873782666", "uid":1182195889, "retailerlinkurl":null, "hourssat":"Please Call", "clientkey":"43534", "name":"Home Depot", "locationlinkurl":null, "address1":"3225 Monarch Dr", "icon":"preferred", "bho":null, "_distanceuom":"mile", "hourssun":"Please Call", "computers":"N", "cfl":"N", "regionalimageurl":null, "city":"Orillia", "singleuse":"Y", "fax":null, "country":"CA", "logourl":"http://www.call2recycle.org/notpress/where2getit/homedepot.png", "phone":"705-327-6500", "address2":null, "locationimageurl":null, "_distance":"6.61",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</si>
  <si>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"latitude":"44.5996096201182", "url":null, "postalcode":"L3V 7M9", "province":"ON", "sustainabilityurl":null, "hoursmon":"Please Call", "longitude":"-79.4249081117356", "uid":400726414, "retailerlinkurl":null, "hourssat":"Please Call", "clientkey":"157953", "name":"ListenUp! Canada", "locationlinkurl":null, "address1":"170 Memorial Ave", "icon":"normal", "bho":null, "_distanceuom":"mile", "hourssun":"Please Call", "computers":"N", "cfl":"N", "regionalimageurl":null, "city":"Orillia", "singleuse":"Y", "fax":null, "country":"CA", "logourl":"http://www.call2recycle.org/notpress/where2getit/call2recycle.png", "phone":"705-326-9421", "address2":null, "locationimageurl":null, "_distance":"6.79",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</si>
  <si>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"latitude":"44.59032", "url":null, "postalcode":"L3V 6Z9", "province":"ON", "sustainabilityurl":null, "hoursmon":"Please Call", "longitude":"-79.41173", "uid":1182190474, "retailerlinkurl":null, "hourssat":"Please Call", "clientkey":"37781", "name":"City of Orillia", "locationlinkurl":null, "address1":"100 Kitchener St", "icon":"preferred", "bho":null, "_distanceuom":"mile", "hourssun":"Please Call", "computers":"N", "cfl":"N", "regionalimageurl":null, "city":"Orillia", "singleuse":"Y", "fax":null, "country":"CA", "logourl":"http://www.call2recycle.org/notpress/where2getit/call2recycle.png", "phone":"705-325-2325", "address2":null, "locationimageurl":null, "_distance":"7.33",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</si>
  <si>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"latitude":"45.0435187961326", "url":null, "postalcode":"P1L 1X3", "province":"ON", "sustainabilityurl":null, "hoursmon":"Please Call", "longitude":"-79.3305916592164", "uid":1806422161, "retailerlinkurl":null, "hourssat":"Please Call", "clientkey":"138618", "name":"Staples", "locationlinkurl":null, "address1":"500 Highway 118 W Unit 102", "icon":"preferred", "bho":null, "_distanceuom":"mile", "hourssun":"Please Call", "computers":"N", "cfl":"N", "regionalimageurl":null, "city":"Bracebridge", "singleuse":"Y", "fax":null, "country":"CA", "logourl":"http://www.call2recycle.org/notpress/where2getit/staples.png", "phone":"705-646-2775", "address2":null, "locationimageurl":null, "_distance":"12.69",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</si>
  <si>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"latitude":"44.9962773", "url":"http://www.canadiantire.ca", "postalcode":"P1L 1V4", "province":"ON", "sustainabilityurl":null, "hoursmon":"8:00am-9:00pm", "longitude":"-79.3083362", "uid":1182187679, "retailerlinkurl":null, "hourssat":"Please Call", "clientkey":"1693", "name":"Canadian Tire", "locationlinkurl":null, "address1":"Highway #118 West", "icon":"preferred", "bho":null, "_distanceuom":"mile", "hourssun":"Please Call", "computers":"N", "cfl":"Y", "regionalimageurl":null, "city":"Bracebridge", "singleuse":"Y", "fax":null, "country":"CA", "logourl":"http://www.call2recycle.org/notpress/where2getit/canadiantire.png", "phone":"705-645-5261", "address2":null, "locationimageurl":null, "_distance":"12.88",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</si>
  <si>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"latitude":"45.0498275", "url":null, "postalcode":"P1L 0A1", "province":"ON", "sustainabilityurl":null, "hoursmon":"Please Call", "longitude":"-79.292494375", "uid":1182182013, "retailerlinkurl":null, "hourssat":"Please Call", "clientkey":"68145", "name":"Home Depot", "locationlinkurl":null, "address1":"20 Depot Dr", "icon":"preferred", "bho":null, "_distanceuom":"mile", "hourssun":"Please Call", "computers":"N", "cfl":"N", "regionalimageurl":null, "city":"Bracebridge", "singleuse":"Y", "fax":null, "country":"CA", "logourl":"http://www.call2recycle.org/notpress/where2getit/homedepot.png", "phone":"705-646-5600", "address2":null, "locationimageurl":null, "_distance":"14.58",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</si>
  <si>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"_distance":"18.12",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</si>
  <si>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"_distance":"18.24",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</si>
  <si>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"_distance":"19.32",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</si>
  <si>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"latitude":"45.31568", "url":null, "postalcode":"P1H 1Z9", "province":"ON", "sustainabilityurl":null, "hoursmon":"Please Call", "longitude":"-79.24049", "uid":533724651, "retailerlinkurl":null, "hourssat":"Please Call", "clientkey":"149395", "name":"MTO", "locationlinkurl":null, "address1":"Min. of Transportation - Huntsville Area Office",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"phone":"705-789-2392", "address2":null, "locationimageurl":null, "_distance":"19.34",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</si>
  <si>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"latitude":"45.33947143545", "url":null, "postalcode":"P1H 0A2", "province":"ON", "sustainabilityurl":null, "hoursmon":"Please Call", "longitude":"-79.2202006280094", "uid":1182200201, "retailerlinkurl":null, "hourssat":"Please Call", "clientkey":"94845", "name":"Home Depot", "locationlinkurl":null, "address1":"9 Ott Dr", "icon":"preferred", "bho":null, "_distanceuom":"mile", "hourssun":"Please Call", "computers":"N", "cfl":"N", "regionalimageurl":null, "city":"Huntsville", "singleuse":"Y", "fax":null, "country":"CA", "logourl":"http://www.call2recycle.org/notpress/where2getit/homedepot.png", "phone":"705-788-5000", "address2":null, "locationimageurl":null, "_distance":"20.35",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</si>
  <si>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"latitude":"45.3319224506029", "url":null, "postalcode":"P1H 1G3", "province":"ON", "sustainabilityurl":null, "hoursmon":"Please Call", "longitude":"-79.2084770905076", "uid":400726418, "retailerlinkurl":null, "hourssat":"Please Call", "clientkey":"157957", "name":"ListenUp! Canada", "locationlinkurl":null, "address1":"48 King William St",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"phone":"705-789-9293", "address2":null, "locationimageurl":null, "_distance":"20.89",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</si>
  <si>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"latitude":"45.33405", "url":"http://www.thesource.ca", "postalcode":"P1H 2A5", "province":"ON", "sustainabilityurl":"http://www.thesource.ca/sitelets/jobs/environment.asp", "hoursmon":"Please Call", "longitude":"-79.20579", "uid":1182179446, "retailerlinkurl":null, "hourssat":"Please Call", "clientkey":"104230", "name":"The Source", "locationlinkurl":null, "address1":"70 King William St Unit 24", "icon":"preferred", "bho":null, "_distanceuom":"mile", "hourssun":"Please Call", "computers":"N", "cfl":"N", "regionalimageurl":null, "city":"Huntsville", "singleuse":"Y", "fax":null, "country":"CA", "logourl":"http://www.call2recycle.org/notpress/where2getit/thesource.png", "phone":"705-788-1357", "address2":null, "locationimageurl":null, "_distance":"21.03",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</si>
  <si>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"latitude":"45.334272814617", "url":"http://www.canadiantire.ca", "postalcode":"P1H 1E5", "province":"ON", "sustainabilityurl":null, "hoursmon":"8:00am-9:00pm", "longitude":"-79.2056134299262", "uid":1182173767, "retailerlinkurl":null, "hourssat":"Please Call", "clientkey":"1513", "name":"Canadian Tire", "locationlinkurl":null, "address1":"77 King William St", "icon":"preferred", "bho":null, "_distanceuom":"mile", "hourssun":"Please Call", "computers":"N", "cfl":"Y", "regionalimageurl":null, "city":"Huntsville", "singleuse":"Y", "fax":null, "country":"CA", "logourl":"http://www.call2recycle.org/notpress/where2getit/canadiantire.png", "phone":"705-789-5566", "address2":null, "locationimageurl":null, "_distance":"21.04",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</si>
  <si>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"latitude":"45.33458", "url":null, "postalcode":"P1H 1G6", "province":"ON", "sustainabilityurl":null, "hoursmon":"Please Call", "longitude":"-79.20537", "uid":1668155495, "retailerlinkurl":null, "hourssat":"Please Call", "clientkey":"106098", "name":"Staples", "locationlinkurl":null, "address1":"King William St", "icon":"preferred", "bho":null, "_distanceuom":"mile", "hourssun":"Please Call", "computers":"N", "cfl":"N", "regionalimageurl":null, "city":"Huntsville", "singleuse":"Y", "fax":null, "country":"CA", "logourl":"http://www.call2recycle.org/notpress/where2getit/staples.png", "phone":"705-789-5817", "address2":null, "locationimageurl":null, "_distance":"21.05",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</si>
  <si>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"latitude":"45.0435187961326", "url":null, "postalcode":"P1L 1X3", "province":"ON", "sustainabilityurl":null, "hoursmon":"Please Call", "longitude":"-79.3305916592164", "uid":1806422161, "retailerlinkurl":null, "hourssat":"Please Call", "clientkey":"138618", "name":"Staples", "locationlinkurl":null, "address1":"500 Highway 118 W Unit 102", "icon":"preferred", "bho":null, "_distanceuom":"mile", "hourssun":"Please Call", "computers":"N", "cfl":"N", "regionalimageurl":null, "city":"Bracebridge", "singleuse":"Y", "fax":null, "country":"CA", "logourl":"http://www.call2recycle.org/notpress/where2getit/staples.png", "phone":"705-646-2775", "address2":null, "locationimageurl":null, "_distance":"24.48",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</si>
  <si>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"_distance":"13.29",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</si>
  <si>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"_distance":"13.62",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</si>
  <si>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"_distance":"13.62", "inktoner":"N", "nationalinkurl":null, "regionallinkurl":null, "cellphones":"Y", "hourstues":"Please Call", "consumerelectronics":"Y", "hourswed":"Please Call", "rank":"0"</t>
  </si>
  <si>
    <t xml:space="preserve">        "collectioncount":8,</t>
  </si>
  <si>
    <t xml:space="preserve">            "rechargeable": "Y", "nationalimageurl":null, "glasses":"N", "hoursthurs":"Please Call", "state":null, "retailerimageurl":null, "hoursfri":"Please Call", "acceptedmaterialsurl":null, "latitude":"45.344422", "url":null, "postalcode":"P2A 1W9", "province":"ON", "sustainabilityurl":null, "hoursmon":"Please Call", "longitude":"-80.035152", "uid":1697151317, "retailerlinkurl":null, "hourssat":"Please Call", "clientkey":"151434", "name":"Georgian Bay Software", "locationlinkurl":null, "address1":"42 Gibson St", "icon":"normal", "bho":null, "_distanceuom":"mile", "hourssun":"Please Call", "computers":"N", "cfl":"N", "regionalimageurl":null, "city":"Parry Sound", "singleuse":"Y", "fax":null, "country":"CA", "logourl":"http://www.call2recycle.org/notpress/where2getit/call2recycle.png", "phone":"705-746-6943", "address2":null, "locationimageurl":null, "_distance":"41.71",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</si>
  <si>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"latitude":"45.3434048134126", "url":null, "postalcode":"P2A 2L7", "province":"ON", "sustainabilityurl":null, "hoursmon":"Please Call", "longitude":"-80.0129387664976", "uid":1182187194, "retailerlinkurl":null, "hourssat":"Please Call", "clientkey":"123685", "name":"Home Depot", "locationlinkurl":null, "address1":"100 Bowes St", "icon":"preferred", "bho":null, "_distanceuom":"mile", "hourssun":"Please Call", "computers":"N", "cfl":"N", "regionalimageurl":null, "city":"Parry Sound", "singleuse":"Y", "fax":null, "country":"CA", "logourl":"http://www.call2recycle.org/notpress/where2getit/homedepot.png", "phone":"705-774-7000", "address2":null, "locationimageurl":null, "_distance":"42.39",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</si>
  <si>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"latitude":"45.34407", "url":"http://www.thesource.ca", "postalcode":"P2A 3C3", "province":"ON", "sustainabilityurl":"http://www.thesource.ca/sitelets/jobs/environment.asp", "hoursmon":"Please Call", "longitude":"-80.01031", "uid":1522038380, "retailerlinkurl":null, "hourssat":"Please Call", "clientkey":"1270", "name":"The Source", "locationlinkurl":null, "address1":"1 Pine Dr Unit B4", "icon":"normal", "bho":null, "_distanceuom":"mile", "hourssun":"Please Call", "computers":"N", "cfl":"N", "regionalimageurl":null, "city":"Parry Sound", "singleuse":"Y", "fax":null, "country":"CA", "logourl":"http://www.call2recycle.org/notpress/where2getit/thesource.png", "phone":"705-746-8383", "address2":null, "locationimageurl":null, "_distance":"42.43",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</si>
  <si>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"latitude":"46.4510312859701", "url":"http://www.thesource.ca", "postalcode":"P3E 5R2", "province":"ON", "sustainabilityurl":"http://www.thesource.ca/sitelets/jobs/environment.asp", "hoursmon":"Please Call", "longitude":"-81.0016696544131", "uid":-84153459, "retailerlinkurl":null, "hourssat":"Please Call", "clientkey":"100238", "name":"The Source", "locationlinkurl":null, "address1":"1933 Regent St Unit 53",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"phone":"705-522-1457", "address2":null, "locationimageurl":null, "_distance":"47.94",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</si>
  <si>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"latitude":"46.4719496466368", "url":null, "postalcode":"P3C 3B6", "province":"ON", "sustainabilityurl":null, "hoursmon":"Please Call", "longitude":"-81.0280557295891", "uid":341261700, "retailerlinkurl":null, "hourssat":"Please Call", "clientkey":"161199", "name":"Fastenal", "locationlinkurl":null, "address1":"1113 Webbwood Dr",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"phone":"705-675-6888", "address2":null, "locationimageurl":null, "_distance":"49.81",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</si>
  <si>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"latitude":"46.50216", "url":null, "postalcode":"P3B 4K5", "province":"ON", "sustainabilityurl":null, "hoursmon":"Please Call", "longitude":"-80.9413717053339", "uid":1659485470, "retailerlinkurl":null, "hourssat":"Please Call", "clientkey":"43590", "name":"Home Depot", "locationlinkurl":null, "address1":"1500 Marcus Dr", "icon":"preferred", "bho":null, "_distanceuom":"mile", "hourssun":"Please Call", "computers":"N", "cfl":"N", "regionalimageurl":null, "city":"Sudbury", "singleuse":"Y", "fax":null, "country":"CA", "logourl":"http://www.call2recycle.org/notpress/where2getit/homedepot.png", "phone":"705-525-2960", "address2":null, "locationimageurl":null, "_distance":"49.88",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</si>
  <si>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"latitude":"46.5057506247064", "url":null, "postalcode":"P3A 6C8", "province":"ON", "sustainabilityurl":null, "hoursmon":"Please Call", "longitude":"-80.9304913530085", "uid":1182192794, "retailerlinkurl":null, "hourssat":"Please Call", "clientkey":"71497", "name":"City of Greater Sudbury", "locationlinkurl":null, "address1":"1853 Frobisher St",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"phone":"705-671-2489", "address2":null, "locationimageurl":null, "_distance":"49.90",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</si>
  <si>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"latitude":"46.5016862172095", "url":null, "postalcode":"P3B 4K6", "province":"ON", "sustainabilityurl":null, "hoursmon":"Please Call", "longitude":"-80.945430510575", "uid":1182194475, "retailerlinkurl":null, "hourssat":"Please Call", "clientkey":"127652", "name":"Lowes", "locationlinkurl":null, "address1":"1199 Marcus Dr", "icon":"preferred", "bho":null, "_distanceuom":"mile", "hourssun":"Please Call", "computers":"N", "cfl":"N", "regionalimageurl":null, "city":"Sudbury", "singleuse":"Y", "fax":null, "country":"CA", "logourl":"http://www.call2recycle.org/notpress/where2getit/lowes.png", "phone":"705-521-7200", "address2":null, "locationimageurl":null, "_distance":"49.92",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</si>
  <si>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"_distance":"13.04",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</si>
  <si>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"_distance":"25.47",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</si>
  <si>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"latitude":"45.33947143545", "url":null, "postalcode":"P1H 0A2", "province":"ON", "sustainabilityurl":null, "hoursmon":"Please Call", "longitude":"-79.2202006280094", "uid":1182200201, "retailerlinkurl":null, "hourssat":"Please Call", "clientkey":"94845", "name":"Home Depot", "locationlinkurl":null, "address1":"9 Ott Dr", "icon":"preferred", "bho":null, "_distanceuom":"mile", "hourssun":"Please Call", "computers":"N", "cfl":"N", "regionalimageurl":null, "city":"Huntsville", "singleuse":"Y", "fax":null, "country":"CA", "logourl":"http://www.call2recycle.org/notpress/where2getit/homedepot.png", "phone":"705-788-5000", "address2":null, "locationimageurl":null, "_distance":"33.70",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</si>
  <si>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"latitude":"45.33458", "url":null, "postalcode":"P1H 1G6", "province":"ON", "sustainabilityurl":null, "hoursmon":"Please Call", "longitude":"-79.20537", "uid":1668155495, "retailerlinkurl":null, "hourssat":"Please Call", "clientkey":"106098", "name":"Staples", "locationlinkurl":null, "address1":"King William St", "icon":"preferred", "bho":null, "_distanceuom":"mile", "hourssun":"Please Call", "computers":"N", "cfl":"N", "regionalimageurl":null, "city":"Huntsville", "singleuse":"Y", "fax":null, "country":"CA", "logourl":"http://www.call2recycle.org/notpress/where2getit/staples.png", "phone":"705-789-5817", "address2":null, "locationimageurl":null, "_distance":"33.81",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</si>
  <si>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"latitude":"45.334272814617", "url":"http://www.canadiantire.ca", "postalcode":"P1H 1E5", "province":"ON", "sustainabilityurl":null, "hoursmon":"8:00am-9:00pm", "longitude":"-79.2056134299262", "uid":1182173767, "retailerlinkurl":null, "hourssat":"Please Call", "clientkey":"1513", "name":"Canadian Tire", "locationlinkurl":null, "address1":"77 King William St", "icon":"preferred", "bho":null, "_distanceuom":"mile", "hourssun":"Please Call", "computers":"N", "cfl":"Y", "regionalimageurl":null, "city":"Huntsville", "singleuse":"Y", "fax":null, "country":"CA", "logourl":"http://www.call2recycle.org/notpress/where2getit/canadiantire.png", "phone":"705-789-5566", "address2":null, "locationimageurl":null, "_distance":"33.84",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</si>
  <si>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"latitude":"45.33405", "url":"http://www.thesource.ca", "postalcode":"P1H 2A5", "province":"ON", "sustainabilityurl":"http://www.thesource.ca/sitelets/jobs/environment.asp", "hoursmon":"Please Call", "longitude":"-79.20579", "uid":1182179446, "retailerlinkurl":null, "hourssat":"Please Call", "clientkey":"104230", "name":"The Source", "locationlinkurl":null, "address1":"70 King William St Unit 24", "icon":"preferred", "bho":null, "_distanceuom":"mile", "hourssun":"Please Call", "computers":"N", "cfl":"N", "regionalimageurl":null, "city":"Huntsville", "singleuse":"Y", "fax":null, "country":"CA", "logourl":"http://www.call2recycle.org/notpress/where2getit/thesource.png", "phone":"705-788-1357", "address2":null, "locationimageurl":null, "_distance":"33.86",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</si>
  <si>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"latitude":"45.3319224506029", "url":null, "postalcode":"P1H 1G3", "province":"ON", "sustainabilityurl":null, "hoursmon":"Please Call", "longitude":"-79.2084770905076", "uid":400726418, "retailerlinkurl":null, "hourssat":"Please Call", "clientkey":"157957", "name":"ListenUp! Canada", "locationlinkurl":null, "address1":"48 King William St",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"phone":"705-789-9293", "address2":null, "locationimageurl":null, "_distance":"34.03",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</si>
  <si>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"latitude":"45.31568", "url":null, "postalcode":"P1H 1Z9", "province":"ON", "sustainabilityurl":null, "hoursmon":"Please Call", "longitude":"-79.24049", "uid":533724651, "retailerlinkurl":null, "hourssat":"Please Call", "clientkey":"149395", "name":"MTO", "locationlinkurl":null, "address1":"Min. of Transportation - Huntsville Area Office", "icon":"normal", "bho":null, "_distanceuom":"mile", "hourssun":"Please Call", "computers":"N", "cfl":"N", "regionalimageurl":null, "city":"Huntsville", "singleuse":"Y", "fax":null, "country":"CA", "logourl":"http://www.call2recycle.org/notpress/where2getit/call2recycle.png", "phone":"705-789-2392", "address2":null, "locationimageurl":null, "_distance":"35.56",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</si>
  <si>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"latitude":"46.2708855102041", "url":null, "postalcode":"P1A 4M5", "province":"ON", "sustainabilityurl":null, "hoursmon":"Please Call", "longitude":"-79.4103093877551", "uid":1182177981, "retailerlinkurl":null, "hourssat":"Please Call", "clientkey":"36769", "name":"Spectrum Telecom Group Ltd", "locationlinkurl":null, "address1":"132 Imperial Rd",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"phone":"705-474-6368", "address2":null, "locationimageurl":null, "_distance":"37.48",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</si>
  <si>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"latitude":"46.2829", "url":"http://www.thesource.ca", "postalcode":"P1A 3V2", "province":"ON", "sustainabilityurl":"http://www.thesource.ca/sitelets/jobs/environment.asp", "hoursmon":"Please Call", "longitude":"-79.44897", "uid":1025961221, "retailerlinkurl":null, "hourssat":"Please Call", "clientkey":"699", "name":"The Source", "locationlinkurl":null, "address1":"300 Lakeshore Dr", "icon":"preferred", "bho":null, "_distanceuom":"mile", "hourssun":"Please Call", "computers":"N", "cfl":"N", "regionalimageurl":null, "city":"North Bay", "singleuse":"Y", "fax":null, "country":"CA", "logourl":"http://www.call2recycle.org/notpress/where2getit/thesource.png", "phone":"705-476-4486", "address2":null, "locationimageurl":null, "_distance":"39.16",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</si>
  <si>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"latitude":"46.3072931080718", "url":null, "postalcode":"P1B 9V6", "province":"ON", "sustainabilityurl":null, "hoursmon":"Please Call", "longitude":"-79.4389821007338", "uid":1329764656, "retailerlinkurl":null, "hourssat":"Please Call", "clientkey":"94850", "name":"Home Depot", "locationlinkurl":null, "address1":"1275 Seymour St", "icon":"preferred", "bho":null, "_distanceuom":"mile", "hourssun":"Please Call", "computers":"N", "cfl":"N", "regionalimageurl":null, "city":"North Bay", "singleuse":"Y", "fax":null, "country":"CA", "logourl":"http://www.call2recycle.org/notpress/where2getit/homedepot.png", "phone":"705-845-2300", "address2":null, "locationimageurl":null, "_distance":"40.34",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</si>
  <si>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"latitude":"46.31202", "url":null, "postalcode":"P1B 8G4", "province":"ON", "sustainabilityurl":null, "hoursmon":"Please Call", "longitude":"-79.43825", "uid":1182188922, "retailerlinkurl":null, "hourssat":"Please Call", "clientkey":"58701", "name":"City of North Bay", "locationlinkurl":null, "address1":"112 Patton St.", "icon":"preferred", "bho":null, "_distanceuom":"mile", "hourssun":"Please Call", "computers":"N", "cfl":"N", "regionalimageurl":null, "city":"North Bay", "singleuse":"Y", "fax":null, "country":"CA", "logourl":"http://www.call2recycle.org/notpress/where2getit/call2recycle.png", "phone":"705-474-0400", "address2":null, "locationimageurl":null, "_distance":"40.60",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</si>
  <si>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"uid":-1088922483, "retailerlinkurl":null, "hourssat":"Please Call", "clientkey":"72015", "name":"Sears (Canada)", "locationlinkurl":null, "address1":"1500 Fisher St Unit 1045", "icon":"normal", "bho":null, "_distanceuom":"mile", "hourssun":"Please Call", "computers":"N", "cfl":"N", "regionalimageurl":null, "city":"North Bay", "singleuse":"Y", "fax":null, "country":"CA", "logourl":"http://www.call2recycle.org/notpress/where2getit/sears.png", "phone":"705-476-2119", "address2":null, "locationimageurl":null, "_distance":"40.77",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</si>
  <si>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"uid":568957825, "retailerlinkurl":null, "hourssat":"Please Call", "clientkey":"132838", "name":"Best Buy Canada", "locationlinkurl":null, "address1":"Northgate Plaza 1500 Fisher St", "icon":"normal", "bho":null, "_distanceuom":"mile", "hourssun":"Please Call", "computers":"N", "cfl":"N", "regionalimageurl":null, "city":"North Bay", "singleuse":"Y", "fax":null, "country":"CA", "logourl":"http://www.call2recycle.org/notpress/where2getit/bestbuy.png", "phone":"705-472-2126", "address2":null, "locationimageurl":null, "_distance":"40.77",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</si>
  <si>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"latitude":"46.3179816161616", "url":null, "postalcode":"P1B 4C8", "province":"ON", "sustainabilityurl":null, "hoursmon":"Please Call", "longitude":"-79.4468766666667", "uid":400726526, "retailerlinkurl":null, "hourssat":"Please Call", "clientkey":"157937", "name":"ListenUp! Canada", "locationlinkurl":null, "address1":"1833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"phone":"705-474-3896", "address2":null, "locationimageurl":null, "_distance":"41.17",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</si>
  <si>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"latitude":"46.3157196161105", "url":null, "postalcode":"P1B 4A4", "province":"ON", "sustainabilityurl":null, "hoursmon":"Please Call", "longitude":"-79.461210087138", "uid":1182179717, "retailerlinkurl":null, "hourssat":"Please Call", "clientkey":"115195", "name":"Gateway Professional Tools", "locationlinkurl":null, "address1":"790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"phone":"705-495-4906", "address2":null, "locationimageurl":null, "_distance":"41.39",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</si>
  <si>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"latitude":"46.33246", "url":null, "postalcode":"P1B 4Y8", "province":"ON", "sustainabilityurl":null, "hoursmon":"Please Call", "longitude":"-79.46608", "uid":1662011100, "retailerlinkurl":null, "hourssat":"Please Call", "clientkey":"67957", "name":"Staples", "locationlinkurl":null, "address1":"1899 Algonquin Ave", "icon":"preferred", "bho":null, "_distanceuom":"mile", "hourssun":"Please Call", "computers":"N", "cfl":"N", "regionalimageurl":null, "city":"North Bay", "singleuse":"Y", "fax":null, "country":"CA", "logourl":"http://www.call2recycle.org/notpress/where2getit/staples.png", "phone":"705-472-7223", "address2":null, "locationimageurl":null, "_distance":"42.50",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</si>
  <si>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"latitude":"45.49942", "url":null, "postalcode":"K0J 2M0", "province":"ON", "sustainabilityurl":null, "hoursmon":"Please Call", "longitude":"-78.23153", "uid":523023623, "retailerlinkurl":null, "hourssat":"Please Call", "clientkey":"169094", "name":"Airy Landfill Site", "locationlinkurl":null, "address1":"462 Nipissing Road", "icon":"normal", "bho":null, "_distanceuom":"mile", "hourssun":"Please Call", "computers":"N", "cfl":"N", "regionalimageurl":null, "city":"Whitney", "singleuse":"Y", "fax":null, "country":"CA", "logourl":"http://www.call2recycle.org/notpress/where2getit/call2recycle.png", "phone":"--", "address2":null, "locationimageurl":null, "_distance":"43.15",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</si>
  <si>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"latitude":"45.4860755", "url":null, "postalcode":"K0J 2M0", "province":"ON", "sustainabilityurl":null, "hoursmon":"Please Call", "longitude":"-78.2406405", "uid":642399747, "retailerlinkurl":null, "hourssat":"Please Call", "clientkey":"168778", "name":"Township of South Algonquin", "locationlinkurl":null, "address1":"7 Third Avenue", "icon":"normal", "bho":null, "_distanceuom":"mile", "hourssun":"Please Call", "computers":"N", "cfl":"N", "regionalimageurl":null, "city":"Whitney", "singleuse":"Y", "fax":null, "country":"CA", "logourl":"http://www.call2recycle.org/notpress/where2getit/call2recycle.png", "phone":"613-637-2650", "address2":null, "locationimageurl":null, "_distance":"43.23",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</si>
  <si>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"hoursthurs":"8:30 a.m. to 4:00 p.m.", "state":null, "retailerimageurl":null, "hoursfri":"8:30 a.m. to 4:00 p.m.", "acceptedmaterialsurl":null, "latitude":"45.4860755", "url":null, "postalcode":"K0J 2M0", "province":"ON", "sustainabilityurl":null, "hoursmon":"8:30 a.m. to 4:00 p.m.", "longitude":"-78.2406405", "uid":523023613, "retailerlinkurl":null, "hourssat":"Closed", "clientkey":"169093", "name":"Whitney Municipal Office", "locationlinkurl":null, "address1":"7 Third Avenue",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"_distance":"43.23", "inktoner":"N", "nationalinkurl":null, "regionallinkurl":null, "cellphones":"Y", "hourstues":"8:30 a.m. to 4:00 p.m.", "consumerelectronics":"N", "hourswed":"8:30 a.m. to 4:00 p.m.", "rank":"0"</t>
  </si>
  <si>
    <t xml:space="preserve">            "rechargeable": "Y", "nationalimageurl":null, "glasses":"N", "hoursthurs":"5:00 p.m. to 7:30 p.m", "state":null, "retailerimageurl":null, "hoursfri":"Closed", "acceptedmaterialsurl":null, "latitude":"45.4600026", "url":null, "postalcode":"K0J 2M0", "province":"ON", "sustainabilityurl":null, "hoursmon":"Closed", "longitude":"-78.1642873", "uid":523023627, "retailerlinkurl":null, "hourssat":"Closed", "clientkey":"169097", "name":"Whitney Library", "locationlinkurl":null, "address1":"33 Medical Centre Rd", "icon":"normal", "bho":null, "_distanceuom":"mile", "hourssun":"Closed", "computers":"N", "cfl":"N", "regionalimageurl":null, "city":"Whitney", "singleuse":"Y", "fax":null, "country":"CA", "logourl":"http://www.call2recycle.org/notpress/where2getit/call2recycle.png", "phone":"--", "address2":null, "locationimageurl":null, "_distance":"47.33", "inktoner":"N", "nationalinkurl":null, "regionallinkurl":null, "cellphones":"Y", "hourstues":"5:00 p.m. to 7:30 p.m", "consumerelectronics":"N", "hourswed":"11:00 a.m. to 6:00 p.m", "rank":"0"</t>
  </si>
  <si>
    <t xml:space="preserve">            "rechargeable": "Y", "nationalimageurl":null, "glasses":"N", "hoursthurs":"Please Call", "state":null, "retailerimageurl":null, "hoursfri":"Please Call", "acceptedmaterialsurl":null, "latitude":"46.33246", "url":null, "postalcode":"P1B 4Y8", "province":"ON", "sustainabilityurl":null, "hoursmon":"Please Call", "longitude":"-79.46608", "uid":1662011100, "retailerlinkurl":null, "hourssat":"Please Call", "clientkey":"67957", "name":"Staples", "locationlinkurl":null, "address1":"1899 Algonquin Ave", "icon":"preferred", "bho":null, "_distanceuom":"mile", "hourssun":"Please Call", "computers":"N", "cfl":"N", "regionalimageurl":null, "city":"North Bay", "singleuse":"Y", "fax":null, "country":"CA", "logourl":"http://www.call2recycle.org/notpress/where2getit/staples.png", "phone":"705-472-7223", "address2":null, "locationimageurl":null, "_distance":"31.75",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</si>
  <si>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"latitude":"46.3157196161105", "url":null, "postalcode":"P1B 4A4", "province":"ON", "sustainabilityurl":null, "hoursmon":"Please Call", "longitude":"-79.461210087138", "uid":1182179717, "retailerlinkurl":null, "hourssat":"Please Call", "clientkey":"115195", "name":"Gateway Professional Tools", "locationlinkurl":null, "address1":"790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"phone":"705-495-4906", "address2":null, "locationimageurl":null, "_distance":"32.82",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</si>
  <si>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"latitude":"46.3179816161616", "url":null, "postalcode":"P1B 4C8", "province":"ON", "sustainabilityurl":null, "hoursmon":"Please Call", "longitude":"-79.4468766666667", "uid":400726526, "retailerlinkurl":null, "hourssat":"Please Call", "clientkey":"157937", "name":"ListenUp! Canada", "locationlinkurl":null, "address1":"1833 Cassells St",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"phone":"705-474-3896", "address2":null, "locationimageurl":null, "_distance":"33.10",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</si>
  <si>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"uid":-1088922483, "retailerlinkurl":null, "hourssat":"Please Call", "clientkey":"72015", "name":"Sears (Canada)", "locationlinkurl":null, "address1":"1500 Fisher St Unit 1045", "icon":"normal", "bho":null, "_distanceuom":"mile", "hourssun":"Please Call", "computers":"N", "cfl":"N", "regionalimageurl":null, "city":"North Bay", "singleuse":"Y", "fax":null, "country":"CA", "logourl":"http://www.call2recycle.org/notpress/where2getit/sears.png", "phone":"705-476-2119", "address2":null, "locationimageurl":null, "_distance":"33.49",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</si>
  <si>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"latitude":"46.31296", "url":null, "postalcode":"P1B 2H3", "province":"ON", "sustainabilityurl":null, "hoursmon":"Please Call", "longitude":"-79.44285", "uid":568957825, "retailerlinkurl":null, "hourssat":"Please Call", "clientkey":"132838", "name":"Best Buy Canada", "locationlinkurl":null, "address1":"Northgate Plaza 1500 Fisher St", "icon":"normal", "bho":null, "_distanceuom":"mile", "hourssun":"Please Call", "computers":"N", "cfl":"N", "regionalimageurl":null, "city":"North Bay", "singleuse":"Y", "fax":null, "country":"CA", "logourl":"http://www.call2recycle.org/notpress/where2getit/bestbuy.png", "phone":"705-472-2126", "address2":null, "locationimageurl":null, "_distance":"33.49",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</si>
  <si>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"latitude":"46.31202", "url":null, "postalcode":"P1B 8G4", "province":"ON", "sustainabilityurl":null, "hoursmon":"Please Call", "longitude":"-79.43825", "uid":1182188922, "retailerlinkurl":null, "hourssat":"Please Call", "clientkey":"58701", "name":"City of North Bay", "locationlinkurl":null, "address1":"112 Patton St.", "icon":"preferred", "bho":null, "_distanceuom":"mile", "hourssun":"Please Call", "computers":"N", "cfl":"N", "regionalimageurl":null, "city":"North Bay", "singleuse":"Y", "fax":null, "country":"CA", "logourl":"http://www.call2recycle.org/notpress/where2getit/call2recycle.png", "phone":"705-474-0400", "address2":null, "locationimageurl":null, "_distance":"33.68",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</si>
  <si>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"latitude":"46.3072931080718", "url":null, "postalcode":"P1B 9V6", "province":"ON", "sustainabilityurl":null, "hoursmon":"Please Call", "longitude":"-79.4389821007338", "uid":1329764656, "retailerlinkurl":null, "hourssat":"Please Call", "clientkey":"94850", "name":"Home Depot", "locationlinkurl":null, "address1":"1275 Seymour St", "icon":"preferred", "bho":null, "_distanceuom":"mile", "hourssun":"Please Call", "computers":"N", "cfl":"N", "regionalimageurl":null, "city":"North Bay", "singleuse":"Y", "fax":null, "country":"CA", "logourl":"http://www.call2recycle.org/notpress/where2getit/homedepot.png", "phone":"705-845-2300", "address2":null, "locationimageurl":null, "_distance":"33.92",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</si>
  <si>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"latitude":"46.2829", "url":"http://www.thesource.ca", "postalcode":"P1A 3V2", "province":"ON", "sustainabilityurl":"http://www.thesource.ca/sitelets/jobs/environment.asp", "hoursmon":"Please Call", "longitude":"-79.44897", "uid":1025961221, "retailerlinkurl":null, "hourssat":"Please Call", "clientkey":"699", "name":"The Source", "locationlinkurl":null, "address1":"300 Lakeshore Dr", "icon":"preferred", "bho":null, "_distanceuom":"mile", "hourssun":"Please Call", "computers":"N", "cfl":"N", "regionalimageurl":null, "city":"North Bay", "singleuse":"Y", "fax":null, "country":"CA", "logourl":"http://www.call2recycle.org/notpress/where2getit/thesource.png", "phone":"705-476-4486", "address2":null, "locationimageurl":null, "_distance":"35.00",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</si>
  <si>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"latitude":"46.2708855102041", "url":null, "postalcode":"P1A 4M5", "province":"ON", "sustainabilityurl":null, "hoursmon":"Please Call", "longitude":"-79.4103093877551", "uid":1182177981, "retailerlinkurl":null, "hourssat":"Please Call", "clientkey":"36769", "name":"Spectrum Telecom Group Ltd", "locationlinkurl":null, "address1":"132 Imperial Rd", "icon":"normal", "bho":null, "_distanceuom":"mile", "hourssun":"Please Call", "computers":"N", "cfl":"N", "regionalimageurl":null, "city":"North Bay", "singleuse":"Y", "fax":null, "country":"CA", "logourl":"http://www.call2recycle.org/notpress/where2getit/call2recycle.png", "phone":"705-474-6368", "address2":null, "locationimageurl":null, "_distance":"36.75",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</si>
  <si>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"latitude":"46.7213752941176", "url":null, "postalcode":"J0Z 3R0", "province":"QC", "sustainabilityurl":null, "hoursmon":"Veuillez appeler le point de dépôt.", "longitude":"-79.0941994117647", "uid":1986338911, "retailerlinkurl":null, "hourssat":"Veuillez appeler le point de dépôt.", "clientkey":"155307", "name":"Dépôt Témiscaming", "locationlinkurl":null, "address1":"23 Chemin Ruisseau-Gordon", "icon":"normal", "bho":null, "_distanceuom":"mile", "hourssun":"Veuillez appeler le point de dépôt.", "computers":"N", "cfl":"N", "regionalimageurl":null, "city":"Témiscaming", "singleuse":"Y", "fax":null, "country":"CA", "logourl":"http://www.call2recycle.org/notpress/where2getit/call2recycle.png", "phone":"--", "address2":null, "locationimageurl":null, "_distance":"36.83",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</si>
  <si>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"latitude":"46.72788", "url":null, "postalcode":"J0Z 3R0", "province":"QC", "sustainabilityurl":null, "hoursmon":"10h à 18h", "longitude":"-79.08898", "uid":245449662, "retailerlinkurl":null, "hourssat":"Veuillez appeler le point de dépôt.", "clientkey":"154841", "name":"Uniprix", "locationlinkurl":null, "address1":"Ch Kipawa", "icon":"normal", "bho":null, "_distanceuom":"mile", "hourssun":"Veuillez appeler le point de dépôt.", "computers":"N", "cfl":"N", "regionalimageurl":null, "city":"Temiscaming", "singleuse":"Y", "fax":null, "country":"CA", "logourl":"http://www.call2recycle.org/notpress/where2getit/call2recycle.png", "phone":"819-627-3373", "address2":null, "locationimageurl":null, "_distance":"37.10", "inktoner":"N", "nationalinkurl":null, "regionallinkurl":null, "cellphones":"Y", "hourstues":"10h à 18h", "consumerelectronics":"N", "hourswed":"10h à 18h",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</si>
  <si>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"latitude":"46.7461252321182", "url":null, "postalcode":"J0Z 2H0", "province":"QC", "sustainabilityurl":null, "hoursmon":"Veuillez appeler le point de dépôt.", "longitude":"-79.0553109598523", "uid":1986338726, "retailerlinkurl":null, "hourssat":"Veuillez appeler le point de dépôt.", "clientkey":"155502", "name":"Dépôt Kipawa", "locationlinkurl":null, "address1":"15 Rue Principale", "icon":"normal", "bho":null, "_distanceuom":"mile", "hourssun":"Veuillez appeler le point de dépôt.", "computers":"N", "cfl":"N", "regionalimageurl":null, "city":"Kipawa", "singleuse":"Y", "fax":null, "country":"CA", "logourl":"http://www.call2recycle.org/notpress/where2getit/call2recycle.png", "phone":"--", "address2":null, "locationimageurl":null, "_distance":"38.77",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</si>
  <si>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"latitude":"47.3295261511659", "url":null, "postalcode":"J9V 1A2", "province":"QC", "sustainabilityurl":null, "hoursmon":"Veuillez appeler le point de dépôt.", "longitude":"-79.4347846046635", "uid":1986333495, "retailerlinkurl":null, "hourssat":"Veuillez appeler le point de dépôt.", "clientkey":"155327", "name":"Dépôt Ville-Marie", "locationlinkurl":null, "address1":"21 rue Industriel", "icon":"normal",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"phone":"--", "address2":null, "locationimageurl":null, "_distance":"48.23",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</si>
  <si>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"latitude":"47.290527", "url":null, "postalcode":"J0Z 1G0", "province":"QC", "sustainabilityurl":null, "hoursmon":"Veuillez appeler le point de dépôt.", "longitude":"-79.327876", "uid":1986338663, "retailerlinkurl":null, "hourssat":"Veuillez appeler le point de dépôt.", "clientkey":"155582", "name":"Dépôt Béarn", "locationlinkurl":null, "address1":"4 2ième rue Nord", "icon":"normal", "bho":null, "_distanceuom":"mile", "hourssun":"Veuillez appeler le point de dépôt.", "computers":"N", "cfl":"N", "regionalimageurl":null, "city":"Béarn", "singleuse":"Y", "fax":null, "country":"CA", "logourl":"http://www.call2recycle.org/notpress/where2getit/call2recycle.png", "phone":"--", "address2":null, "locationimageurl":null, "_distance":"48.28",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</si>
  <si>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"hoursthurs":"8h à 17h30", "state":null, "retailerimageurl":null, "hoursfri":"Veuillez appeler le point de dépôt.", "acceptedmaterialsurl":null, "latitude":"47.33069", "url":null, "postalcode":"J9V 1J9", "province":"QC", "sustainabilityurl":null, "hoursmon":"8h à 17h30", "longitude":"-79.43604", "uid":349877388, "retailerlinkurl":null, "hourssat":"Veuillez appeler le point de dépôt.", "clientkey":"155858", "name":"BMR J. Drolet &amp; Fils ltée", "locationlinkurl":null, "address1":"11 Rue Des Oblats S", "icon":"normal",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"phone":"819-629-2885", "address2":null, "locationimageurl":null, "_distance":"48.28", "inktoner":"N", "nationalinkurl":null, "regionallinkurl":null, "cellphones":"Y", "hourstues":"8h à 17h30", "consumerelectronics":"N", "hourswed":"8h à 17h30", "rank":"0"</t>
  </si>
  <si>
    <t xml:space="preserve">            "rechargeable": "Y", "nationalimageurl":null, "glasses":"N", "hoursthurs":"Veuillez appeler le point de dépôt.", "state":null, "retailerimageurl":null, "hoursfri":"9h à 21h", "acceptedmaterialsurl":null, "latitude":"47.33723", "url":null, "postalcode":"J9V 1J5", "province":"QC", "sustainabilityurl":null, "hoursmon":"10h à 18h", "longitude":"-79.43704", "uid":1182189493, "retailerlinkurl":null, "hourssat":"9h à 17h", "clientkey":"77230", "name":"Bergeron Electronique", "locationlinkurl":null, "address1":"Rue Des Oblats N", "icon":"preferred", "bho":null, "_distanceuom":"mile", "hourssun":"Veuillez appeler le point de dépôt.", "computers":"N", "cfl":"N", "regionalimageurl":null, "city":"Ville-Marie", "singleuse":"Y", "fax":null, "country":"CA", "logourl":"http://www.call2recycle.org/notpress/where2getit/call2recycle.png", "phone":"819-629-3444", "address2":null, "locationimageurl":null, "_distance":"48.67", "inktoner":"N", "nationalinkurl":null, "regionallinkurl":null, "cellphones":"Y", "hourstues":"10h à 18h", "consumerelectronics":"N", "hourswed":"10h à 18h", "rank":"1"</t>
  </si>
  <si>
    <t xml:space="preserve">            "rechargeable": "Y", "nationalimageurl":null, "glasses":"N", "hoursthurs":"Please Call", "state":null, "retailerimageurl":null, "hoursfri":"Please Call", "acceptedmaterialsurl":null, "latitude":"46.0814266666667", "url":null, "postalcode":"P0H 1Z0", "province":"ON", "sustainabilityurl":null, "hoursmon":"Please Call", "longitude":"-79.3612022222222", "uid":-80584972, "retailerlinkurl":null, "hourssat":"Please Call", "clientkey":"165425", "name":"Powassan Home Hardware", "locationlinkurl":null, "address1":"489 Main St", "icon":"normal", "bho":null, "_distanceuom":"mile", "hourssun":"Please Call", "computers":"N", "cfl":"N", "regionalimageurl":null, "city":"Powassan", "singleuse":"Y", "fax":null, "country":"CA", "logourl":"http://www.call2recycle.org/notpress/where2getit/call2recycle.png", "phone":"705-724-2810", "address2":null, "locationimageurl":null, "_distance":"49.04",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</si>
  <si>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"latitude":"46.6085883728151", "url":"http://www.rona.ca", "postalcode":"P3N 1B2", "province":"ON", "sustainabilityurl":"http://www.rona.ca/corporate/corporate-responsibility", "hoursmon":"Please Call", "longitude":"-81.0313502368903", "uid":1788083538, "retailerlinkurl":null, "hourssat":"Please Call", "clientkey":"125524", "name":"RONA", "locationlinkurl":null, "address1":"2957 Poole Court", "icon":"normal", "bho":null, "_distanceuom":"mile", "hourssun":"Please Call", "computers":"N", "cfl":"Y", "regionalimageurl":null, "city":"Val Caron", "singleuse":"Y", "fax":null, "country":"CA", "logourl":"http://www.call2recycle.org/notpress/where2getit/rona.png", "phone":"705-897-2552", "address2":null, "locationimageurl":null, "_distance":"31.86",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</si>
  <si>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"latitude":"46.53725", "url":null, "postalcode":"P3A 4R7", "province":"ON", "sustainabilityurl":null, "hoursmon":"Please Call", "longitude":"-80.93738", "uid":1182192200, "retailerlinkurl":null, "hourssat":"Please Call", "clientkey":"35694", "name":"Jannatec Radio Technologies", "locationlinkurl":null, "address1":"1545 Maley Dr",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"phone":"705-566-3939", "address2":null, "locationimageurl":null, "_distance":"36.63",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</si>
  <si>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"latitude":"46.5220916317554", "url":null, "postalcode":"P3A 1X7", "province":"ON", "sustainabilityurl":null, "hoursmon":"Please Call", "longitude":"-80.960964597829", "uid":677051373, "retailerlinkurl":null, "hourssat":"Please Call", "clientkey":"169747", "name":"Princess Auto", "locationlinkurl":null, "address1":"891 LaSalle Blvd", "icon":"normal", "bho":null, "_distanceuom":"mile", "hourssun":"Please Call", "computers":"N", "cfl":"N", "regionalimageurl":null, "city":"Sudbury", "singleuse":"Y", "fax":null, "country":"CA", "logourl":"http://www.call2recycle.org/notpress/where2getit/PrincessAuto_150x150.png", "phone":"705-524-6500", "address2":null, "locationimageurl":null, "_distance":"37.66",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</si>
  <si>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"latitude":"46.52205", "url":"http://www.thesource.ca", "postalcode":"P3A 1Z2", "province":"ON", "sustainabilityurl":"http://www.thesource.ca/sitelets/jobs/environment.asp", "hoursmon":"Please Call", "longitude":"-80.94908", "uid":651890073, "retailerlinkurl":null, "hourssat":"Please Call", "clientkey":"71987", "name":"The Source", "locationlinkurl":null, "address1":"1349 Lasalle Blvd",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"phone":"705-560-1669", "address2":null, "locationimageurl":null, "_distance":"37.67",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</si>
  <si>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"latitude":"46.5057506247064", "url":null, "postalcode":"P3A 6C8", "province":"ON", "sustainabilityurl":null, "hoursmon":"Please Call", "longitude":"-80.9304913530085", "uid":1182192794, "retailerlinkurl":null, "hourssat":"Please Call", "clientkey":"71497", "name":"City of Greater Sudbury", "locationlinkurl":null, "address1":"1853 Frobisher St", "icon":"preferred", "bho":null, "_distanceuom":"mile", "hourssun":"Please Call", "computers":"N", "cfl":"N", "regionalimageurl":null, "city":"Sudbury", "singleuse":"Y", "fax":null, "country":"CA", "logourl":"http://www.call2recycle.org/notpress/where2getit/call2recycle.png", "phone":"705-671-2489", "address2":null, "locationimageurl":null, "_distance":"38.81",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</si>
  <si>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"latitude":"46.5050268639053", "url":null, "postalcode":"P3B 0A2", "province":"ON", "sustainabilityurl":null, "hoursmon":"Please Call", "longitude":"-80.9460298816568", "uid":1612939193, "retailerlinkurl":null, "hourssat":"Please Call", "clientkey":"68020", "name":"Staples", "locationlinkurl":null, "address1":"1425 Kingsway", "icon":"preferred", "bho":null, "_distanceuom":"mile", "hourssun":"Please Call", "computers":"N", "cfl":"N", "regionalimageurl":null, "city":"Sudbury", "singleuse":"Y", "fax":null, "country":"CA", "logourl":"http://www.call2recycle.org/notpress/where2getit/staples.png", "phone":"705-524-6227", "address2":null, "locationimageurl":null, "_distance":"38.84",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</si>
  <si>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"latitude":"46.50585", "url":null, "postalcode":"P3C 5A2", "province":"ON", "sustainabilityurl":null, "hoursmon":"Please Call", "longitude":"-81.00675", "uid":446933298, "retailerlinkurl":null, "hourssat":"Please Call", "clientkey":"52799", "name":"Spectrum Telecom Group Ltd", "locationlinkurl":null, "address1":"505 Frood Road",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"phone":"705-673-6661", "address2":null, "locationimageurl":null, "_distance":"38.85",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</si>
  <si>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"latitude":"46.50216", "url":null, "postalcode":"P3B 4K5", "province":"ON", "sustainabilityurl":null, "hoursmon":"Please Call", "longitude":"-80.9413717053339", "uid":1659485470, "retailerlinkurl":null, "hourssat":"Please Call", "clientkey":"43590", "name":"Home Depot", "locationlinkurl":null, "address1":"1500 Marcus Dr", "icon":"preferred", "bho":null, "_distanceuom":"mile", "hourssun":"Please Call", "computers":"N", "cfl":"N", "regionalimageurl":null, "city":"Sudbury", "singleuse":"Y", "fax":null, "country":"CA", "logourl":"http://www.call2recycle.org/notpress/where2getit/homedepot.png", "phone":"705-525-2960", "address2":null, "locationimageurl":null, "_distance":"39.05",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</si>
  <si>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"latitude":"46.5016862172095", "url":null, "postalcode":"P3B 4K6", "province":"ON", "sustainabilityurl":null, "hoursmon":"Please Call", "longitude":"-80.945430510575", "uid":1182194475, "retailerlinkurl":null, "hourssat":"Please Call", "clientkey":"127652", "name":"Lowes", "locationlinkurl":null, "address1":"1199 Marcus Dr", "icon":"preferred", "bho":null, "_distanceuom":"mile", "hourssun":"Please Call", "computers":"N", "cfl":"N", "regionalimageurl":null, "city":"Sudbury", "singleuse":"Y", "fax":null, "country":"CA", "logourl":"http://www.call2recycle.org/notpress/where2getit/lowes.png", "phone":"705-521-7200", "address2":null, "locationimageurl":null, "_distance":"39.07",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</si>
  <si>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"latitude":"46.4913295833333", "url":null, "postalcode":"P3E 1C1", "province":"ON", "sustainabilityurl":null, "hoursmon":"Please Call", "longitude":"-80.9930954166667", "uid":400726433, "retailerlinkurl":null, "hourssat":"Please Call", "clientkey":"157971", "name":"ListenUp! Canada", "locationlinkurl":null, "address1":"96 Larch St",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"phone":"705-670-8250", "address2":null, "locationimageurl":null, "_distance":"39.82",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</si>
  <si>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"latitude":"46.4719496466368", "url":null, "postalcode":"P3C 3B6", "province":"ON", "sustainabilityurl":null, "hoursmon":"Please Call", "longitude":"-81.0280557295891", "uid":341261700, "retailerlinkurl":null, "hourssat":"Please Call", "clientkey":"161199", "name":"Fastenal", "locationlinkurl":null, "address1":"1113 Webbwood Dr", "icon":"normal", "bho":null, "_distanceuom":"mile", "hourssun":"Please Call", "computers":"N", "cfl":"N", "regionalimageurl":null, "city":"Sudbury", "singleuse":"Y", "fax":null, "country":"CA", "logourl":"http://www.call2recycle.org/notpress/where2getit/call2recycle.png", "phone":"705-675-6888", "address2":null, "locationimageurl":null, "_distance":"41.25",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</si>
  <si>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"latitude":"46.4510312859701", "url":"http://www.thesource.ca", "postalcode":"P3E 5R2", "province":"ON", "sustainabilityurl":"http://www.thesource.ca/sitelets/jobs/environment.asp", "hoursmon":"Please Call", "longitude":"-81.0016696544131", "uid":-84153459, "retailerlinkurl":null, "hourssat":"Please Call", "clientkey":"100238", "name":"The Source", "locationlinkurl":null, "address1":"1933 Regent St Unit 53", "icon":"normal", "bho":null, "_distanceuom":"mile", "hourssun":"Please Call", "computers":"N", "cfl":"N", "regionalimageurl":null, "city":"Sudbury", "singleuse":"Y", "fax":null, "country":"CA", "logourl":"http://www.call2recycle.org/notpress/where2getit/thesource.png", "phone":"705-522-1457", "address2":null, "locationimageurl":null, "_distance":"42.62",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</si>
  <si>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"latitude":"46.21335", "url":null, "postalcode":"P0P 1P0", "province":"ON", "sustainabilityurl":null, "hoursmon":"Please Call", "longitude":"-82.06609", "uid":1182177947, "retailerlinkurl":null, "hourssat":"Please Call", "clientkey":"135556", "name":"Township of Sables-Spanish Rivers", "locationlinkurl":null, "address1":"1-11 Birch Lake Rd", "icon":"normal", "bho":null, "_distanceuom":"mile", "hourssun":"Please Call", "computers":"N", "cfl":"N", "regionalimageurl":null, "city":"Massey", "singleuse":"Y", "fax":null, "country":"CA", "logourl":"http://www.call2recycle.org/notpress/where2getit/call2recycle.png", "phone":"705-865-2646", "address2":null, "locationimageurl":null, "_distance":"11.94",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</si>
  <si>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"latitude":"46.18657", "url":null, "postalcode":"P0R 1B0", "province":"ON", "sustainabilityurl":null, "hoursmon":"Please Call", "longitude":"-82.95392", "uid":1182185843, "retailerlinkurl":null, "hourssat":"Please Call", "clientkey":"72018", "name":"Unicorn Stationery &amp; Gifts", "locationlinkurl":null, "address1":"23 Woodward Ave", "icon":"normal", "bho":null, "_distanceuom":"mile", "hourssun":"Please Call", "computers":"N", "cfl":"N", "regionalimageurl":null, "city":"Blind River", "singleuse":"Y", "fax":null, "country":"CA", "logourl":"http://www.call2recycle.org/notpress/where2getit/call2recycle.png", "phone":"705-356-7424", "address2":null, "locationimageurl":null, "_distance":"9.17",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</si>
  <si>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"latitude":"46.2559011111111", "url":null, "postalcode":"P0R 1L0", "province":"ON", "sustainabilityurl":null, "hoursmon":"Please Call", "longitude":"-83.5571277777778", "uid":-123812016, "retailerlinkurl":null, "hourssat":"Please Call", "clientkey":"83053", "name":"Ritchie Electronics", "locationlinkurl":null, "address1":"158 Main St", "icon":"normal", "bho":null, "_distanceuom":"mile", "hourssun":"Please Call", "computers":"N", "cfl":"N", "regionalimageurl":null, "city":"Thessalon", "singleuse":"Y", "fax":null, "country":"CA", "logourl":"http://www.call2recycle.org/notpress/where2getit/call2recycle.png", "phone":"705-842-2060", "address2":null, "locationimageurl":null, "_distance":"19.15",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</si>
  <si>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"latitude":"46.52184", "url":null, "postalcode":"P6B 1Y5", "province":"ON", "sustainabilityurl":null, "hoursmon":"Please Call", "longitude":"-84.31535", "uid":502591973, "retailerlinkurl":null, "hourssat":"Please Call", "clientkey":"157938", "name":"ListenUp! Canada", "locationlinkurl":null, "address1":"240 McNabb St",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"phone":"705-759-7453", "address2":null, "locationimageurl":null, "_distance":"24.09",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</si>
  <si>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"latitude":"46.5299991676132", "url":null, "postalcode":"P6B 4Z1", "province":"ON", "sustainabilityurl":null, "hoursmon":"Please Call", "longitude":"-84.3195214583807", "uid":502592008, "retailerlinkurl":null, "hourssat":"Please Call", "clientkey":"157954", "name":"ListenUp! Canada", "locationlinkurl":null, "address1":"154 Great Nern Rd", "icon":"normal", "bho":null, "_distanceuom":"mile", "hourssun":"Please Call", "computers":"N", "cfl":"N", "regionalimageurl":null, "city":"Sault Ste Marie", "singleuse":"Y", "fax":null, "country":"CA", "logourl":"http://www.call2recycle.org/notpress/where2getit/call2recycle.png", "phone":"705-942-6077", "address2":null, "locationimageurl":null, "_distance":"24.38",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</si>
  <si>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"latitude":"46.5361208793104", "url":null, "postalcode":"P6B 4Z8", "province":"ON", "sustainabilityurl":null, "hoursmon":"Please Call", "longitude":"-84.3188181318782", "uid":341261432, "retailerlinkurl":null, "hourssat":"Please Call", "clientkey":"68012", "name":"Staples", "locationlinkurl":null, "address1":"345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"logourl":"http://www.call2recycle.org/notpress/where2getit/staples.png", "phone":"705-256-1466", "address2":null, "locationimageurl":null, "_distance":"24.42",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</si>
  <si>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"latitude":"46.5437726873648", "url":null, "postalcode":"P6B 4Z9", "province":"ON", "sustainabilityurl":null, "hoursmon":"Please Call", "longitude":"-84.31709", "uid":-1665997042, "retailerlinkurl":null, "hourssat":"Please Call", "clientkey":"78242", "name":"Home Depot", "locationlinkurl":null, "address1":"530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"logourl":"http://www.call2recycle.org/notpress/where2getit/homedepot.png", "phone":"705-254-1150", "address2":null, "locationimageurl":null, "_distance":"24.45",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</si>
  <si>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"latitude":"46.54303", "url":null, "postalcode":"P6B 4Z9", "province":"ON", "sustainabilityurl":null, "hoursmon":"Please Call", "longitude":"-84.31917", "uid":1522037486, "retailerlinkurl":null, "hourssat":"Please Call", "clientkey":"132821", "name":"Best Buy Canada", "locationlinkurl":null, "address1":"548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"logourl":"http://www.call2recycle.org/notpress/where2getit/bestbuy.png", "phone":"705-942-0722", "address2":null, "locationimageurl":null, "_distance":"24.53",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</si>
  <si>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"latitude":"46.5509722592981", "url":null, "postalcode":"P6B 5P3", "province":"ON", "sustainabilityurl":null, "hoursmon":"Please Call", "longitude":"-84.3273139340878", "uid":1182178374, "retailerlinkurl":null, "hourssat":"Please Call", "clientkey":"56662", "name":"City of Sault Ste. Marie", "locationlinkurl":null, "address1":"115 Industrial Pk Cres",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"phone":"705-541-7049", "address2":null, "locationimageurl":null, "_distance":"38.60",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</si>
  <si>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"latitude":"46.5437726873648", "url":null, "postalcode":"P6B 4Z9", "province":"ON", "sustainabilityurl":null, "hoursmon":"Please Call", "longitude":"-84.31709", "uid":-1665997042, "retailerlinkurl":null, "hourssat":"Please Call", "clientkey":"78242", "name":"Home Depot", "locationlinkurl":null, "address1":"530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"logourl":"http://www.call2recycle.org/notpress/where2getit/homedepot.png", "phone":"705-254-1150", "address2":null, "locationimageurl":null, "_distance":"39.21",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</si>
  <si>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"latitude":"46.54303", "url":null, "postalcode":"P6B 4Z9", "province":"ON", "sustainabilityurl":null, "hoursmon":"Please Call", "longitude":"-84.31917", "uid":1522037486, "retailerlinkurl":null, "hourssat":"Please Call", "clientkey":"132821", "name":"Best Buy Canada", "locationlinkurl":null, "address1":"548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"logourl":"http://www.call2recycle.org/notpress/where2getit/bestbuy.png", "phone":"705-942-0722", "address2":null, "locationimageurl":null, "_distance":"39.23",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</si>
  <si>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"latitude":"46.5381441", "url":null, "postalcode":"P6B 4J9", "province":"ON", "sustainabilityurl":null, "hoursmon":"Please Call", "longitude":"-84.3321697", "uid":1182192567, "retailerlinkurl":null, "hourssat":"Please Call", "clientkey":"67478", "name":"Nor Bear Ltd", "locationlinkurl":null, "address1":"360 Second Line E", "icon":"preferred",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"phone":"705-254-3241", "address2":null, "locationimageurl":null, "_distance":"39.41",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</si>
  <si>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"latitude":"46.5373870562711", "url":null, "postalcode":"P6B 4J7", "province":"ON", "sustainabilityurl":null, "hoursmon":"Please Call", "longitude":"-84.3332230964698", "uid":1182174826, "retailerlinkurl":null, "hourssat":"Please Call", "clientkey":"44659", "name":"Spectrum Telecom Group Ltd", "locationlinkurl":null, "address1":"73 White Oak Dr E",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"phone":"705-759-0075", "address2":null, "locationimageurl":null, "_distance":"39.45",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</si>
  <si>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"latitude":"46.5361208793104", "url":null, "postalcode":"P6B 4Z8", "province":"ON", "sustainabilityurl":null, "hoursmon":"Please Call", "longitude":"-84.3188181318782", "uid":341261432, "retailerlinkurl":null, "hourssat":"Please Call", "clientkey":"68012", "name":"Staples", "locationlinkurl":null, "address1":"345 Great Northern Rd", "icon":"preferred", "bho":null, "_distanceuom":"mile", "hourssun":"Please Call", "computers":"N", "cfl":"N", "regionalimageurl":null, "city":"Sault Ste. Marie", "singleuse":"Y", "fax":null, "country":"CA", "logourl":"http://www.call2recycle.org/notpress/where2getit/staples.png", "phone":"705-256-1466", "address2":null, "locationimageurl":null, "_distance":"39.70",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</si>
  <si>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"latitude":"46.5299991676132", "url":null, "postalcode":"P6B 4Z1", "province":"ON", "sustainabilityurl":null, "hoursmon":"Please Call", "longitude":"-84.3195214583807", "uid":502592008, "retailerlinkurl":null, "hourssat":"Please Call", "clientkey":"157954", "name":"ListenUp! Canada", "locationlinkurl":null, "address1":"154 Great Nern Rd", "icon":"normal", "bho":null, "_distanceuom":"mile", "hourssun":"Please Call", "computers":"N", "cfl":"N", "regionalimageurl":null, "city":"Sault Ste Marie", "singleuse":"Y", "fax":null, "country":"CA", "logourl":"http://www.call2recycle.org/notpress/where2getit/call2recycle.png", "phone":"705-942-6077", "address2":null, "locationimageurl":null, "_distance":"40.10",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</si>
  <si>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"latitude":"46.52184", "url":null, "postalcode":"P6B 1Y5", "province":"ON", "sustainabilityurl":null, "hoursmon":"Please Call", "longitude":"-84.31535", "uid":502591973, "retailerlinkurl":null, "hourssat":"Please Call", "clientkey":"157938", "name":"ListenUp! Canada", "locationlinkurl":null, "address1":"240 McNabb St", "icon":"normal", "bho":null, "_distanceuom":"mile", "hourssun":"Please Call", "computers":"N", "cfl":"N", "regionalimageurl":null, "city":"Sault Ste. Marie", "singleuse":"Y", "fax":null, "country":"CA", "logourl":"http://www.call2recycle.org/notpress/where2getit/call2recycle.png", "phone":"705-759-7453", "address2":null, "locationimageurl":null, "_distance":"40.70",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</si>
  <si>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"_distance":"81.90",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</si>
  <si>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"latitude":"48.3511856670082", "url":null, "postalcode":"P0S 1B0", "province":"ON", "sustainabilityurl":null, "hoursmon":"Please Call", "longitude":"-84.5473311099727", "uid":407530957, "retailerlinkurl":null, "hourssat":"Please Call", "clientkey":"160799", "name":"Corporation du Canton de Dubreuilville", "locationlinkurl":null, "address1":"23 rue des Pins", "icon":"normal", "bho":null, "_distanceuom":"mile", "hourssun":"Please Call", "computers":"N", "cfl":"N", "regionalimageurl":null, "city":"Dubreuilville", "singleuse":"Y", "fax":null, "country":"CA", "logourl":"http://www.call2recycle.org/notpress/where2getit/call2recycle.png", "phone":"705-884-2340", "address2":null, "locationimageurl":null, "_distance":"56.82",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</si>
  <si>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"latitude":"49.218", "url":null, "postalcode":"P0M 1Z0", "province":"ON", "sustainabilityurl":null, "hoursmon":"Please Call", "longitude":"-84.77496", "uid":642399728, "retailerlinkurl":null, "hourssat":"Please Call", "clientkey":"168133", "name":"Township of Hornepayne", "locationlinkurl":null, "address1":"68 Front St", "icon":"normal", "bho":null, "_distanceuom":"mile", "hourssun":"Please Call", "computers":"N", "cfl":"N", "regionalimageurl":null, "city":"Hornepayne", "singleuse":"Y", "fax":null, "country":"CA", "logourl":"http://www.call2recycle.org/notpress/where2getit/call2recycle.png", "phone":"807-868-2020", "address2":null, "locationimageurl":null, "_distance":"67.50",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</si>
  <si>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"latitude":"48.8035821227083", "url":null, "postalcode":"P0T 2S0", "province":"ON", "sustainabilityurl":null, "hoursmon":"Please Call", "longitude":"-87.2659121731958", "uid":642399719, "retailerlinkurl":null, "hourssat":"Please Call", "clientkey":"167752", "name":"Township of Schreiber", "locationlinkurl":null, "address1":"204 Alberta St", "icon":"preferred", "bho":null, "_distanceuom":"mile", "hourssun":"Please Call", "computers":"N", "cfl":"N", "regionalimageurl":null, "city":"Schreiber", "singleuse":"Y", "fax":null, "country":"CA", "logourl":"http://www.call2recycle.org/notpress/where2getit/call2recycle.png", "phone":"807-824-2711", "address2":null, "locationimageurl":null, "_distance":"71.68",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</si>
  <si>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"_distance":"95.19",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</si>
  <si>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"latitude":"48.8035821227083", "url":null, "postalcode":"P0T 2S0", "province":"ON", "sustainabilityurl":null, "hoursmon":"Please Call", "longitude":"-87.2659121731958", "uid":642399719, "retailerlinkurl":null, "hourssat":"Please Call", "clientkey":"167752", "name":"Township of Schreiber", "locationlinkurl":null, "address1":"204 Alberta St", "icon":"preferred", "bho":null, "_distanceuom":"mile", "hourssun":"Please Call", "computers":"N", "cfl":"N", "regionalimageurl":null, "city":"Schreiber", "singleuse":"Y", "fax":null, "country":"CA", "logourl":"http://www.call2recycle.org/notpress/where2getit/call2recycle.png", "phone":"807-824-2711", "address2":null, "locationimageurl":null, "_distance":"1.36",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</si>
  <si>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"_distance":"34.71",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</si>
  <si>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"_distance":"35.52",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</si>
  <si>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"_distance":"35.76",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</si>
  <si>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"_distance":"36.03",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</si>
  <si>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"_distance":"36.14",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</si>
  <si>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"_distance":"36.14",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</si>
  <si>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"_distance":"36.22",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</si>
  <si>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"_distance":"36.89",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</si>
  <si>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"_distance":"39.62",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</si>
  <si>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"_distance":"35.26",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</si>
  <si>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"state":"MN", "retailerimageurl":null, "hoursfri":"Please Call", "acceptedmaterialsurl":null, "latitude":"47.7506", "url":null, "postalcode":"55604", "province":null, "sustainabilityurl":null, "hoursmon":"Please Call", "longitude":"-90.33459", "uid":691654816, "retailerlinkurl":null, "hourssat":"Please Call", "clientkey":"33658", "name":"Bucks Hardware", "locationlinkurl":null, "address1":"18 1st Ave W", "icon":"normal", "bho":null, "_distanceuom":"mile", "hourssun":"Please Call", "computers":"N", "cfl":"N", "regionalimageurl":null, "city":"Grand Marais", "singleuse":"N", "fax":null, "country":"US", "logourl":"http://www.call2recycle.org/notpress/where2getit/call2recycle.png", "phone":"218-387-2280", "address2":null, "locationimageurl":null, "_distance":"35.94",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</si>
  <si>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"_distance":"38.23",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</si>
  <si>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"_distance":"38.53",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</si>
  <si>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"_distance":"38.53",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</si>
  <si>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"_distance":"38.60",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</si>
  <si>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"_distance":"38.81",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</si>
  <si>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"_distance":"38.96",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</si>
  <si>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"_distance":"39.32",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</si>
  <si>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"_distance":"39.90",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</si>
  <si>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"state":"MN", "retailerimageurl":null, "hoursfri":"Please Call", "acceptedmaterialsurl":null, "latitude":"47.7506", "url":null, "postalcode":"55604", "province":null, "sustainabilityurl":null, "hoursmon":"Please Call", "longitude":"-90.33459", "uid":691654816, "retailerlinkurl":null, "hourssat":"Please Call", "clientkey":"33658", "name":"Bucks Hardware", "locationlinkurl":null, "address1":"18 1st Ave W", "icon":"normal", "bho":null, "_distanceuom":"mile", "hourssun":"Please Call", "computers":"N", "cfl":"N", "regionalimageurl":null, "city":"Grand Marais", "singleuse":"N", "fax":null, "country":"US", "logourl":"http://www.call2recycle.org/notpress/where2getit/call2recycle.png", "phone":"218-387-2280", "address2":null, "locationimageurl":null, "_distance":"79.74",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</si>
  <si>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"latitude":"48.38084", "url":"http://www.canadiantire.ca", "postalcode":"P7K 1A7", "province":"ON", "sustainabilityurl":null, "hoursmon":"8:00am-9:00pm", "longitude":"-89.3126881564245", "uid":1217406843, "retailerlinkurl":null, "hourssat":"Please Call", "clientkey":"1461", "name":"Canadian Tire", "locationlinkurl":null, "address1":"1221 Arthur Street W", "icon":"preferred", "bho":null, "_distanceuom":"mile", "hourssun":"Please Call", "computers":"N", "cfl":"Y", "regionalimageurl":null, "city":"Thunder Bay", "singleuse":"Y", "fax":null, "country":"CA", "logourl":"http://www.call2recycle.org/notpress/where2getit/canadiantire.png", "phone":"807-475-4235", "address2":null, "locationimageurl":null, "_distance":"90.73",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</si>
  <si>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"uid":1074363203, "retailerlinkurl":null, "hourssat":"Please Call", "clientkey":"81391", "name":"Lakehead Communications", "locationlinkurl":null, "address1":"1080B Lithium Dr",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"phone":"807-628-0198", "address2":null, "locationimageurl":null, "_distance":"92.64",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</si>
  <si>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"latitude":"48.41559", "url":null, "postalcode":"P7B 6G3", "province":"ON", "sustainabilityurl":null, "hoursmon":"Please Call", "longitude":"-89.25468", "uid":621028888, "retailerlinkurl":null, "hourssat":"Please Call", "clientkey":"23356", "name":"Thunder Bay Communications", "locationlinkurl":null, "address1":"1080 Lithium Dr",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"phone":"807-623-1211", "address2":null, "locationimageurl":null, "_distance":"92.64",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</si>
  <si>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"latitude":"48.4135605", "url":null, "postalcode":"P7B 3Z7", "province":"ON", "sustainabilityurl":null, "hoursmon":"Please Call", "longitude":"-89.243708", "uid":1561147174, "retailerlinkurl":null, "hourssat":"Please Call", "clientkey":"68021", "name":"Staples", "locationlinkurl":null, "address1":"767 Memorial Ave", "icon":"preferred", "bho":null, "_distanceuom":"mile", "hourssun":"Please Call", "computers":"N", "cfl":"N", "regionalimageurl":null, "city":"Thunder Bay", "singleuse":"Y", "fax":null, "country":"CA", "logourl":"http://www.call2recycle.org/notpress/where2getit/staples.png", "phone":"807-343-2506", "address2":null, "locationimageurl":null, "_distance":"93.16",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</si>
  <si>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"latitude":"48.40407", "url":null, "postalcode":"P7B 6S1", "province":"ON", "sustainabilityurl":null, "hoursmon":"Please Call", "longitude":"-89.24738", "uid":1182199054, "retailerlinkurl":null, "hourssat":"Please Call", "clientkey":"26131", "name":"CRC Communications", "locationlinkurl":null, "address1":"555 Dunlop Street", "icon":"preferred", "bho":null, "_distanceuom":"mile", "hourssun":"Please Call", "computers":"N", "cfl":"N", "regionalimageurl":null, "city":"Thunder Bay", "singleuse":"Y", "fax":null, "country":"CA", "logourl":"http://www.call2recycle.org/notpress/where2getit/call2recycle.png", "phone":"807-622-3328", "address2":null, "locationimageurl":null, "_distance":"93.17",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</si>
  <si>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"latitude":"48.4032962624325", "url":"http://www.thesource.ca", "postalcode":"P7B 6B9", "province":"ON", "sustainabilityurl":"http://www.thesource.ca/sitelets/jobs/environment.asp", "hoursmon":"Please Call", "longitude":"-89.2420590365488", "uid":1182187668, "retailerlinkurl":null, "hourssat":"Please Call", "clientkey":"432", "name":"The Source", "locationlinkurl":null, "address1":"1000 Fort William Rd #32A", "icon":"normal", "bho":null, "_distanceuom":"mile", "hourssun":"Please Call", "computers":"N", "cfl":"N", "regionalimageurl":null, "city":"Thunder Bay", "singleuse":"Y", "fax":null, "country":"CA", "logourl":"http://www.call2recycle.org/notpress/where2getit/thesource.png", "phone":"807-622-8530", "address2":null, "locationimageurl":null, "_distance":"93.42",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</si>
  <si>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"latitude":"48.4283174193548", "url":null, "postalcode":"P7B 2X9", "province":"ON", "sustainabilityurl":null, "hoursmon":"Please Call", "longitude":"-89.2296922580645", "uid":777785220, "retailerlinkurl":null, "hourssat":"Please Call", "clientkey":"164120", "name":"Matawa First Nations Management", "locationlinkurl":null, "address1":"233 Court St S",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"phone":"807-346-6509", "address2":null, "locationimageurl":null, "_distance":"93.52",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</si>
  <si>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"latitude":"48.3836955102041", "url":null, "postalcode":"P7C 0A3", "province":"ON", "sustainabilityurl":null, "hoursmon":"Please Call", "longitude":"-89.2466328571429", "uid":-24087945, "retailerlinkurl":null, "hourssat":"Please Call", "clientkey":"161424", "name":"MAG", "locationlinkurl":null, "address1":"125 Brodie St N", "icon":"normal", "bho":null, "_distanceuom":"mile", "hourssun":"Please Call", "computers":"N", "cfl":"N", "regionalimageurl":null, "city":"Thunder Bay", "singleuse":"Y", "fax":null, "country":"CA", "logourl":"http://www.call2recycle.org/notpress/where2getit/call2recycle.png", "phone":"807-626-7025", "address2":null, "locationimageurl":null, "_distance":"93.58",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</si>
  <si>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"latitude":"48.4064211155068", "url":null, "postalcode":"P7B 5L6", "province":"ON", "sustainabilityurl":null, "hoursmon":"Please Call", "longitude":"-89.2319152214803", "uid":1182186030, "retailerlinkurl":null, "hourssat":"Please Call", "clientkey":"78350", "name":"Home Depot", "locationlinkurl":null, "address1":"359 Main St", "icon":"preferred", "bho":null, "_distanceuom":"mile", "hourssun":"Please Call", "computers":"N", "cfl":"N", "regionalimageurl":null, "city":"Thunder Bay", "singleuse":"Y", "fax":null, "country":"CA", "logourl":"http://www.call2recycle.org/notpress/where2getit/homedepot.png", "phone":"807-624-1100", "address2":null, "locationimageurl":null, "_distance":"93.81",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</si>
  <si>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"latitude":"48.60725", "url":"http://www.canadiantire.ca", "postalcode":"P9A 2X6", "province":"ON", "sustainabilityurl":null, "hoursmon":"8:00am-9:00pm", "longitude":"-93.42748", "uid":1182191374, "retailerlinkurl":null, "hourssat":"Please Call", "clientkey":"1504", "name":"Canadian Tire", "locationlinkurl":null, "address1":"1000 King's Hwy", "icon":"preferred", "bho":null, "_distanceuom":"mile", "hourssun":"Please Call", "computers":"N", "cfl":"Y", "regionalimageurl":null, "city":"Fort Frances", "singleuse":"Y", "fax":null, "country":"CA", "logourl":"http://www.call2recycle.org/notpress/where2getit/canadiantire.png", "phone":"807-274-7711", "address2":null, "locationimageurl":null, "_distance":"33.66",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</si>
  <si>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"state":"MN", "retailerimageurl":null, "hoursfri":"Please Call", "acceptedmaterialsurl":null, "latitude":"48.5798686080344", "url":null, "postalcode":"56649", "province":null, "sustainabilityurl":null, "hoursmon":"Please Call", "longitude":"-93.4027900347991", "uid":-511708793, "retailerlinkurl":null, "hourssat":"Please Call", "clientkey":"7984", "name":"Sound North", "locationlinkurl":null, "address1":"1802 Highway 53", "icon":"normal", "bho":null, "_distanceuom":"mile", "hourssun":"Please Call", "computers":"N", "cfl":"N", "regionalimageurl":null, "city":"International Falls", "singleuse":"N", "fax":null, "country":"US", "logourl":"http://www.call2recycle.org/notpress/where2getit/call2recycle.png", "phone":"218-283-9290", "address2":null, "locationimageurl":null, "_distance":"33.88",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</si>
  <si>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"latitude":"49.7599093383811", "url":"http://www.canadiantire.ca", "postalcode":"P9N 1L9", "province":"ON", "sustainabilityurl":null, "hoursmon":"8:00am-9:00pm", "longitude":"-94.4716898710625", "uid":-399945453, "retailerlinkurl":null, "hourssat":"Please Call", "clientkey":"164072", "name":"Canadian Tire", "locationlinkurl":null, "address1":"1229 Highway 17 E", "icon":"preferred", "bho":null, "_distanceuom":"mile", "hourssun":"Please Call", "computers":"N", "cfl":"Y", "regionalimageurl":null, "city":"Kenora", "singleuse":"Y", "fax":null, "country":"CA", "logourl":"http://www.call2recycle.org/notpress/where2getit/canadiantire.png", "phone":"807-468-3014", "address2":null, "locationimageurl":null, "_distance":"39.79",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</si>
  <si>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"latitude":"49.7552345", "url":null, "postalcode":"P0X 1C0", "province":"ON", "sustainabilityurl":null, "hoursmon":"Please Call", "longitude":"-94.5633985", "uid":1182184944, "retailerlinkurl":null, "hourssat":"Please Call", "clientkey":"23303", "name":"Prairie Mobile Communications", "locationlinkurl":null, "address1":"608 Fourth St", "icon":"preferred", "bho":null, "_distanceuom":"mile", "hourssun":"Please Call", "computers":"N", "cfl":"N", "regionalimageurl":null, "city":"Keewatin", "singleuse":"Y", "fax":null, "country":"CA", "logourl":"http://www.call2recycle.org/notpress/where2getit/call2recycle.png", "phone":"807-547-2929", "address2":null, "locationimageurl":null, "_distance":"42.52",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</si>
  <si>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"_distance":"68.03",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</si>
  <si>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"latitude":"49.7862262006702", "url":null, "postalcode":"P8N 2P4", "province":"ON", "sustainabilityurl":null, "hoursmon":"Please Call", "longitude":"-92.8356896388725", "uid":1182190160, "retailerlinkurl":null, "hourssat":"Please Call", "clientkey":"106356", "name":"Timbermax Home &amp; Garden", "locationlinkurl":null, "address1":"329 Government St", "icon":"preferred", "bho":null, "_distanceuom":"mile", "hourssun":"Please Call", "computers":"N", "cfl":"N", "regionalimageurl":null, "city":"Dryden", "singleuse":"Y", "fax":null, "country":"CA", "logourl":"http://www.call2recycle.org/notpress/where2getit/call2recycle.png", "phone":"807-223-6699", "address2":null, "locationimageurl":null, "_distance":"98.25",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</si>
  <si>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"_distance":"14.43",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</si>
  <si>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"latitude":"51.46791", "url":null, "postalcode":"P0V 3A0", "province":"ON", "sustainabilityurl":null, "hoursmon":"Please Call", "longitude":"-90.19242", "uid":420530078, "retailerlinkurl":null, "hourssat":"Please Call", "clientkey":"168603", "name":"Township of Pickle Lake", "locationlinkurl":null, "address1":"2 Anne St", "icon":"normal", "bho":null, "_distanceuom":"mile", "hourssun":"Please Call", "computers":"N", "cfl":"N", "regionalimageurl":null, "city":"Pickle Lake", "singleuse":"Y", "fax":null, "country":"CA", "logourl":"http://www.call2recycle.org/notpress/where2getit/call2recycle.png", "phone":"807-928-2034", "address2":null, "locationimageurl":null, "_distance":"62.96",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</si>
  <si>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"latitude":"49.7964", "url":"http://www.thesource.ca", "postalcode":"P0L 1N0", "province":"ON", "sustainabilityurl":"http://www.thesource.ca/sitelets/jobs/environment.asp", "hoursmon":"Please Call", "longitude":"-83.66066", "uid":1686091162, "retailerlinkurl":null, "hourssat":"Please Call", "clientkey":"1251", "name":"Pauls Music World", "locationlinkurl":null, "address1":"1976-904 Forcier Rd", "icon":"preferred", "bho":null, "_distanceuom":"mile", "hourssun":"Please Call", "computers":"N", "cfl":"N", "regionalimageurl":null, "city":"Hearst", "singleuse":"Y", "fax":null, "country":"CA", "logourl":"http://www.call2recycle.org/notpress/where2getit/thesource.png", "phone":"705-362-5779", "address2":null, "locationimageurl":null, "_distance":"127.08",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</si>
  <si>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"latitude":"49.6884745463573", "url":null, "postalcode":"P0L 1N0", "province":"ON", "sustainabilityurl":null, "hoursmon":"Please Call", "longitude":"-83.6604700049651", "uid":1182183945, "retailerlinkurl":null, "hourssat":"Please Call", "clientkey":"127334", "name":"Hearst Lumber Co.Ltd.", "locationlinkurl":null, "address1":"720 George Street", "icon":"normal", "bho":null, "_distanceuom":"mile", "hourssun":"Please Call", "computers":"N", "cfl":"N", "regionalimageurl":null, "city":"Hearst", "singleuse":"Y", "fax":null, "country":"CA", "logourl":"http://www.call2recycle.org/notpress/where2getit/call2recycle.png", "phone":"705-362-4325", "address2":null, "locationimageurl":null, "_distance":"133.79",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</si>
  <si>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"latitude":"49.68876", "url":null, "postalcode":"P0L 1N0", "province":"ON", "sustainabilityurl":null, "hoursmon":"Please Call", "longitude":"-83.66251", "uid":-853657775, "retailerlinkurl":null, "hourssat":"Please Call", "clientkey":"119156", "name":"Hearst Public Library", "locationlinkurl":null, "address1":"801 George Street", "icon":"preferred", "bho":null, "_distanceuom":"mile", "hourssun":"Please Call", "computers":"N", "cfl":"N", "regionalimageurl":null, "city":"Hearst", "singleuse":"Y", "fax":null, "country":"CA", "logourl":"http://www.call2recycle.org/notpress/where2getit/call2recycle.png", "phone":"705-372-2843", "address2":null, "locationimageurl":null, "_distance":"133.81",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</si>
  <si>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"latitude":"49.4200538028779", "url":"http://www.thesource.ca", "postalcode":"P5N 2E9", "province":"ON", "sustainabilityurl":"http://www.thesource.ca/sitelets/jobs/environment.asp", "hoursmon":"Please Call", "longitude":"-82.4197553660716", "uid":-1930695804, "retailerlinkurl":null, "hourssat":"Please Call", "clientkey":"138809", "name":"The Source", "locationlinkurl":null, "address1":"25 Brunetville Rd Unit 15", "icon":"preferred", "bho":null, "_distanceuom":"mile", "hourssun":"Please Call", "computers":"N", "cfl":"N", "regionalimageurl":null, "city":"Kapuskasing", "singleuse":"Y", "fax":null, "country":"CA", "logourl":"http://www.call2recycle.org/notpress/where2getit/thesource.png", "phone":"705-335-8787", "address2":null, "locationimageurl":null, "_distance":"139.14",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</si>
  <si>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"hoursthurs":"8:00am-9:00pm", "state":null, "retailerimageurl":null, "hoursfri":"8:00am-9:00pm", "acceptedmaterialsurl":null, "latitude":"49.0600608", "url":"http://www.canadiantire.ca", "postalcode":"P0L 1C0", "province":"ON", "sustainabilityurl":null, "hoursmon":"8:00am-9:00pm", "longitude":"-81.045488", "uid":-1892669155, "retailerlinkurl":null, "hourssat":"Please Call", "clientkey":"1611", "name":"Canadian Tire", "locationlinkurl":null, "address1":"201 11 Hwy W", "icon":"normal", "bho":null, "_distanceuom":"mile", "hourssun":"Please Call", "computers":"N", "cfl":"Y", "regionalimageurl":null, "city":"Cochrane", "singleuse":"Y", "fax":null, "country":"CA", "logourl":"http://www.call2recycle.org/notpress/where2getit/canadiantire.png", "phone":"705-272-4341", "address2":null, "locationimageurl":null, "_distance":"173.63", "inktoner":"N", "nationalinkurl":null, "regionallinkurl":null, "cellphones":"Y", "hourstues":"8:00am-9:00pm", "consumerelectronics":"N", "hourswed":"8:00am-9:00pm", "rank":"0"</t>
  </si>
  <si>
    <t xml:space="preserve">            "rechargeable": "Y", "nationalimageurl":null, "glasses":"N", "hoursthurs":"Please Call", "state":null, "retailerimageurl":null, "hoursfri":"Please Call", "acceptedmaterialsurl":null, "latitude":"49.0632506818182", "url":null, "postalcode":"P0L 1C0", "province":"ON", "sustainabilityurl":null, "hoursmon":"Please Call", "longitude":"-81.0281920454545", "uid":420530075, "retailerlinkurl":null, "hourssat":"Please Call", "clientkey":"167856", "name":"Town of Cochrane", "locationlinkurl":null, "address1":"171 4th Ave", "icon":"preferred", "bho":null, "_distanceuom":"mile", "hourssun":"Please Call", "computers":"N", "cfl":"N", "regionalimageurl":null, "city":"Cochrane", "singleuse":"Y", "fax":null, "country":"CA", "logourl":"http://www.call2recycle.org/notpress/where2getit/call2recycle.png", "phone":"705-272-4361", "address2":null, "locationimageurl":null, "_distance":"173.67",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</si>
  <si>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"latitude":"52.24531", "url":null, "postalcode":"J0M 1E0", "province":"QC", "sustainabilityurl":null, "hoursmon":"Veuillez appeler le point de dépôt.", "longitude":"-78.48449", "uid":792609484, "retailerlinkurl":null, "hourssat":"Veuillez appeler le point de dépôt.", "clientkey":"162275", "name":"Cree Nation of Chisasibi", "locationlinkurl":null, "address1":"1 Riverside Drive", "icon":"normal", "bho":null, "_distanceuom":"mile", "hourssun":"Veuillez appeler le point de dépôt.", "computers":"N", "cfl":"N", "regionalimageurl":null, "city":"Chisasibi", "singleuse":"Y", "fax":null, "country":"CA", "logourl":"http://www.call2recycle.org/notpress/where2getit/call2recycle.png", "phone":"819-855-2878", "address2":null, "locationimageurl":null, "_distance":"173.81",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</si>
  <si>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"hoursthurs":"Please Call", "state":null, "retailerimageurl":null, "hoursfri":"Please Call", "acceptedmaterialsurl":null, "latitude":"49.060500625", "url":null, "postalcode":"P0L 1C0", "province":"ON", "sustainabilityurl":null, "hoursmon":"Please Call", "longitude":"-81.029883125", "uid":642399746, "retailerlinkurl":null, "hourssat":"Please Call", "clientkey":"168752", "name":"Town of Cochrane", "locationlinkurl":null, "address1":"92 2nd St", "icon":"normal", "bho":null, "_distanceuom":"mile", "hourssun":"Please Call", "computers":"N", "cfl":"N", "regionalimageurl":null, "city":"Cochrane", "singleuse":"Y", "fax":null, "country":"CA", "logourl":"http://www.call2recycle.org/notpress/where2getit/call2recycle.png", "phone":"705-272-5086", "address2":null, "locationimageurl":null, "_distance":"173.83",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</si>
  <si>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"latitude":"49.218", "url":null, "postalcode":"P0M 1Z0", "province":"ON", "sustainabilityurl":null, "hoursmon":"Please Call", "longitude":"-84.77496", "uid":642399728, "retailerlinkurl":null, "hourssat":"Please Call", "clientkey":"168133", "name":"Township of Hornepayne", "locationlinkurl":null, "address1":"68 Front St", "icon":"normal", "bho":null, "_distanceuom":"mile", "hourssun":"Please Call", "computers":"N", "cfl":"N", "regionalimageurl":null, "city":"Hornepayne", "singleuse":"Y", "fax":null, "country":"CA", "logourl":"http://www.call2recycle.org/notpress/where2getit/call2recycle.png", "phone":"807-868-2020", "address2":null, "locationimageurl":null, "_distance":"187.00",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</si>
  <si>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"latitude":"48.75815325", "url":"http://www.thesource.ca", "postalcode":"P0K 1G0", "province":"ON", "sustainabilityurl":"http://www.thesource.ca/sitelets/jobs/environment.asp", "hoursmon":"Please Call", "longitude":"-80.68585225", "uid":1182175768, "retailerlinkurl":null, "hourssat":"Please Call", "clientkey":"1264", "name":"Ricks Hi-Fi &amp; Decorating", "locationlinkurl":null, "address1":"254 Main St Unit 2", "icon":"preferred", "bho":null, "_distanceuom":"mile", "hourssun":"Please Call", "computers":"N", "cfl":"N", "regionalimageurl":null, "city":"Iroquois Falls", "singleuse":"Y", "fax":null, "country":"CA", "logourl":"http://www.call2recycle.org/notpress/where2getit/thesource.png", "phone":"705-232-5557", "address2":null, "locationimageurl":null, "_distance":"198.80",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</si>
  <si>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"latitude":"48.4698689144691", "url":null, "postalcode":"P4R 0A1", "province":"ON", "sustainabilityurl":null, "hoursmon":"Please Call", "longitude":"-81.4223946969216", "uid":2024034194, "retailerlinkurl":null, "hourssat":"Please Call", "clientkey":"94852", "name":"Home Depot", "locationlinkurl":null, "address1":"2143 Riverside Dr", "icon":"preferred", "bho":null, "_distanceuom":"mile", "hourssun":"Please Call", "computers":"N", "cfl":"N", "regionalimageurl":null, "city":"Timmins", "singleuse":"Y", "fax":null, "country":"CA", "logourl":"http://www.call2recycle.org/notpress/where2getit/homedepot.png", "phone":"705-360-8750", "address2":null, "locationimageurl":null, "_distance":"208.76",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</si>
  <si>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"latitude":"48.4725132307692", "url":null, "postalcode":"P4R 1M8", "province":"ON", "sustainabilityurl":null, "hoursmon":"Please Call", "longitude":"-81.3808703076923", "uid":361065524, "retailerlinkurl":null, "hourssat":"Please Call", "clientkey":"68022", "name":"Staples", "locationlinkurl":null, "address1":"1485 Riverside Dr", "icon":"preferred", "bho":null, "_distanceuom":"mile", "hourssun":"Please Call", "computers":"N", "cfl":"N", "regionalimageurl":null, "city":"Timmins", "singleuse":"Y", "fax":null, "country":"CA", "logourl":"http://www.call2recycle.org/notpress/where2getit/staples.png", "phone":"705-360-4200", "address2":null, "locationimageurl":null, "_distance":"208.94",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</si>
  <si>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"latitude":"48.4725115789474", "url":null, "postalcode":"P4R 1A5", "province":"ON", "sustainabilityurl":null, "hoursmon":"Please Call", "longitude":"-81.3782257894737", "uid":1698465165, "retailerlinkurl":null, "hourssat":"Please Call", "clientkey":"132844", "name":"Best Buy Canada", "locationlinkurl":null, "address1":"1390 Riverside Drive", "icon":"preferred", "bho":null, "_distanceuom":"mile", "hourssun":"Please Call", "computers":"N", "cfl":"N", "regionalimageurl":null, "city":"Timmins", "singleuse":"Y", "fax":null, "country":"CA", "logourl":"http://www.call2recycle.org/notpress/where2getit/bestbuy.png", "phone":"705-268-9111", "address2":null, "locationimageurl":null, "_distance":"208.97",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</si>
  <si>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"latitude":"48.4763985714286", "url":null, "postalcode":"P0N 1G0", "province":"ON", "sustainabilityurl":null, "hoursmon":"Please Call", "longitude":"-81.3026775510204", "uid":-725079798, "retailerlinkurl":null, "hourssat":"Please Call", "clientkey":"86618", "name":"Spectrum Telecom Group Ltd", "locationlinkurl":null, "address1":"7 Hollinger Lane", "icon":"normal", "bho":null, "_distanceuom":"mile", "hourssun":"Please Call", "computers":"N", "cfl":"N", "regionalimageurl":null, "city":"Schumacher", "singleuse":"Y", "fax":null, "country":"CA", "logourl":"http://www.call2recycle.org/notpress/where2getit/call2recycle.png", "phone":"705-268-9090", "address2":null, "locationimageurl":null, "_distance":"209.42",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</si>
  <si>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"latitude":"49.7743958847974", "url":"http://www.rona.ca", "postalcode":"P0T 2A0", "province":"ON", "sustainabilityurl":"http://www.rona.ca/corporate/corporate-responsibility", "hoursmon":"Please Call", "longitude":"-86.5374523574809", "uid":456868115, "retailerlinkurl":null, "hourssat":"Please Call", "clientkey":"132205", "name":"Rona", "locationlinkurl":null, "address1":"102 Hamel Ave", "icon":"normal", "bho":null, "_distanceuom":"mile", "hourssun":"Please Call", "computers":"N", "cfl":"Y", "regionalimageurl":null, "city":"Longlac", "singleuse":"Y", "fax":null, "country":"CA", "logourl":"http://www.call2recycle.org/notpress/where2getit/rona.png", "phone":"807-876-2294", "address2":null, "locationimageurl":null, "_distance":"216.84",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</si>
  <si>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"latitude":"48.8053180769231", "url":null, "postalcode":"J9Z 1K9", "province":"QC", "sustainabilityurl":null, "hoursmon":"Veuillez appeler le point de dépôt.", "longitude":"-79.2010484615385", "uid":1986314966, "retailerlinkurl":null, "hourssat":"Veuillez appeler le point de dépôt.", "clientkey":"155021", "name":"Jean Coutu", "locationlinkurl":null, "address1":"84 5e Avenue E", "icon":"preferred", "bho":null, "_distanceuom":"mile", "hourssun":"Veuillez appeler le point de dépôt.", "computers":"N", "cfl":"N", "regionalimageurl":null, "city":"La Sarre", "singleuse":"Y", "fax":null, "country":"CA", "logourl":"http://www.call2recycle.org/notpress/where2getit/call2recycle.png", "phone":"819-333-1160", "address2":null, "locationimageurl":null, "_distance":"228.62",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</si>
  <si>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"latitude":"48.80318", "url":null, "postalcode":"J9Z 1M5", "province":"QC", "sustainabilityurl":null, "hoursmon":"Veuillez appeler le point de dépôt.", "longitude":"-79.2029", "uid":157518866, "retailerlinkurl":null, "hourssat":"Veuillez appeler le point de dépôt.", "clientkey":"158972", "name":"Roberge &amp; Fils Inc", "locationlinkurl":null, "address1":"45 7e Avenue E", "icon":"preferred", "bho":null, "_distanceuom":"mile", "hourssun":"Veuillez appeler le point de dépôt.", "computers":"N", "cfl":"N", "regionalimageurl":null, "city":"La Sarre", "singleuse":"Y", "fax":null, "country":"CA", "logourl":"http://www.call2recycle.org/notpress/where2getit/call2recycle.png", "phone":"819-333-5405", "address2":null, "locationimageurl":null, "_distance":"228.69",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</si>
  <si>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"latitude":"48.3511856670082", "url":null, "postalcode":"P0S 1B0", "province":"ON", "sustainabilityurl":null, "hoursmon":"Please Call", "longitude":"-84.5473311099727", "uid":407530957, "retailerlinkurl":null, "hourssat":"Please Call", "clientkey":"160799", "name":"Corporation du Canton de Dubreuilville", "locationlinkurl":null, "address1":"23 rue des Pins", "icon":"normal", "bho":null, "_distanceuom":"mile", "hourssun":"Please Call", "computers":"N", "cfl":"N", "regionalimageurl":null, "city":"Dubreuilville", "singleuse":"Y", "fax":null, "country":"CA", "logourl":"http://www.call2recycle.org/notpress/where2getit/call2recycle.png", "phone":"705-884-2340", "address2":null, "locationimageurl":null, "_distance":"234.53",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</si>
  <si>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"hoursthurs":"Veuillez appeler le point de dépôt.", "state":null, "retailerimageurl":null, "hoursfri":"8h à 20h", "acceptedmaterialsurl":null, "latitude":"48.75642", "url":null, "postalcode":"J0Z 2S0", "province":"QC", "sustainabilityurl":null, "hoursmon":"8h à 17h30", "longitude":"-79.0066658333333", "uid":721552151, "retailerlinkurl":null, "hourssat":"8h à 16h", "clientkey":"155862", "name":"BMR Matériaux Abitibi ltée", "locationlinkurl":null, "address1":"40 7e Avenue O", "icon":"normal", "bho":null, "_distanceuom":"mile", "hourssun":"Veuillez appeler le point de dépôt.", "computers":"N", "cfl":"N", "regionalimageurl":null, "city":"Macamic", "singleuse":"Y", "fax":null, "country":"CA", "logourl":"http://www.call2recycle.org/notpress/where2getit/call2recycle.png", "phone":"819-782-4611", "address2":null, "locationimageurl":null, "_distance":"236.62", "inktoner":"N", "nationalinkurl":null, "regionallinkurl":null, "cellphones":"Y", "hourstues":"8h à 17h30", "consumerelectronics":"N", "hourswed":"8h à 17h30",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</si>
  <si>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"latitude":"48.75043", "url":null, "postalcode":"J0Z 2Z0", "province":"QC", "sustainabilityurl":null, "hoursmon":"Veuillez appeler le point de dépôt.", "longitude":"-79.00223", "uid":1986344650, "retailerlinkurl":null, "hourssat":"Veuillez appeler le point de dépôt.", "clientkey":"155504", "name":"Dépôt Nédélec", "locationlinkurl":null, "address1":"18 Rue Principale", "icon":"normal", "bho":null, "_distanceuom":"mile", "hourssun":"Veuillez appeler le point de dépôt.", "computers":"N", "cfl":"N", "regionalimageurl":null, "city":"Nédelec", "singleuse":"Y", "fax":null, "country":"CA", "logourl":"http://www.call2recycle.org/notpress/where2getit/call2recycle.png", "phone":"--", "address2":null, "locationimageurl":null, "_distance":"237.08",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</si>
  <si>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"latitude":"48.6025182", "url":null, "postalcode":"J0Z 1M0", "province":"QC", "sustainabilityurl":null, "hoursmon":"Veuillez appeler le point de dépôt.", "longitude":"-79.11541", "uid":1986338697, "retailerlinkurl":null, "hourssat":"Veuillez appeler le point de dépôt.", "clientkey":"155304", "name":"Dépôt Ste-Germaine-Boulé", "locationlinkurl":null, "address1":"199 Rue Roy", "icon":"normal", "bho":null, "_distanceuom":"mile", "hourssun":"Veuillez appeler le point de dépôt.", "computers":"N", "cfl":"N", "regionalimageurl":null, "city":"Sainte-Germaine-Boulé", "singleuse":"Y", "fax":null, "country":"CA", "logourl":"http://www.call2recycle.org/notpress/where2getit/call2recycle.png", "phone":"--", "address2":null, "locationimageurl":null, "_distance":"242.29",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</si>
  <si>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"latitude":"48.14718", "url":"http://www.thesource.ca", "postalcode":"P2N 2E9", "province":"ON", "sustainabilityurl":"http://www.thesource.ca/sitelets/jobs/environment.asp", "hoursmon":"Please Call", "longitude":"-80.0469", "uid":992060194, "retailerlinkurl":null, "hourssat":"Please Call", "clientkey":"160037", "name":"The Source", "locationlinkurl":null, "address1":"150 Government Rd W", "icon":"preferred", "bho":null, "_distanceuom":"mile", "hourssun":"Please Call", "computers":"N", "cfl":"N", "regionalimageurl":null, "city":"Kirkland Lake", "singleuse":"Y", "fax":null, "country":"CA", "logourl":"http://www.call2recycle.org/notpress/where2getit/thesource.png", "phone":"705-567-3060", "address2":null, "locationimageurl":null, "_distance":"248.96", "inktoner":"N", "nationalinkurl":null, "regionallinkurl":null, "cellphones":"Y", "hourstues":"Please Call", "consumerelectronics":"Y", "hourswed":"Please Call", "rank":"1"</t>
  </si>
  <si>
    <t>{</t>
  </si>
  <si>
    <t xml:space="preserve">    "response": {</t>
  </si>
  <si>
    <t xml:space="preserve">        }</t>
  </si>
  <si>
    <t xml:space="preserve">        ,</t>
  </si>
  <si>
    <t xml:space="preserve">        {</t>
  </si>
  <si>
    <t xml:space="preserve">        ],</t>
  </si>
  <si>
    <t xml:space="preserve">        "attributes": {</t>
  </si>
  <si>
    <t xml:space="preserve">            "country": "CA", "radius":"15", "radiusuom":"mile", "centerpoint":"-75.8126,45.2899", "state":"", "city":"Nepean", "address":"", "province":"ON", "postalcode":"K2R"</t>
  </si>
  <si>
    <t xml:space="preserve">    }</t>
  </si>
  <si>
    <t xml:space="preserve">    ,</t>
  </si>
  <si>
    <t>}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</si>
  <si>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"_distance":"4.35",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</si>
  <si>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"_distance":"5.80",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</si>
  <si>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"_distance":"5.81",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</si>
  <si>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"_distance":"6.40",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</si>
  <si>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"_distance":"6.83",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</si>
  <si>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"_distance":"9.81",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</si>
  <si>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"_distance":"14.68",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</si>
  <si>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"latitude":"45.5252195", "url":"http://www.canadiantire.ca", "postalcode":"K4C 1R7", "province":"ON", "sustainabilityurl":null, "hoursmon":"8:00am-9:00pm", "longitude":"-75.3334153", "uid":1789924784, "retailerlinkurl":null, "hourssat":"Please Call", "clientkey":"153513", "name":"Canadian Tire", "locationlinkurl":null, "address1":"9040 County Rd. #17", "icon":"normal", "bho":null, "_distanceuom":"mile", "hourssun":"Please Call", "computers":"N", "cfl":"Y", "regionalimageurl":null, "city":"Cumberland", "singleuse":"Y", "fax":null, "country":"CA", "logourl":"http://www.call2recycle.org/notpress/where2getit/canadiantire.png", "phone":"613-446-4410", "address2":null, "locationimageurl":null, "_distance":"14.98", "inktoner":"N", "nationalinkurl":null, "regionallinkurl":null, "cellphones":"Y", "hourstues":"8:00am-9:00pm", "consumerelectronics":"N", "hourswed":"8:00am-9:00pm", "rank":"0"</t>
  </si>
  <si>
    <t xml:space="preserve">            "country": "CA", "radius":"15", "radiusuom":"mile", "centerpoint":"-75.19778389754485,45.330502104513485", "state":"", "city":"Limoges", "address":"1681 Route 300 W", "province":"ON", "postalcode":"K0A"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</si>
  <si>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"latitude":"45.30585", "url":"http://www.thesource.ca", "postalcode":"K0A 1M0", "province":"ON", "sustainabilityurl":"http://www.thesource.ca/sitelets/jobs/environment.asp", "hoursmon":"Please Call", "longitude":"-75.08342", "uid":341260925, "retailerlinkurl":null, "hourssat":"Please Call", "clientkey":"149160", "name":"The Source", "locationlinkurl":null, "address1":"98 Lafleche Blvd", "icon":"normal", "bho":null, "_distanceuom":"mile", "hourssun":"Please Call", "computers":"N", "cfl":"N", "regionalimageurl":null, "city":"Casselman", "singleuse":"Y", "fax":null, "country":"CA", "logourl":"http://www.call2recycle.org/notpress/where2getit/thesource.png", "phone":"613-764-2023", "address2":null, "locationimageurl":null, "_distance":"5.82",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</si>
  <si>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"latitude":"45.3048483", "url":"http://www.canadiantire.ca", "postalcode":"K0A 1M0", "province":"ON", "sustainabilityurl":null, "hoursmon":"8:00am-9:00pm", "longitude":"-75.0842176", "uid":-196090022, "retailerlinkurl":null, "hourssat":"Please Call", "clientkey":"117300", "name":"Canadian Tire", "locationlinkurl":null, "address1":"95 Boul Lafleche", "icon":"preferred", "bho":null, "_distanceuom":"mile", "hourssun":"Please Call", "computers":"N", "cfl":"Y", "regionalimageurl":null, "city":"Casselman", "singleuse":"Y", "fax":null, "country":"CA", "logourl":"http://www.call2recycle.org/notpress/where2getit/canadiantire.png", "phone":"613-764-0401", "address2":null, "locationimageurl":null, "_distance":"5.87",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</si>
  <si>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"hoursthurs":"9h à 21h", "state":null, "retailerimageurl":null, "hoursfri":"Please Call", "acceptedmaterialsurl":null, "latitude":"45.32124", "url":null, "postalcode":"K0A 1M0", "province":"ON", "sustainabilityurl":null, "hoursmon":"9h à 21h", "longitude":"-75.10929", "uid":1986299601, "retailerlinkurl":null, "hourssat":"9h à 18h", "clientkey":"155077", "name":"Jean Coutu", "locationlinkurl":null, "address1":"Rue Principale", "icon":"preferred", "bho":null, "_distanceuom":"mile", "hourssun":"10h à 17h", "computers":"N", "cfl":"N", "regionalimageurl":null, "city":"Casselman", "singleuse":"Y", "fax":null, "country":"CA", "logourl":"http://www.call2recycle.org/notpress/where2getit/call2recycle.png", "phone":"613-764-5455", "address2":null, "locationimageurl":null, "_distance":"6.87",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</si>
  <si>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"_distance":"7.33",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</si>
  <si>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"centerpoint":"-74.96817303802649,45.32868551784806", "state":"", "city":"North Stormont", "address":"Trans Canada Hwy E", "province":"ON", "postalcode":"K0C"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</si>
  <si>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"latitude":"45.30137", "url":"http://www.thesource.ca", "postalcode":"K0C 1A0", "province":"ON", "sustainabilityurl":"http://www.thesource.ca/sitelets/jobs/environment.asp", "hoursmon":"Please Call", "longitude":"-74.62865", "uid":1182184234, "retailerlinkurl":null, "hourssat":"Please Call", "clientkey":"1343", "name":"G&amp;S Tech-Tronics", "locationlinkurl":null, "address1":"Main St", "icon":"preferred", "bho":null, "_distanceuom":"mile", "hourssun":"Please Call", "computers":"N", "cfl":"N", "regionalimageurl":null, "city":"Alexandria", "singleuse":"Y", "fax":null, "country":"CA", "logourl":"http://www.call2recycle.org/notpress/where2getit/thesource.png", "phone":"613-525-3852", "address2":null, "locationimageurl":null, "_distance":"6.44",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</si>
  <si>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"latitude":"45.4316955", "url":null, "postalcode":"K0B 1G0", "province":"ON", "sustainabilityurl":null, "hoursmon":"Please Call", "longitude":"-74.9317283", "uid":-351924849, "retailerlinkurl":null, "hourssat":"Please Call", "clientkey":"164193", "name":"The Nation Municipality", "locationlinkurl":null, "address1":"3248 County Road 9", "icon":"normal", "bho":null, "_distanceuom":"mile", "hourssun":"Please Call", "computers":"N", "cfl":"N", "regionalimageurl":null, "city":"Fournier", "singleuse":"Y", "fax":null, "country":"CA", "logourl":"http://www.call2recycle.org/notpress/where2getit/call2recycle.png", "phone":"613-223-4855", "address2":null, "locationimageurl":null, "_distance":"13.43",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</si>
  <si>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"centerpoint":"-74.75773073774353,45.28063088379656", "state":"", "city":"Maxville", "address":"19042 Kenyon Concession 4",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</si>
  <si>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"latitude":"45.0379267646816", "url":null, "postalcode":"K6J 5X7", "province":"ON", "sustainabilityurl":null, "hoursmon":"Please Call", "longitude":"-74.7607134190964", "uid":1182196463, "retailerlinkurl":null, "hourssat":"Please Call", "clientkey":"78231", "name":"Home Depot", "locationlinkurl":null, "address1":"1825 Brookdale Ave", "icon":"preferred", "bho":null, "_distanceuom":"mile", "hourssun":"Please Call", "computers":"N", "cfl":"N", "regionalimageurl":null, "city":"Cornwall", "singleuse":"Y", "fax":null, "country":"CA", "logourl":"http://www.call2recycle.org/notpress/where2getit/homedepot.png", "phone":"613-930-4470",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</si>
  <si>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"latitude":"45.0381247435396", "url":null, "postalcode":"K0C 1P0", "province":"ON", "sustainabilityurl":null, "hoursmon":"Please Call", "longitude":"-74.8168842447786", "uid":1064589939, "retailerlinkurl":null, "hourssat":"Please Call", "clientkey":"161674", "name":"City of Cornwall Depot", "locationlinkurl":null, "address1":"2590 Cornwall Centre Rd West", "icon":"preferred", "bho":null, "_distanceuom":"mile", "hourssun":"Please Call", "computers":"N", "cfl":"N", "regionalimageurl":null, "city":"Long Sault", "singleuse":"Y", "fax":null, "country":"CA", "logourl":"http://www.call2recycle.org/notpress/where2getit/call2recycle.png", "phone":"613-930-2787", "address2":null, "locationimageurl":null, "_distance":"7.46",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</si>
  <si>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"latitude":"45.03381", "url":"http://www.rona.ca", "postalcode":"K6H 2W8", "province":"ON", "sustainabilityurl":"http://www.rona.ca/corporate/corporate-responsibility", "hoursmon":"Please Call", "longitude":"-74.71658", "uid":800133183, "retailerlinkurl":null, "hourssat":"Please Call", "clientkey":"125521", "name":"RONA", "locationlinkurl":null, "address1":"1100 Marleau Ave", "icon":"normal", "bho":null, "_distanceuom":"mile", "hourssun":"Please Call", "computers":"N", "cfl":"Y", "regionalimageurl":null, "city":"Cornwall", "singleuse":"Y", "fax":null, "country":"CA", "logourl":"http://www.call2recycle.org/notpress/where2getit/rona.png", "phone":"613-938-3300", "address2":null, "locationimageurl":null, "_distance":"8.33",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</si>
  <si>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"latitude":"45.0287936", "url":null, "postalcode":"K6H 6R3", "province":"ON", "sustainabilityurl":null, "hoursmon":"Please Call", "longitude":"-74.7346015", "uid":1688691584, "retailerlinkurl":null, "hourssat":"Please Call", "clientkey":"150706", "name":"Staples", "locationlinkurl":null, "address1":"7 Ninth St E", "icon":"preferred", "bho":null, "_distanceuom":"mile", "hourssun":"Please Call", "computers":"N", "cfl":"N", "regionalimageurl":null, "city":"Cornwall", "singleuse":"Y", "fax":null, "country":"CA", "logourl":"http://www.call2recycle.org/notpress/where2getit/staples.png", "phone":"613-936-6952", "address2":null, "locationimageurl":null, "_distance":"8.34",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</si>
  <si>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"latitude":"45.0199628571429", "url":null, "postalcode":"K6J 3R1", "province":"ON", "sustainabilityurl":null, "hoursmon":"Please Call", "longitude":"-74.7296728571429", "uid":502591974, "retailerlinkurl":null, "hourssat":"Please Call", "clientkey":"157939", "name":"ListenUp! Canada", "locationlinkurl":null, "address1":"315 Pitt St", "icon":"normal", "bho":null, "_distanceuom":"mile", "hourssun":"Please Call", "computers":"N", "cfl":"N", "regionalimageurl":null, "city":"Cornwall", "singleuse":"Y", "fax":null, "country":"CA", "logourl":"http://www.call2recycle.org/notpress/where2getit/call2recycle.png", "phone":"613-937-0519", "address2":null, "locationimageurl":null, "_distance":"9.00",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</si>
  <si>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"latitude":"45.30137", "url":"http://www.thesource.ca", "postalcode":"K0C 1A0", "province":"ON", "sustainabilityurl":"http://www.thesource.ca/sitelets/jobs/environment.asp", "hoursmon":"Please Call", "longitude":"-74.62865", "uid":1182184234, "retailerlinkurl":null, "hourssat":"Please Call", "clientkey":"1343", "name":"G&amp;S Tech-Tronics", "locationlinkurl":null, "address1":"Main St", "icon":"preferred", "bho":null, "_distanceuom":"mile", "hourssun":"Please Call", "computers":"N", "cfl":"N", "regionalimageurl":null, "city":"Alexandria", "singleuse":"Y", "fax":null, "country":"CA", "logourl":"http://www.call2recycle.org/notpress/where2getit/thesource.png", "phone":"613-525-3852", "address2":null, "locationimageurl":null, "_distance":"13.31", "inktoner":"N", "nationalinkurl":null, "regionallinkurl":null, "cellphones":"Y", "hourstues":"Please Call", "consumerelectronics":"Y", "hourswed":"Please Call", "rank":"1"</t>
  </si>
  <si>
    <t xml:space="preserve">            "country": "CA", "radius":"15", "radiusuom":"mile", "centerpoint":"-74.78615170234723,45.14389932752543", "state":"", "city":"South Stormont", "address":"17763 McPhail Rd",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</si>
  <si>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"latitude":"45.0381247435396", "url":null, "postalcode":"K0C 1P0", "province":"ON", "sustainabilityurl":null, "hoursmon":"Please Call", "longitude":"-74.8168842447786", "uid":1064589939, "retailerlinkurl":null, "hourssat":"Please Call", "clientkey":"161674", "name":"City of Cornwall Depot", "locationlinkurl":null, "address1":"2590 Cornwall Centre Rd West", "icon":"preferred", "bho":null, "_distanceuom":"mile", "hourssun":"Please Call", "computers":"N", "cfl":"N", "regionalimageurl":null, "city":"Long Sault", "singleuse":"Y", "fax":null, "country":"CA", "logourl":"http://www.call2recycle.org/notpress/where2getit/call2recycle.png", "phone":"613-930-2787", "address2":null, "locationimageurl":null, "_distance":"9.66",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</si>
  <si>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"state":"NY", "retailerimageurl":null, "hoursfri":"Please Call", "acceptedmaterialsurl":null, "latitude":"44.9298593573576", "url":null, "postalcode":"13662", "province":null, "sustainabilityurl":null, "hoursmon":"Please Call", "longitude":"-74.8905959717505", "uid":540400213, "retailerlinkurl":null, "hourssat":"Please Call", "clientkey":"117289", "name":"W.L.SMITH HARDWARE", "locationlinkurl":null, "address1":"50 E Orvis St", "icon":"normal", "bho":null, "_distanceuom":"mile", "hourssun":"Please Call", "computers":"N", "cfl":"N", "regionalimageurl":null, "city":"Massena", "singleuse":"N", "fax":null, "country":"US", "logourl":"http://www.call2recycle.org/notpress/where2getit/call2recycle.png", "phone":"315-769-2408", "address2":null, "locationimageurl":null, "_distance":"11.92",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</si>
  <si>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"latitude":"45.0379267646816", "url":null, "postalcode":"K6J 5X7", "province":"ON", "sustainabilityurl":null, "hoursmon":"Please Call", "longitude":"-74.7607134190964", "uid":1182196463, "retailerlinkurl":null, "hourssat":"Please Call", "clientkey":"78231", "name":"Home Depot", "locationlinkurl":null, "address1":"1825 Brookdale Ave", "icon":"preferred", "bho":null, "_distanceuom":"mile", "hourssun":"Please Call", "computers":"N", "cfl":"N", "regionalimageurl":null, "city":"Cornwall", "singleuse":"Y", "fax":null, "country":"CA", "logourl":"http://www.call2recycle.org/notpress/where2getit/homedepot.png", "phone":"613-930-4470", "address2":null, "locationimageurl":null, "_distance":"12.29",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</si>
  <si>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"hoursthurs":"6:00am-10:00pm", "state":"NY", "retailerimageurl":null, "hoursfri":"6:00am-10:00pm", "acceptedmaterialsurl":null, "latitude":"44.9258016326531", "url":"http://www.homedepot.com", "postalcode":"13662", "province":null, "sustainabilityurl":"https://corporate.homedepot.com/CorporateResponsibility/Environment/Pages/default.aspx", "hoursmon":"6:00am-10:00pm", "longitude":"-74.8749063265306", "uid":1182182473, "retailerlinkurl":null, "hourssat":"6:00am-10:00pm", "clientkey":"77769", "name":"The Home Depot", "locationlinkurl":null, "address1":"41 Stephenville St", "icon":"preferred", "bho":null, "_distanceuom":"mile", "hourssun":"8:00am-8:00pm", "computers":"N", "cfl":"Y", "regionalimageurl":null, "city":"Massena", "singleuse":"N", "fax":null, "country":"US", "logourl":"http://www.call2recycle.org/notpress/where2getit/homedepot.png", "phone":"315-764-9930", "address2":null, "locationimageurl":null, "_distance":"12.54", "inktoner":"N", "nationalinkurl":null, "regionallinkurl":null, "cellphones":"Y", "hourstues":"6:00am-10:00pm", "consumerelectronics":"N", "hourswed":"6:00am-10:00pm", "rank":"1"</t>
  </si>
  <si>
    <t xml:space="preserve">            "rechargeable": "Y", "nationalimageurl":null, "glasses":"N", "hoursthurs":"Please Call", "state":null, "retailerimageurl":null, "hoursfri":"Please Call", "acceptedmaterialsurl":null, "latitude":"45.0287936", "url":null, "postalcode":"K6H 6R3", "province":"ON", "sustainabilityurl":null, "hoursmon":"Please Call", "longitude":"-74.7346015", "uid":1688691584, "retailerlinkurl":null, "hourssat":"Please Call", "clientkey":"150706", "name":"Staples", "locationlinkurl":null, "address1":"7 Ninth St E", "icon":"preferred", "bho":null, "_distanceuom":"mile", "hourssun":"Please Call", "computers":"N", "cfl":"N", "regionalimageurl":null, "city":"Cornwall", "singleuse":"Y", "fax":null, "country":"CA", "logourl":"http://www.call2recycle.org/notpress/where2getit/staples.png", "phone":"613-936-6952", "address2":null, "locationimageurl":null, "_distance":"13.69",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</si>
  <si>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"latitude":"45.0199628571429", "url":null, "postalcode":"K6J 3R1", "province":"ON", "sustainabilityurl":null, "hoursmon":"Please Call", "longitude":"-74.7296728571429", "uid":502591974, "retailerlinkurl":null, "hourssat":"Please Call", "clientkey":"157939", "name":"ListenUp! Canada", "locationlinkurl":null, "address1":"315 Pitt St", "icon":"normal", "bho":null, "_distanceuom":"mile", "hourssun":"Please Call", "computers":"N", "cfl":"N", "regionalimageurl":null, "city":"Cornwall", "singleuse":"Y", "fax":null, "country":"CA", "logourl":"http://www.call2recycle.org/notpress/where2getit/call2recycle.png", "phone":"613-937-0519", "address2":null, "locationimageurl":null, "_distance":"14.10",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</si>
  <si>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"state":"NY", "retailerimageurl":null, "hoursfri":"Please Call", "acceptedmaterialsurl":null, "latitude":"44.896373301664", "url":null, "postalcode":"13662", "province":null, "sustainabilityurl":null, "hoursmon":"Please Call", "longitude":"-74.879431337665", "uid":1391042049, "retailerlinkurl":null, "hourssat":"Please Call", "clientkey":"146465", "name":"Massena Transfer Station", "locationlinkurl":null, "address1":"49 Dump Rd", "icon":"preferred", "bho":null, "_distanceuom":"mile", "hourssun":"Please Call", "computers":"N", "cfl":"N", "regionalimageurl":null, "city":"Massena", "singleuse":"N", "fax":null, "country":"US", "logourl":"http://www.call2recycle.org/notpress/where2getit/call2recycle.png", "phone":"315-764-7312", "address2":null, "locationimageurl":null, "_distance":"14.24",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</si>
  <si>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"latitude":"45.03381", "url":"http://www.rona.ca", "postalcode":"K6H 2W8", "province":"ON", "sustainabilityurl":"http://www.rona.ca/corporate/corporate-responsibility", "hoursmon":"Please Call", "longitude":"-74.71658", "uid":800133183, "retailerlinkurl":null, "hourssat":"Please Call", "clientkey":"125521", "name":"RONA", "locationlinkurl":null, "address1":"1100 Marleau Ave", "icon":"normal", "bho":null, "_distanceuom":"mile", "hourssun":"Please Call", "computers":"N", "cfl":"Y", "regionalimageurl":null, "city":"Cornwall", "singleuse":"Y", "fax":null, "country":"CA", "logourl":"http://www.call2recycle.org/notpress/where2getit/rona.png", "phone":"613-938-3300", "address2":null, "locationimageurl":null, "_distance":"14.45",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</si>
  <si>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"centerpoint":"-75.00457789374049,45.08242036696146", "state":"", "city":"South Stormont", "address":"15227 Cooper Rd", "province":"ON", "postalcode":"K0C"</t>
  </si>
  <si>
    <t xml:space="preserve">            "rechargeable": "Y", "nationalimageurl":null, "glasses":"N", "hoursthurs":"Please Call", "state":null, "retailerimageurl":null, "hoursfri":"Please Call", "acceptedmaterialsurl":null, "latitude":"45.1045758467051", "url":null, "postalcode":"K0C 2K0", "province":"ON", "sustainabilityurl":null, "hoursmon":"Please Call", "longitude":"-75.3214423553231", "uid":1414108904, "retailerlinkurl":null, "hourssat":"Please Call", "clientkey":"147082", "name":"Township of North Dundas", "locationlinkurl":null, "address1":"12620 Boyne Rd", "icon":"normal", "bho":null, "_distanceuom":"mile", "hourssun":"Please Call", "computers":"N", "cfl":"N", "regionalimageurl":null, "city":"Winchester", "singleuse":"Y", "fax":null, "country":"CA", "logourl":"http://www.call2recycle.org/notpress/where2getit/call2recycle.png", "phone":"613-774-5157", "address2":null, "locationimageurl":null, "_distance":"3.20",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</si>
  <si>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"latitude":"45.25691", "url":null, "postalcode":"K4R 1A1", "province":"ON", "sustainabilityurl":null, "hoursmon":"Please Call", "longitude":"-75.3704", "uid":-853657929, "retailerlinkurl":null, "hourssat":"Please Call", "clientkey":"29408", "name":"Barrys Home Hardware", "locationlinkurl":null, "address1":"120 Craig St", "icon":"preferred", "bho":null, "_distanceuom":"mile", "hourssun":"Please Call", "computers":"N", "cfl":"N", "regionalimageurl":null, "city":"Russell", "singleuse":"Y", "fax":null, "country":"CA", "logourl":"http://www.call2recycle.org/notpress/where2getit/call2recycle.png", "phone":"613-445-2171", "address2":null, "locationimageurl":null, "_distance":"13.81",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</si>
  <si>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"latitude":"45.2672597504255", "url":null, "postalcode":"K0A 1W1", "province":"ON", "sustainabilityurl":null, "hoursmon":"Please Call", "longitude":"-75.3059172717022", "uid":1182189720, "retailerlinkurl":null, "hourssat":"Please Call", "clientkey":"87156", "name":"Township of Russell", "locationlinkurl":null, "address1":"717 Rue Notre Dame", "icon":"preferred", "bho":null, "_distanceuom":"mile", "hourssun":"Please Call", "computers":"N", "cfl":"N", "regionalimageurl":null, "city":"Embrun", "singleuse":"Y", "fax":null, "country":"CA", "logourl":"http://www.call2recycle.org/notpress/where2getit/call2recycle.png", "phone":"613-443-3066", "address2":null, "locationimageurl":null, "_distance":"13.91",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</si>
  <si>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"latitude":"45.26869", "url":"http://www.thesource.ca", "postalcode":"K0A 1W1", "province":"ON", "sustainabilityurl":"http://www.thesource.ca/sitelets/jobs/environment.asp", "hoursmon":"Please Call", "longitude":"-75.29589", "uid":1182177097, "retailerlinkurl":null, "hourssat":"Please Call", "clientkey":"1232", "name":"The Source", "locationlinkurl":null, "address1":"825 Rue Notre Dame", "icon":"preferred", "bho":null, "_distanceuom":"mile", "hourssun":"Please Call", "computers":"N", "cfl":"N", "regionalimageurl":null, "city":"Embrun", "singleuse":"Y", "fax":null, "country":"CA", "logourl":"http://www.call2recycle.org/notpress/where2getit/thesource.png", "phone":"613-443-5642", "address2":null, "locationimageurl":null, "_distance":"13.98", "inktoner":"N", "nationalinkurl":null, "regionallinkurl":null, "cellphones":"Y", "hourstues":"Please Call", "consumerelectronics":"Y", "hourswed":"Please Call", "rank":"1"</t>
  </si>
  <si>
    <t xml:space="preserve">            "country": "CA", "radius":"15", "radiusuom":"mile", "centerpoint":"-75.28401526157818,45.066568687765994", "state":"", "city":"North Dundas", "address":"12638 Nation Valley Rd", "province":"ON", "postalcode":"K0C"</t>
  </si>
  <si>
    <t>[ "Ottawa Fastener Supply Ltd", 45.31561, -75.84883, '613-828-4117', 'K2H 5Z2'],</t>
  </si>
  <si>
    <t>[ "Canadian Tire", 45.31561, -75.84883, '613-829-9580', 'K2H 5Z2'],</t>
  </si>
  <si>
    <t>[ "The Source", 45.30262, -75.876055, '613-254-7298', 'K2M 1C9'],</t>
  </si>
  <si>
    <t>[ "Foxy Recycle", 45.3361577807865, -75.7994028475483, '613-726-3699', 'K2H 7T3'],</t>
  </si>
  <si>
    <t>[ "Best Buy Canada", 45.2686415669868, -75.7511392975935, '613-843-5625', 'K2J 4B1'],</t>
  </si>
  <si>
    <t>[ "Home Depot", 45.2686323504802, -75.7511639463902, '613-843-7900', 'K2J 5M4'],</t>
  </si>
  <si>
    <t>[ "Canadian Tire", 45.27155, -75.74702, '613-823-5278', 'K2J 4Y6'],</t>
  </si>
  <si>
    <t>[ "The Source", 45.27028, -75.74192, '613-823-1995', 'K2J 5G5'],</t>
  </si>
  <si>
    <t>[ "Staples", 45.27069125, -75.7408525, '613-825-0457', 'K2J 5G5'],</t>
  </si>
  <si>
    <t>[ "The Source", 45.34921, -75.80515, '613-820-6194', 'K2B 8C1'],</t>
  </si>
  <si>
    <t>[ "Franklin Empire", 45.3169700050834, -75.8900513218109, '613-596-1144', 'K2L 4E9'],</t>
  </si>
  <si>
    <t>[ "ListenUp! Canada", 45.3481964767298, -75.7863466375104, '613-721-1052', 'K2C 1E6'],</t>
  </si>
  <si>
    <t>[ "The Source", 45.3488851541784, -75.7608445840817, '613-224-1683', 'K2G 1V7'],</t>
  </si>
  <si>
    <t>[ "Home Depot", 45.3022741666667, -75.9142483333333, '613-271-7577', 'K2T 1C4'],</t>
  </si>
  <si>
    <t>[ "RONA", 45.33296, -75.72896, '613-226-5636', 'K2G 5X6'],</t>
  </si>
  <si>
    <t>[ "Home Depot", 45.3529242478139, -75.7593245369859, '613-723-5900', 'K2C 0C6'],</t>
  </si>
  <si>
    <t>[ "Interstate Batteries of Ont", 45.3247075, -75.71596875, '613-798-9700', 'K2E 6V4'],</t>
  </si>
  <si>
    <t>[ "Canadian Tire", 45.3362070935906, -75.7250272826182, '613-224-9330', 'K2G 1E6'],</t>
  </si>
  <si>
    <t>[ "Staples", 45.3077106580804, -75.9191627451347, '613-592-3538', 'K2T 1B7'],</t>
  </si>
  <si>
    <t>[ "Canadian Tire", 45.307406755956, -75.9196711967659, '613-599-5105', 'K2T 1B7'],</t>
  </si>
  <si>
    <t>[ "The Source", 45.3456195926914, -75.7304456845579, '613-224-9648', 'K2G 4A1'],</t>
  </si>
  <si>
    <t>[ "uBreakiFix", 45.3489677777778, -75.7324555555556, '613-422-8243', 'K2G 5J8'],</t>
  </si>
  <si>
    <t>[ "ListenUp! Canada", 45.35091, -75.73358, '613-727-3132', 'K2G 4B5'],</t>
  </si>
  <si>
    <t>[ "Staples", 45.35311, -75.73469, '613-226-7989', 'K2G 3J4'],</t>
  </si>
  <si>
    <t>[ "Sears (Canada)", 45.3705308333333, -75.7700666666667, '613-729-2561', 'K2A 1H2'],</t>
  </si>
  <si>
    <t>[ "Staples", 45.37061, -75.76937, '613-729-4585', 'K2A 1H1'],</t>
  </si>
  <si>
    <t>[ "The Source", 45.3710585714286, -75.7688328571429, '613-722-6052', 'K2A 1H2'],</t>
  </si>
  <si>
    <t>[ "Best Buy", 45.372818, -75.7679092, '--', 'K2A 1H2'],</t>
  </si>
  <si>
    <t>[ "Jean Coutu", 45.39552, -75.83552, '819-684-0006', 'J9H 6A6'],</t>
  </si>
  <si>
    <t>[ "La Source", 45.39552, -75.83552, '819-684-1359', 'J9H 6A6'],</t>
  </si>
  <si>
    <t>[ "Mountain Equipment Co-op", 45.3915017200558, -75.755143747251, '613-729-2700', 'K2A 0E8'],</t>
  </si>
  <si>
    <t>[ "Manotick Home Hardware", 45.2240975, -75.68488125, '613-692-3591', 'K4M 1A8'],</t>
  </si>
  <si>
    <t>[ "RONA", 45.4116065217391, -75.818777826087, '819-684-3275', 'J9J 3M3'],</t>
  </si>
  <si>
    <t>[ "Pharmacie Brunet", 45.411005, -75.839105, '819-684-8222', 'J9J 1V2'],</t>
  </si>
  <si>
    <t>[ "ListenUp! Canada", 45.3997827272727, -75.7320581818182, '613-728-9170', 'K1Y 0X6'],</t>
  </si>
  <si>
    <t>[ "Jean Coutu", 45.4199387682437, -75.8095308031074, '819-682-0670', 'J9J 1Z4'],</t>
  </si>
  <si>
    <t>[ "The Source", 45.3573151020408, -75.6538102040816, '613-733-1891', 'K1V 1J5'],</t>
  </si>
  <si>
    <t>[ "Staples", 45.3573151020408, -75.6538102040816, '613-521-3030', 'K1V 1J5'],</t>
  </si>
  <si>
    <t>[ "Home Depot", 45.3633490771332, -75.658896395124, '613-739-5300', 'K1V 7Z8'],</t>
  </si>
  <si>
    <t>[ "ListenUp! Canada", 45.3539, -75.64844, '613-521-0904', 'K1V 0T7'],</t>
  </si>
  <si>
    <t>[ "The Source", 45.386778716225, -75.6796023225593, '613-737-1079', 'K1H 8K2'],</t>
  </si>
  <si>
    <t>[ "The Source", 45.3996469, -75.6837603, '613-565-4808', 'K1S 5J3'],</t>
  </si>
  <si>
    <t>[ "La Source", 45.43336, -75.78517, '819-772-4751', 'J9A 3G1'],</t>
  </si>
  <si>
    <t>[ "Canadian Tire", 45.433308, -75.779701, '819-684-0660', 'J9A 0C7'],</t>
  </si>
  <si>
    <t>[ "Jean Coutu", 45.4350193869702, -75.7807949680794, '819-771-4515', 'J9A 0N4'],</t>
  </si>
  <si>
    <t>[ "ListenUp! Canada", 45.4109122222222, -75.6928911111111, '613-238-6839', 'K2P 1Z2'],</t>
  </si>
  <si>
    <t>[ "RONA", 45.4357610482227, -75.7778724318387, '819-776-3400', 'J9A 3G1'],</t>
  </si>
  <si>
    <t>[ "Staples", 45.4130966666667, -75.6944033333333, '613-235-2525', 'K2P 1Y6'],</t>
  </si>
  <si>
    <t>[ "Bureau en Gros", 45.4360653869305, -75.7730653768985, '819-770-2332', 'J9A 3G1'],</t>
  </si>
  <si>
    <t>[ "Henrys", 45.4158166666667, -75.6967733333333, '613-232-5368', 'K2P 1X5'],</t>
  </si>
  <si>
    <t>[ "Barrys Home Hardware", 45.25691, -75.3704, '613-445-2171', 'K4R 1A1'],</t>
  </si>
  <si>
    <t>[ "Township of Russell", 45.2672597504255, -75.3059172717022, '613-443-3066', 'K0A 1W1'],</t>
  </si>
  <si>
    <t>[ "The Source", 45.26869, -75.29589, '613-443-5642', 'K0A 1W1'],</t>
  </si>
  <si>
    <t>[ "Township of North Dundas", 45.1045758467051, -75.3214423553231, '613-774-5157', 'K0C 2K0'],</t>
  </si>
  <si>
    <t>[ "Staples", 45.0301839, -75.6314132, '613-258-5900', 'K0G 1J0'],</t>
  </si>
  <si>
    <t>[ "Princess Auto", 45.3843547110849, -75.6101776002356, '613-247-1657', 'K1G 6L3'],</t>
  </si>
  <si>
    <t>[ "Canadian Tire", 45.3048483, -75.0842176, '613-764-0401', 'K0A 1M0'],</t>
  </si>
  <si>
    <t>[ "The Source", 45.30585, -75.08342, '613-764-2023', 'K0A 1M0'],</t>
  </si>
  <si>
    <t>[ "Jean Coutu", 45.32124, -75.10929, '613-764-5455', 'K0A 1M0'],</t>
  </si>
  <si>
    <t>[ "Christie and Walther", 44.6217044, -75.7652559, '613-342-6005', 'K6T 1A8'],</t>
  </si>
  <si>
    <t>[ "RONA", 44.6032662, -75.7139239, '613-342-8714', 'K6V 7H2'],</t>
  </si>
  <si>
    <t>[ "The Source", 44.60479, -75.69913, '613-342-8298', 'K6V 3G9'],</t>
  </si>
  <si>
    <t>[ "Staples", 44.6040935, -75.6989553, '613-498-2616', 'K6V 3G9'],</t>
  </si>
  <si>
    <t>[ "Home Depot", 44.6107622222222, -75.690042962963, '613-498-9600', 'K6V 5T2'],</t>
  </si>
  <si>
    <t>[ "ListenUp! Canada", 44.59284, -75.68881, '613-342-7821', 'K6V 4V5'],</t>
  </si>
  <si>
    <t>[ "Kingston Area Recycling Centre", 44.2641926530612, -76.5095706122449, '613-546-4291', 'K7K 6Z4'],</t>
  </si>
  <si>
    <t>[ "Christie and Walther", 44.2742812222652, -76.5654773740755, '613-634-3636', 'K7P 2T4'],</t>
  </si>
  <si>
    <t>[ "RONA", 44.2581559259259, -76.5518459259259, '613-531-6225', 'K7M 3G4'],</t>
  </si>
  <si>
    <t>[ "Princess Auto", 44.2617269559147, -76.559581905584, '613-530-3790', 'K7P 2S5'],</t>
  </si>
  <si>
    <t>[ "Staples", 44.23259, -76.4832707142857, '613-542-3585', 'K7K 1A5'],</t>
  </si>
  <si>
    <t>[ "Canadian Tire", 44.337385, -76.1504239285714, '613-382-3729', 'K7G 1H4'],</t>
  </si>
  <si>
    <t>[ "ListenUp! Canada", 44.230993125, -76.485105, '613-546-2250', 'K7L 2N7'],</t>
  </si>
  <si>
    <t>[ "Lowes", 44.261456779661, -76.5688013559322, '613-634-5410', 'K7P 0G1'],</t>
  </si>
  <si>
    <t>[ "Fastenal", 44.25836, -76.56869, '613-389-3968', 'K7P 0G3'],</t>
  </si>
  <si>
    <t>[ "The Source", 44.2564347058824, -76.5687373529412, '613-389-8201', 'K7M 7H4'],</t>
  </si>
  <si>
    <t>[ "Hock Shop Canada", 44.23799, -76.54389, '613-766-1577', 'K7M 4X4'],</t>
  </si>
  <si>
    <t>[ "ListenUp! Canada", 44.2509278198464, -76.5710049038168, '613-634-0304', 'K7P 2N7'],</t>
  </si>
  <si>
    <t>[ "Staples", 44.2426689227649, -76.5678108991268, '613-634-2112', 'K7M 9B8'],</t>
  </si>
  <si>
    <t>[ "Home Depot", 44.2421917434511, -76.5677826218341, '613-384-3511', 'K7M 3X9'],</t>
  </si>
  <si>
    <t>[ "United Rentals", 44.2416552182819, -76.5713681266807, '613-389-5211', 'K7M 4W7'],</t>
  </si>
  <si>
    <t>[ "ListenUp! Canada", 44.24091, -76.96616, '613-354-7000', 'K7R 3V3'],</t>
  </si>
  <si>
    <t>[ "The Source", 44.2594669387755, -76.9696418367347, '613-354-6366', 'K7R 3L2'],</t>
  </si>
  <si>
    <t>[ "Foxboro Fasteners", 44.2076483867091, -77.3954193747183, '613-969-1933', 'K8N 4Z5'],</t>
  </si>
  <si>
    <t>[ "Pharmasave", 44.1844877777778, -77.3944644444445, '613-962-4576', 'K8P 3C3'],</t>
  </si>
  <si>
    <t>[ "Newburgh Pharmacy", 44.41552, -76.98359, '613-378-2220', 'K0K 2S0'],</t>
  </si>
  <si>
    <t>[ "Lowes", 44.1957464158726, -77.400609762801, '613-771-2945', 'K8N 4Z5'],</t>
  </si>
  <si>
    <t>[ "Staples", 44.18638, -77.4044, '613-961-7399', 'K8P 5L2'],</t>
  </si>
  <si>
    <t>[ "RONA", 44.13611, -77.58462, '613-394-3351', 'K8V 5W6'],</t>
  </si>
  <si>
    <t>[ "The Source", 44.104645, -77.55904375, '613-394-4253', 'K8V 5Z9'],</t>
  </si>
  <si>
    <t>[ "RONA Campbellford", 44.2890461052992, -77.8092744786324, '705-653-1440', 'K0L 1L0'],</t>
  </si>
  <si>
    <t>[ "RONA", 44.2918933333333, -77.5647533333333, '613-395-3361', 'K0K 3E0'],</t>
  </si>
  <si>
    <t>[ "ListenUp! Canada", 43.96331, -78.29078, '905-885-0759', 'L1A 3Y9'],</t>
  </si>
  <si>
    <t>[ "RONA", 43.9076045270157, -78.5910229561934, '905-987-4560', 'L1B 1C2'],</t>
  </si>
  <si>
    <t>[ "Home Depot", 43.9763283741377, -78.2001281293115, '905-377-7600', 'K9A 0A8'],</t>
  </si>
  <si>
    <t>[ "The Source", 43.9711534146341, -78.2002748780488, '905-377-9845', 'K9A 5H7'],</t>
  </si>
  <si>
    <t>[ "Staples", 43.97172, -78.19779, '905-377-0458', 'K9A 5W4'],</t>
  </si>
  <si>
    <t>[ "Staples", 43.91057, -78.68024, '905-623-1700', 'L1C 1P2'],</t>
  </si>
  <si>
    <t>[ "Home Depot", 43.920755913993, -78.9489120086596, '905-655-2905', 'L1R 3K5'],</t>
  </si>
  <si>
    <t>[ "Staples", 43.9184340778853, -78.9437186560068, '--', 'L1R 0H4'],</t>
  </si>
  <si>
    <t>[ "Canadian Tire", 43.9191693112809, -78.9481985068482, '905-430-4962', 'L1R 3K5'],</t>
  </si>
  <si>
    <t>[ "Canadian Tire", 43.9363815152165, -78.8589058995898, '905-433-5575', 'L1K 2B8'],</t>
  </si>
  <si>
    <t>[ "Home Depot", 43.942966, -78.850946, '905-743-5600', 'L1H 7K5'],</t>
  </si>
  <si>
    <t>[ "MOHLTC - EHSB - Oshawa CACC", 43.899208284362, -78.9427566576219, '905-430-5542', 'L1N 9G5'],</t>
  </si>
  <si>
    <t>[ "The Source", 43.9411300455574, -78.8423105538002, '905-723-3407', 'L1H 7K5'],</t>
  </si>
  <si>
    <t>[ "ListenUp! Canada", 43.8889624, -78.9352684, '905-668-5440', 'L1N 7B3'],</t>
  </si>
  <si>
    <t>[ "ListenUp! Canada", 43.8935839199709, -78.8812031841397, '905-438-7997', 'L1J 2K9'],</t>
  </si>
  <si>
    <t>[ "Staples", 43.88695, -78.87582125, '905-434-1947', 'L1J 2K5'],</t>
  </si>
  <si>
    <t>[ "Lowes", 43.8791536206897, -78.882005862069, '905-436-4940', 'L1J 0B6'],</t>
  </si>
  <si>
    <t>[ "Home Depot", 43.8669056517861, -78.9008313585739, '905-571-5900', 'L1N 9K6'],</t>
  </si>
  <si>
    <t>[ "Princess Auto", 43.8656465070742, -78.9044570195808, '905-665-8581', 'L1N 9W7'],</t>
  </si>
  <si>
    <t>[ "Fastenal", 43.8596828812545, -78.896106598816, '905-723-3500', 'L1N 8M2'],</t>
  </si>
  <si>
    <t>[ "Home Depot", 43.8646801818182, -79.0104941818182, '905-428-7939', 'L1Z 1G1'],</t>
  </si>
  <si>
    <t>[ "The Source", 43.8638147, -79.0254152, '905-427-8617', 'L1Z 1E8'],</t>
  </si>
  <si>
    <t>[ "Staples", 43.859581, -79.026064, '905-686-1422', 'L1S 7L8'],</t>
  </si>
  <si>
    <t>[ "Lowes", 43.84796, -79.07391, '905-619-7530', 'L1V 4H7'],</t>
  </si>
  <si>
    <t>[ "Staples", 43.84316, -79.06844, '905-683-4620', 'L1V 6K5'],</t>
  </si>
  <si>
    <t>[ "Canadian Tire", 43.8434917861008, -79.0698554505003, '905-686-2308', 'L1V 7C7'],</t>
  </si>
  <si>
    <t>[ "Canadian Tire", 43.90952, -78.71215, '905-623-5000', 'L1C 0K5'],</t>
  </si>
  <si>
    <t>[ "Batteries Expert", 43.8345991836735, -79.0699165306122, '905-831-5068', 'L1W 3S1'],</t>
  </si>
  <si>
    <t>[ "Home Depot", 43.91096, -78.70816, '905-697-5170', 'L1C 0C3'],</t>
  </si>
  <si>
    <t>[ "The Source", 43.8381477777778, -79.0872377777778, '905-839-3568', 'L1V 1B8'],</t>
  </si>
  <si>
    <t>[ "Home Depot", 43.829046715547, -79.0984834069593, '905-421-2000', 'L1V 1B5'],</t>
  </si>
  <si>
    <t>[ "Staples", 44.09409625, -79.1307016666667, '905-862-2614', 'L9P 1S9'],</t>
  </si>
  <si>
    <t>[ "Best Buy", 43.80644, -79.13402, '--', 'L1V 1B8'],</t>
  </si>
  <si>
    <t>[ "ListenUp! Canada", 44.1077506739765, -79.1229455265324, '905-852-5933', 'L9P 1V9'],</t>
  </si>
  <si>
    <t>[ "ListenUp! Canada", 43.8652224, -79.2924453, '905-479-6886', 'L3R 1N1'],</t>
  </si>
  <si>
    <t>[ "Best Buy", 43.8655657142857, -79.2913528571429, '--', 'L3R 4M9'],</t>
  </si>
  <si>
    <t>[ "Staples", 43.8511025, -79.3522558333333, '905-479-3101', 'L3R 0J5'],</t>
  </si>
  <si>
    <t>[ "Home Depot", 43.850865, -79.353385, '905-940-5900', 'L3R 0J6'],</t>
  </si>
  <si>
    <t>[ "Princess Auto", 43.8497606481056, -79.3580154079469, '905-944-9696', 'L3R 4X7'],</t>
  </si>
  <si>
    <t>[ "Go Wireless Inc Canada (Parent)", 43.8410172451317, -79.3261101042016, '905-940-8750', 'L3R 9X5'],</t>
  </si>
  <si>
    <t>[ "Go Wireless Canada", 43.8401537747984, -79.3284351589818, '905-432-3665', 'L3R 9X5'],</t>
  </si>
  <si>
    <t>[ "Pinnacle Hobby", 43.8912729740915, -79.2658992414536, '905-471-9634', 'L3P 7R1'],</t>
  </si>
  <si>
    <t>[ "Home Depot", 43.90374, -79.26985, '905-201-5500', 'L6E 0G5'],</t>
  </si>
  <si>
    <t>[ "Home Depot", 43.899563, -79.391825, '905-787-7200', 'L4S 1M6'],</t>
  </si>
  <si>
    <t>[ "Staples", 43.89947, -79.39223, '905-770-1600', 'L4S 0B2'],</t>
  </si>
  <si>
    <t>[ "Home Depot", 43.8516, -79.25286, '905-201-2590', 'L3S 4K7'],</t>
  </si>
  <si>
    <t>[ "ListenUp! Canada", 43.8504080701754, -79.4092054385965, '905-889-2199', 'L4B 3M6'],</t>
  </si>
  <si>
    <t>[ "RONA", 43.8146, -79.29221, '416-396-3453', 'M1V 4V3'],</t>
  </si>
  <si>
    <t>[ "Lowes", 43.8340925, -79.2526589, '416-940-4827', 'M1V 5P7'],</t>
  </si>
  <si>
    <t>[ "Home Depot", 43.8414159822526, -79.4228972184826, '905-763-2311', 'L4B 4K1'],</t>
  </si>
  <si>
    <t>[ "Staples Canada/Business Depot", 43.8410902360863, -79.4226223429902, '905-882-6995', 'L4B 4M6'],</t>
  </si>
  <si>
    <t>[ "ListenUp! Canada", 43.8003307, -79.3004262, '416-494-6901', 'M1T 3T6'],</t>
  </si>
  <si>
    <t>[ "Federal Wireless Communication Inc.", 43.8106164, -79.2528031, '416-321-6606', 'M1S 5A5'],</t>
  </si>
  <si>
    <t>[ "Canadian Tire", 43.9568185393775, -79.2786247921156, '905-640-5800', 'L4A 0K2'],</t>
  </si>
  <si>
    <t>[ "Staples", 43.9582946871189, -79.2718495160064, '905-642-6800', 'L4A 0K2'],</t>
  </si>
  <si>
    <t>[ "Fastenal", 43.8093601645066, -79.2435452702725, '416-646-1681', 'M1B 2W4'],</t>
  </si>
  <si>
    <t>[ "The Source", 43.9649619587629, -79.2758659793814, '905-642-4776', 'L4A 1H3'],</t>
  </si>
  <si>
    <t>[ "Canadian Tire", 43.7899618, -79.2610837, '416-298-0000', 'M1S 3V5'],</t>
  </si>
  <si>
    <t>[ "ListenUp! Canada", 43.8091281818182, -79.2214209090909, '416-282-5574', 'M1B 4Z8'],</t>
  </si>
  <si>
    <t>[ "Franklin Empire", 43.785577392966, -79.2556527454995, '416-299-4443', 'M1S 3P8'],</t>
  </si>
  <si>
    <t>[ "The Source", 43.7958802857143, -79.4195102857143, '416-223-1943', 'M2M 3X4'],</t>
  </si>
  <si>
    <t>[ "Canadian Tire", 43.7957925, -79.41948875, '416-222-2511', 'M2M 3X4'],</t>
  </si>
  <si>
    <t>[ "Princess Auto", 43.78416, -79.25592, '647-253-5600', 'M1S 5K7'],</t>
  </si>
  <si>
    <t>[ "Canadian College of Naturopathic Medicine", 43.7707414, -79.3658736, '416-498-1255', 'M2K 1E2'],</t>
  </si>
  <si>
    <t>[ "Best Buy", 43.775466, -79.25395, '--', 'M1P 4P5'],</t>
  </si>
  <si>
    <t>[ "The Source", 43.8082546569289, -79.4543521119226, '905-889-0074', 'L4J 4P8'],</t>
  </si>
  <si>
    <t>[ "Best Buy", 43.77976, -79.41556, '--', 'M2M 3X4'],</t>
  </si>
  <si>
    <t>[ "Home Depot", 43.76262, -79.29468, '416-609-1800', 'M1R 4E6'],</t>
  </si>
  <si>
    <t>[ "Staples", 43.75861, -79.31211, '416-444-5237', 'M1R 4B7'],</t>
  </si>
  <si>
    <t>[ "Staples", 43.79976, -79.19677, '416-208-7728', 'M1V 1K4'],</t>
  </si>
  <si>
    <t>[ "Home Depot", 43.8014078156504, -79.1945958807861, '416-283-3166', 'M1B 5N6'],</t>
  </si>
  <si>
    <t>[ "RONA", 43.7644127, -79.3993942, '416-225-7726', 'M2N 3B1'],</t>
  </si>
  <si>
    <t>[ "Canadian Tire", 43.81358, -79.47625, '905-889-7455', 'L4J 8R9'],</t>
  </si>
  <si>
    <t>[ "Best Buy Canada", 43.768118, -79.412616, '416-642-7980', 'M2N 6Z4'],</t>
  </si>
  <si>
    <t>[ "Kelcom", 43.817102051282, -79.4836097435897, '905-761-6070', 'L4K 3N6'],</t>
  </si>
  <si>
    <t>[ "ListenUp! Canada", 43.78216, -79.207, '416-283-1940', 'M1E 5E9'],</t>
  </si>
  <si>
    <t>[ "Staples", 43.7984506, -79.4709573, '905-669-5096', 'L4J 7R5'],</t>
  </si>
  <si>
    <t>[ "Trion Power Tools Services Inc.", 43.811413837805, -79.4880696655048, '905-738-5060', 'L4K 3M7'],</t>
  </si>
  <si>
    <t>[ "ListenUp! Canada", 43.7441644444444, -79.3454033333333, '416-441-3251', 'M3B 2W7'],</t>
  </si>
  <si>
    <t>[ "ListenUp! Canada", 43.74771, -79.3856283333333, '416-510-2705', 'M2L 2Y5'],</t>
  </si>
  <si>
    <t>[ "ListenUp! Canada", 43.7601748, -79.2284333, '416-439-7888', 'M1H 1A9'],</t>
  </si>
  <si>
    <t>[ "Home Depot", 43.7846456, -79.4809113, '416-664-9800', 'M3J 3A8'],</t>
  </si>
  <si>
    <t>[ "ListenUp! Canada", 43.7665105, -79.1926905, '416-724-9600', 'M1E 2S2'],</t>
  </si>
  <si>
    <t>[ "Canadian Tire", 43.7976226086956, -79.1538730434783, '416-283-7707', 'M1B 4X3'],</t>
  </si>
  <si>
    <t>[ "Best Buy", 43.7205099, -79.6000779, '--', 'M9W 6K5'],</t>
  </si>
  <si>
    <t>[ "Home Depot", 43.70865, -79.565265, '416-746-1357', 'M9W 4J4'],</t>
  </si>
  <si>
    <t>[ "Franklin Empire", 43.69355, -79.59861, '416-248-0176', 'M9W 5G6'],</t>
  </si>
  <si>
    <t>[ "La Source", 43.68765, -79.62194, '905-672-6301', 'L5P 1B2'],</t>
  </si>
  <si>
    <t>[ "Lakeshore Communications", 43.6811083333333, -79.5916170833333, '416-675-2929', 'M9W 1A4'],</t>
  </si>
  <si>
    <t>[ "ListenUp! Canada", 43.7824005, -79.5814143, '905-850-8065', 'L4H 0P6'],</t>
  </si>
  <si>
    <t>[ "Vaughan Public Libraries", 43.7847275, -79.593464375, '905-653-7323', 'L4L 2S7'],</t>
  </si>
  <si>
    <t>[ "Advantech Communication Systems", 43.7867956637033, -79.5535294998399, '905-266-1901', 'L4L 6A9'],</t>
  </si>
  <si>
    <t>[ "Canadian Tire", 43.7887668115942, -79.5506539130435, '905-851-3214', 'L4L 9C3'],</t>
  </si>
  <si>
    <t>[ "Staples", 43.7854118, -79.5413764, '905-856-6588', 'L4L 9J8'],</t>
  </si>
  <si>
    <t>[ "Home Depot", 43.7920975864228, -79.5438865267616, '905-851-1800', 'L4L 8T2'],</t>
  </si>
  <si>
    <t>[ "Ricoh Canada", 43.6612163079398, -79.6085778031673, '905-795-7926', 'L4W 5L1'],</t>
  </si>
  <si>
    <t>[ "Transcontinental Printing", 43.7111904510481, -79.6904347644193, '905-458-4777', 'L6T 1C1'],</t>
  </si>
  <si>
    <t>[ "Staples Canada", 43.6680095533643, -79.6452371511541, '905-565-2545', 'L5T 1G6'],</t>
  </si>
  <si>
    <t>[ "Staples", 43.7422160823042, -79.6973981517214, '905-791-4522', 'L6T 5J1'],</t>
  </si>
  <si>
    <t>[ "Home Depot", 43.7463925195484, -79.6994949174633, '905-494-2200', 'L6S 0B8'],</t>
  </si>
  <si>
    <t>[ "Lowes", 43.79482, -79.53192, '905-532-5630', 'L4K 3Y8'],</t>
  </si>
  <si>
    <t>[ "Princess Auto", 43.6680075233941, -79.664780667741, '905-564-1011', 'L5T 2Z9'],</t>
  </si>
  <si>
    <t>[ "Fastenal", 43.7807858, -79.4973294, '416-646-1681', 'M2M 3Y1'],</t>
  </si>
  <si>
    <t>[ "Staples Canada", 43.6598001549726, -79.6637084686646, '289-562-2532', 'L5T 1W8'],</t>
  </si>
  <si>
    <t>[ "RONA", 43.6605323529412, -79.5107564705882, '416-232-1460', 'M8X 1Y6'],</t>
  </si>
  <si>
    <t>[ "Staples", 43.63927, -79.62362, '905-602-5889', 'L4W 5K1'],</t>
  </si>
  <si>
    <t>[ "Home Depot", 43.7012625, -79.4641591666667, '416-780-4730', 'M6B 3X8'],</t>
  </si>
  <si>
    <t>[ "Home Depot", 43.67934, -79.71553, '905-457-1800', 'L6W 4R8'],</t>
  </si>
  <si>
    <t>[ "Home Depot", 43.7298423415831, -79.4540872039017, '416-373-6000', 'M3K 2C8'],</t>
  </si>
  <si>
    <t>[ "ListenUp! Canada", 43.749713093676, -79.7391703430019, '905-595-2844', 'L6R 0W3'],</t>
  </si>
  <si>
    <t>[ "RONA", 43.6254612467473, -79.6065350291245, '905-602-0795', 'L4W 1V5'],</t>
  </si>
  <si>
    <t>[ "Canadian Tire", 43.8297258263448, -79.5372892772554, '905-417-0125', 'L4K 5R3'],</t>
  </si>
  <si>
    <t>[ "Best Buy", 43.62993, -79.55195, '--', 'M9B 3Y8'],</t>
  </si>
  <si>
    <t>[ "uBreakiFix", 43.6265720048875, -79.5650736806528, '905-232-0365', 'L4X 1L9'],</t>
  </si>
  <si>
    <t>[ "Lowes", 43.67655, -79.72394, '905-874-5000', 'L6W 4V2'],</t>
  </si>
  <si>
    <t>[ "ListenUp! Canada", 43.7019, -79.452005, '416-630-5111', 'M6B 4J3'],</t>
  </si>
  <si>
    <t>[ "Canadian Tire", 43.6708312, -79.471975, '416-766-8141', 'M6N 5B4'],</t>
  </si>
  <si>
    <t>[ "Canadian Tire", 43.7166569, -79.4472576, '416-787-1203', 'M6A 1B6'],</t>
  </si>
  <si>
    <t>[ "Home Depot", 43.6717588, -79.470253, '416-766-2800', 'M6N 5A8'],</t>
  </si>
  <si>
    <t>[ "Best Buy Canada", 43.6694475, -79.4700725, '416-766-1577', 'M6N 5G8'],</t>
  </si>
  <si>
    <t>[ "RONA", 43.66924, -79.46998, '416-766-9393', 'M6N 5B7'],</t>
  </si>
  <si>
    <t>[ "Staples", 43.6230371052632, -79.5691739473684, '905-279-4392', 'L4X 2X8'],</t>
  </si>
  <si>
    <t>[ "Staples", 43.6700824, -79.4664952, '416-762-2816', 'M6N 3E2'],</t>
  </si>
  <si>
    <t>[ "ListenUp! Canada", 43.8358008333333, -79.5337363888889, '905-303-2224', 'M6B 4H8'],</t>
  </si>
  <si>
    <t>[ "The Source", 43.6438509859155, -79.6964157746479, '905-673-0140', 'L5T 2L6'],</t>
  </si>
  <si>
    <t>[ "ListenUp! Canada", 43.649745, -79.482619375, '416-767-7523', 'M6S 1P5'],</t>
  </si>
  <si>
    <t>[ "RONA", 43.629895, -79.5173525, '416-503-2469', 'M8Z 4P8'],</t>
  </si>
  <si>
    <t>[ "Home Depot", 43.6160075925926, -79.5569162037037, '416-626-9800', 'M9C 1A7'],</t>
  </si>
  <si>
    <t>[ "Home Depot", 43.8471519298622, -79.5541409777682, '905-303-2323', 'L4H 4E8'],</t>
  </si>
  <si>
    <t>[ "Canadian Tire", 43.65879, -79.3289, '416-778-0102', 'M4M 1B4'],</t>
  </si>
  <si>
    <t>[ "Staples", 43.65126, -79.36401, '416-368-3331', 'M5A 1E9'],</t>
  </si>
  <si>
    <t>[ "Staples", 43.6496261538462, -79.3780784615385, '416-203-3525', 'M5C 1S8'],</t>
  </si>
  <si>
    <t>[ "Home Depot", 43.6686185294118, -79.3382991176471, '416-462-6270', 'M4M 3G6'],</t>
  </si>
  <si>
    <t>[ "The Source", 43.6686185294118, -79.3382991176471, '416-463-3422', 'M4M 3G6'],</t>
  </si>
  <si>
    <t>[ "Atlas Machinery Supply", 43.6504605263158, -79.3882905263158, '416-598-3553', 'M5V 1Z4'],</t>
  </si>
  <si>
    <t>[ "Mountain Equipment Co-op", 43.6459, -79.392955, '416-340-2667', 'M5V 1K2'],</t>
  </si>
  <si>
    <t>[ "Staples", 43.6532061538462, -79.3874469230769, '416-598-4818', 'M5G 2J5'],</t>
  </si>
  <si>
    <t>[ "ListenUp! Canada", 43.67148, -79.2932566666667, '--', 'M4E 1E3'],</t>
  </si>
  <si>
    <t>[ "ListenUp! Canada", 43.6606114285714, -79.3857528571429, '416-591-9124', 'M5G 1N8'],</t>
  </si>
  <si>
    <t>[ "Ministry of Tourism Culture and Sport", 43.6634308, -79.3876749, '416-327-1189', 'M7A 2E1'],</t>
  </si>
  <si>
    <t>[ "Program Development &amp; Capacity Office HR Ontario", 43.6639486956522, -79.3889460869565, '416-327-4887', 'M7A 1N3'],</t>
  </si>
  <si>
    <t>[ "Office of the Corporate Chief Information Officer I+IT", 43.6639486956522, -79.3889460869565, '416-212-8242', 'M7A 1N3'],</t>
  </si>
  <si>
    <t>[ "Ministry of Health and Long-Term Care", 43.6668838461538, -79.3882746153846, '416-327-9447', 'M5S 2B1'],</t>
  </si>
  <si>
    <t>[ "Canadian Tire", 43.672983030303, -79.3878990909091, '416-925-9592', 'M4W 2H2'],</t>
  </si>
  <si>
    <t>[ "Evergreen Brick Works", 43.6833973255541, -79.3650023256323, '416-596-1495', 'M4W 3X8'],</t>
  </si>
  <si>
    <t>[ "MNJCC", 43.6660371428571, -79.4035023809524, '416-924-6211', 'M5S 2J2'],</t>
  </si>
  <si>
    <t>[ "ListenUp! Canada", 43.6886695, -79.299492, '416-691-3305', 'M4K 1M8'],</t>
  </si>
  <si>
    <t>[ "The Source", 43.63605125, -79.42622875, '416-516-2225', 'M6H 4A9'],</t>
  </si>
  <si>
    <t>[ "Best Buy", 43.6395682758621, -79.4275837931034, '--', 'M6A 3A1'],</t>
  </si>
  <si>
    <t>[ "Staples", 43.6796533333333, -79.3906066666667, '416-961-4949', 'M4W 2L8'],</t>
  </si>
  <si>
    <t>[ "Staples", 43.69088, -79.2898, '416-686-4711', 'M4C 1M9'],</t>
  </si>
  <si>
    <t>[ "ListenUP! Canada", 43.6877735, -79.3943262, '416-925-9223', 'M4V 1K7'],</t>
  </si>
  <si>
    <t>[ "ListenUp! Canada", 43.688923125, -79.39446125, '416-920-7474', 'M4T 1Z2'],</t>
  </si>
  <si>
    <t>[ "Telus", 43.70528, -79.36148, '416-422-6422', 'M4G 3T4'],</t>
  </si>
  <si>
    <t>[ "Home Depot", 43.7089125, -79.3134525, '416-752-5900', 'M4B 3L8'],</t>
  </si>
  <si>
    <t>[ "Home Depot", 43.71146, -79.35851, '416-467-2300', 'M4G 4H9'],</t>
  </si>
  <si>
    <t>[ "Canadian Tire", 43.7123005, -79.3634007, '416-422-0303', 'M4G 4G9'],</t>
  </si>
  <si>
    <t>[ "Staples", 43.7110257, -79.3772455, '416-696-0043', 'M4P 3A1'],</t>
  </si>
  <si>
    <t>[ "The Source", 43.711808, -79.3759774, '416-489-6974', 'M4G 2K2'],</t>
  </si>
  <si>
    <t>[ "The Source", 43.7072288235294, -79.3984747058824, '416-485-4944', 'M4P 1E4'],</t>
  </si>
  <si>
    <t>[ "Best Buy Canada", 43.7096685185185, -79.398972962963, '416-489-4726', 'M4P 2H4'],</t>
  </si>
  <si>
    <t>[ "RONA", 43.72284, -79.285535, '416-751-7556', 'M1L 4T7'],</t>
  </si>
  <si>
    <t>[ "Canadian Tire", 43.7255739, -79.2934661, '416-615-2666', 'M1L 2L8'],</t>
  </si>
  <si>
    <t>[ "ListenUp! Canada", 43.65184625, -79.4730225, '416-769-0097', 'M6S 1M8'],</t>
  </si>
  <si>
    <t>[ "Staples", 43.7292761, -79.2841259, '416-752-1091', 'M1L 2M6'],</t>
  </si>
  <si>
    <t>[ "ListenUp! Canada", 43.72304875, -79.2349525, '416-265-4427', 'M1M 1N5'],</t>
  </si>
  <si>
    <t>[ "uBreakiFix", 43.7342373913043, -79.4197234782609, '416-483-3773', 'M5M 4A3'],</t>
  </si>
  <si>
    <t>[ "The Source", 43.7347430769231, -79.4198246153846, '416-604-3224', 'M6N 0A3'],</t>
  </si>
  <si>
    <t>[ "Home Depot", 43.4537, -79.68677, '905-815-5000', 'L6J 2W7'],</t>
  </si>
  <si>
    <t>[ "The Source", 43.4622, -79.68899, '905-849-4445', 'L6H 3H6'],</t>
  </si>
  <si>
    <t>[ "Town of Oakville", 43.4667051425437, -79.6902873864082, '905-845-6601', 'L6H 3P1'],</t>
  </si>
  <si>
    <t>[ "Post Inn Village - Services for Seniors", 43.4797983370262, -79.7164707317139, '905-825-6000', 'L6H 7H9'],</t>
  </si>
  <si>
    <t>[ "Home Depot", 43.4007600369329, -79.7497547947862, '905-469-7110', 'L6L 0B1'],</t>
  </si>
  <si>
    <t>[ "Home Depot", 43.518025, -79.683355, '905-829-5900', 'L6H 5W9'],</t>
  </si>
  <si>
    <t>[ "ListenUp! Canada", 43.51475, -79.6258739344262, '905-855-7638', 'L5J 4P1'],</t>
  </si>
  <si>
    <t>[ "Staples", 43.52236625, -79.6810634375, '905-829-1960', 'L6H 6J5'],</t>
  </si>
  <si>
    <t>[ "uBreakiFix", 43.5276517334641, -79.6521177075339, '289-327-3442', 'L5K 0A1'],</t>
  </si>
  <si>
    <t>[ "Mississauga Repair Centre", 43.53323, -79.67721, '905-828-1565', 'L5L 1R6'],</t>
  </si>
  <si>
    <t>[ "Global Mobility Products Inc.", 43.3833839090607, -79.7703333545969, '905-331-3616', 'L7L 5H6'],</t>
  </si>
  <si>
    <t>[ "Creek Way Village", 43.3931931378967, -79.7803727550126, '905-825-6000', 'L7L 7G7'],</t>
  </si>
  <si>
    <t>[ "RONA", 43.3908735022933, -79.7902297597762, '905-332-8868', 'L7L 5V3'],</t>
  </si>
  <si>
    <t>[ "Complete Rent-Alls", 43.3750029771389, -79.7839190611361, '905-632-9010', 'L7L 4X9'],</t>
  </si>
  <si>
    <t>[ "RONA", 43.5513803, -79.7186544, '905-820-9965', 'L5M 6J3'],</t>
  </si>
  <si>
    <t>[ "Ministry of Government &amp; Consumer Services", 43.5618102531646, -79.6491292405063, '905-279-6163', 'L5C 1Y5'],</t>
  </si>
  <si>
    <t>[ "Canadian Tire", 43.5669954054054, -79.6343627027027, '905-270-9200', 'L5C 1T8'],</t>
  </si>
  <si>
    <t>[ "Home Depot", 43.5673018918919, -79.6347959459459, '905-281-6230', 'L5C 1T7'],</t>
  </si>
  <si>
    <t>[ "Interstate All Battery Center", 43.5675645945946, -79.6351672972973, '905-949-1818', 'L5C 1T7'],</t>
  </si>
  <si>
    <t>[ "ListenUp! Canada", 43.5697166483922, -79.66258931314, '905-949-0102', 'L5C 4E9'],</t>
  </si>
  <si>
    <t>[ "Staples", 43.3568097209952, -79.808176898632, '905-332-1071', 'L7M 4X7'],</t>
  </si>
  <si>
    <t>[ "Home Depot", 43.3566399619041, -79.8083578201066, '905-331-1700', 'L7M 4M9'],</t>
  </si>
  <si>
    <t>[ "Canadian Tire", 43.3464639130435, -79.7963565217391, '905-639-6711', 'L7R 3N2'],</t>
  </si>
  <si>
    <t>[ "The Source", 43.3464639130435, -79.7963565217391, '905-639-4354', 'L7R 3N2'],</t>
  </si>
  <si>
    <t>[ "ListenUp! Canada", 43.57159, -79.61069, '905-502-6888', 'L5B 2P7'],</t>
  </si>
  <si>
    <t>[ "Staples", 43.5803964962338, -79.6468598538234, '905-306-7888', 'L5B 4M6'],</t>
  </si>
  <si>
    <t>[ "ListenUp! Canada", 43.5777787267331, -79.6152479148324, '905-272-4327', 'L5B 4A2'],</t>
  </si>
  <si>
    <t>[ "ListenUp! Canada", 43.5809175, -79.712705, '905-286-1051', 'L5M 1L6'],</t>
  </si>
  <si>
    <t>[ "Staples", 43.3357729032258, -79.8128403225806, '905-637-1422', 'L7S 2K4'],</t>
  </si>
  <si>
    <t>[ "Mountain Equipment Co-Op", 43.3390135923777, -79.8183843895694, '905-333-8559', 'L7R 0B2'],</t>
  </si>
  <si>
    <t>[ "ListenUp! Canada", 43.3369777706284, -79.8184103048358, '905-631-7889', 'L7R 3P9'],</t>
  </si>
  <si>
    <t>[ "Stanley Black &amp; Decker", 43.5882913561828, -79.7327009440744, '289-290-4668', 'L5N 7K6'],</t>
  </si>
  <si>
    <t>[ "The Source", 43.3278229640744, -79.8196357784446, '905-681-9252', 'L7S 2J8'],</t>
  </si>
  <si>
    <t>[ "Hudsons Bay Company", 43.3278229640744, -79.8196357784446, '905-681-0030', 'L7S 2J8'],</t>
  </si>
  <si>
    <t>[ "RONA", 43.5941053846154, -79.6007069230769, '905-276-6350', 'L5A 3Y6'],</t>
  </si>
  <si>
    <t>[ "MCSCS", 43.59177, -79.58866, '905-279-6997', 'L4Y 1Y5'],</t>
  </si>
  <si>
    <t>[ "Henrys", 43.6087329220779, -79.6555426623377, '905-568-1922', 'L4Z 3X6'],</t>
  </si>
  <si>
    <t>[ "Home Depot", 43.6071071830986, -79.7008128169014, '905-285-4000', 'L5V 3E4'],</t>
  </si>
  <si>
    <t>[ "The Source", 43.59511, -79.56838, '905-271-3644', 'L5E 1V4'],</t>
  </si>
  <si>
    <t>[ "Staples", 43.60992, -79.69273, '905-813-3134', 'L5V 2P5'],</t>
  </si>
  <si>
    <t>[ "Canadian Tire", 43.60446, -79.58928, '905-272-4800', 'L4Y 2C1'],</t>
  </si>
  <si>
    <t>[ "Staples", 43.60798, -79.72949, '905-785-0864', 'L5N 8E1'],</t>
  </si>
  <si>
    <t>[ "Home Depot", 43.53572, -79.87415, '905-864-1200', 'L9T 0A5'],</t>
  </si>
  <si>
    <t>[ "RONA", 43.5965272142405, -79.7850797312542, '905-824-1865', 'L5N 8E1'],</t>
  </si>
  <si>
    <t>[ "Home Depot", 43.5991950396019, -79.7796852742672, '905-814-3860', 'L5N 8C5'],</t>
  </si>
  <si>
    <t>[ "Staples", 43.5417045, -79.8713099, '905-878-2434', 'L9T 6R1'],</t>
  </si>
  <si>
    <t>[ "Canadian Tire", 43.5415727, -79.8715343, '905-878-2349', 'L9T 6R1'],</t>
  </si>
  <si>
    <t>[ "ListenUp! Canada", 43.60909, -79.56052, '416-620-5776', 'M9C 5N2'],</t>
  </si>
  <si>
    <t>[ "Dashvapes Inc", 43.626546, -79.679812, '905-507-3274', 'L5R 4B3'],</t>
  </si>
  <si>
    <t>[ "Staples", 43.22544, -79.95532, '905-648-6047', 'L9K 1L6'],</t>
  </si>
  <si>
    <t>[ "Henrys", 43.2255173449585, -79.9538051792998, '905-648-9754', 'L9K 1L5'],</t>
  </si>
  <si>
    <t>[ "Best Buy", 43.22704, -79.94467, '905-304-7624', 'L9K 1J9'],</t>
  </si>
  <si>
    <t>[ "Home Depot", 43.229086749999, -79.9415112934695, '905-304-5900', 'L9K 1J9'],</t>
  </si>
  <si>
    <t>[ "The Source", 43.25969, -79.94278, '905-627-3387', 'L9H 4H4'],</t>
  </si>
  <si>
    <t>[ "The Source", 43.1733746666667, -80.242096, '519-759-8462', 'N3R 6B8'],</t>
  </si>
  <si>
    <t>[ "ListenUp! Canada", 43.25734, -79.93383, '905-524-0788', 'L8S 1G5'],</t>
  </si>
  <si>
    <t>[ "Home Depot", 43.1630392918477, -80.2414100444489, '519-757-3534', 'N3R 7J4'],</t>
  </si>
  <si>
    <t>[ "Staples", 43.1693666109149, -80.2479792495133, '519-752-3367', 'N3R 7C5'],</t>
  </si>
  <si>
    <t>[ "Princess Auto", 43.155558, -80.236674, '226-227-9440', 'N3S 7R4'],</t>
  </si>
  <si>
    <t>[ "Lowes", 43.155372, -80.237796, '519-720-2060', 'N3S 7R4'],</t>
  </si>
  <si>
    <t>[ "ListenUp! Canada", 43.1474446153846, -80.2361169230769, '519-753-4182', 'N3R 4X8'],</t>
  </si>
  <si>
    <t>[ "RONA", 43.3155955555556, -79.9137022222222, '905-689-8700', 'L9H 0C2'],</t>
  </si>
  <si>
    <t>[ "Staples", 43.3179275, -79.9109525, '905-689-0271', 'L0R 2H1'],</t>
  </si>
  <si>
    <t>[ "ListenUp! Canada", 43.249808, -79.871143, '905-529-6251', 'L8N 1Y2'],</t>
  </si>
  <si>
    <t>[ "Sears (Canada)", 43.21707, -79.86449, '905-389-4441', 'L9A 4X5'],</t>
  </si>
  <si>
    <t>[ "Staples", 43.21863, -79.86401, '905-383-7913', 'L9A 4V8'],</t>
  </si>
  <si>
    <t>[ "ListenUp! Canada", 43.22069, -79.86314, '905-574-9196', 'L9A 5H2'],</t>
  </si>
  <si>
    <t>[ "The Source", 43.32977, -79.89708, '905-690-3243', 'L0R 2H6'],</t>
  </si>
  <si>
    <t>[ "The Source", 43.35466, -80.28745, '519-623-5210', 'N1R 8N8'],</t>
  </si>
  <si>
    <t>[ "Home Essentials", 43.355283, -80.31844, '519-622-6046', 'N1S 2L8'],</t>
  </si>
  <si>
    <t>[ "Canadian Tire", 43.25503, -79.83035, '905-549-1336', 'L8L 2V6'],</t>
  </si>
  <si>
    <t>[ "Envirosystems Inc.", 43.25829, -79.82995, '905-545-2665', 'L8L 6W1'],</t>
  </si>
  <si>
    <t>[ "ListenUp! Canada", 43.37387, -80.31864, '519-624-9092', 'N1R 8L4'],</t>
  </si>
  <si>
    <t>[ "The Source", 43.25047, -79.8117174358974, '905-545-5343', 'L8H 2V4'],</t>
  </si>
  <si>
    <t>[ "Staples", 43.2497988888889, -79.8086933333333, '--', 'L8H 2V4'],</t>
  </si>
  <si>
    <t>[ "Home Depot", 43.1921532, -79.8127364, '905-574-4400', 'L8J 0B4'],</t>
  </si>
  <si>
    <t>[ "Staples", 43.1763769718819, -79.7903986495485, '905-692-7215', 'L0R 1P0'],</t>
  </si>
  <si>
    <t>[ "Pharmasave", 43.1995437817332, -79.7944403927634, '905-578-1111', 'L8J 1P8'],</t>
  </si>
  <si>
    <t>[ "ListenUp! Canada", 43.1944638910939, -79.5629405753382, '905-309-6116', 'L3M 4H1'],</t>
  </si>
  <si>
    <t>[ "Franklin Empire", 43.2331541823488, -79.7434223326724, '905-578-3330', 'L8E 2J8'],</t>
  </si>
  <si>
    <t>[ "ListenUp! Canada", 43.23425, -79.76165, '905-662-8275', 'L8E 1H9'],</t>
  </si>
  <si>
    <t>[ "Fastenal", 43.2408032222222, -79.7363474444444, '289-649-0770', 'L8E 0C5'],</t>
  </si>
  <si>
    <t>[ "Staples Canada", 43.23714, -79.7616175, '905-578-3573', 'L8E 2W7'],</t>
  </si>
  <si>
    <t>[ "Home Depot", 43.2400266666667, -79.7591422222222, '905-561-9755', 'L8E 2X4'],</t>
  </si>
  <si>
    <t>[ "Princess Auto", 43.2443277777778, -79.7859277777778, '905-561-9400', 'L8H 2Y6'],</t>
  </si>
  <si>
    <t>[ "RONA", 43.18895, -79.5127447319383, '905-309-1959', 'L3M 4E8'],</t>
  </si>
  <si>
    <t>[ "RONA", 43.2532231, -79.7863211, '905-547-3444', 'L8H 5Z1'],</t>
  </si>
  <si>
    <t>[ "Staples", 43.01479, -79.24987, '905-714-7607', 'L3C 5Z4'],</t>
  </si>
  <si>
    <t>[ "The Source", 43.01479, -79.24987, '905-735-0887', 'L3C 5Z4'],</t>
  </si>
  <si>
    <t>[ "Best Buy", 43.11939, -79.26929, '905-378-0333', 'L2S 0C7'],</t>
  </si>
  <si>
    <t>[ "Ontario Public Service", 42.9940204820926, -79.249069578359, '905-735-1660', 'L3B 5X6'],</t>
  </si>
  <si>
    <t>[ "ListenUp! Canada", 42.99222, -79.24764, '905-734-7300', 'L3B 3W5'],</t>
  </si>
  <si>
    <t>[ "Rona Welland", 43.0143557171621, -79.2291830209854, '905-732-0073', 'L3B 0A1'],</t>
  </si>
  <si>
    <t>[ "Princess Auto", 43.1557522, -79.2651518, '289-438-8380', 'L2S 0E7'],</t>
  </si>
  <si>
    <t>[ "Pharmasave", 43.1245186956522, -79.2006786956522, '905-227-2511', 'L2V 3Y7'],</t>
  </si>
  <si>
    <t>[ "Staples", 43.1792340662616, -79.2488582576566, '905-937-4292', 'L2N 7R6'],</t>
  </si>
  <si>
    <t>[ "Home Depot", 43.1793789783435, -79.2478539630517, '905-937-5900', 'L2N 7R6'],</t>
  </si>
  <si>
    <t>[ "RONA", 43.16581, -79.20202, '905-684-9264', 'L2M 7X2'],</t>
  </si>
  <si>
    <t>[ "Town of Grand Island", 43.02266, -78.96575, '716-773-9600', '14072'],</t>
  </si>
  <si>
    <t>[ "Beatties Basics", 42.9054554117228, -78.9321407083533, '905-871-7030', 'L2A 1N2'],</t>
  </si>
  <si>
    <t>[ "ListenUp! Canada", 42.90567, -78.91845, '905-991-0647', 'L2A 1M4'],</t>
  </si>
  <si>
    <t>[ "Just Accessories", 43.0703930009034, -79.1146269448938, '905-358-5878', 'L2G 3H2'],</t>
  </si>
  <si>
    <t>[ "The Home Depot", 42.9543446666667, -78.8783137142857, '716-871-8800', '14207'],</t>
  </si>
  <si>
    <t>[ "Valu Home Centers", 42.9474754545455, -78.8782163636364, '--', '14207'],</t>
  </si>
  <si>
    <t>[ "Valu Home Centers", 43.0004266666667, -78.8751380952381, '716-694-8155', '14150'],</t>
  </si>
  <si>
    <t>[ "The Home Depot", 43.0882292307692, -78.9914680769231, '716-236-0761', '14304'],</t>
  </si>
  <si>
    <t>[ "RadioShack", 42.9423522222222, -78.8678733333333, '716-874-5064', '14216'],</t>
  </si>
  <si>
    <t>[ "RadioShack", 43.0879566895736, -78.9805609232238, '716-283-5648', '14304'],</t>
  </si>
  <si>
    <t>[ "Dewalt Factory Service Center", 42.92228, -78.8663458064516, '716-884-6220', '14209'],</t>
  </si>
  <si>
    <t>[ "RadioShack", 43.0941245569268, -78.9719036349523, '716-297-3333', '14304'],</t>
  </si>
  <si>
    <t>[ "Staples", 43.1041398492462, -79.1139305527638, '905-358-0650', 'L2E 7K5'],</t>
  </si>
  <si>
    <t>[ "Home Depot", 43.1041398492462, -79.1139305527638, '905-371-7470', 'L2E 7K5'],</t>
  </si>
  <si>
    <t>[ "RadioShack", 43.0510285714286, -78.87809, '716-693-0500', '14120'],</t>
  </si>
  <si>
    <t>[ "Drake Lawn &amp; Garden Inc.", 43.09407, -78.93922, '716-731-1330', '14304'],</t>
  </si>
  <si>
    <t>[ "Valu Home Centers", 43.10931, -78.9843, '--', '14304'],</t>
  </si>
  <si>
    <t>[ "Valu Home Centers", 42.958335, -78.83363, '716-835-0677', '14223'],</t>
  </si>
  <si>
    <t>[ "ListenUp! Canada", 43.1142502173913, -79.111777173913, '905-374-2792', 'L2E 6N1'],</t>
  </si>
  <si>
    <t>[ "Dollar General", 42.91461, -78.83779, '--', '14211'],</t>
  </si>
  <si>
    <t>[ "Valu Home Centers", 43.0601114705882, -78.8657948529412, '--', '14120'],</t>
  </si>
  <si>
    <t>[ "Kenilworth Electronics Co.", 42.9773606896552, -78.8231268965517, '716-837-6666', '14223'],</t>
  </si>
  <si>
    <t>[ "CPR of WNY Tonawanda", 42.98816, -78.82275, '716-832-4277', '14150'],</t>
  </si>
  <si>
    <t>[ "Sears", 42.989312, -78.822522, '716-446-5100', '14226'],</t>
  </si>
  <si>
    <t>[ "RadioShack", 42.95801, -78.81771, '716-832-8311', '14226'],</t>
  </si>
  <si>
    <t>[ "Barnes &amp; Noble", 42.9976371111111, -78.8223682222222, '716-837-7209', '14228'],</t>
  </si>
  <si>
    <t>[ "Lowes", 43.0004893628919, -78.8223262699096, '716-831-5990', '14228'],</t>
  </si>
  <si>
    <t>[ "Wegmans", 42.9886017391304, -78.8172191304348, '716-831-6300', '14226'],</t>
  </si>
  <si>
    <t>[ "The Home Depot", 43.010624, -78.822318, '716-639-9600', '14228'],</t>
  </si>
  <si>
    <t>[ "The Battery Commercial Battery Company", 43.0110638888889, -78.8223138888889, '716-743-1554', '14150'],</t>
  </si>
  <si>
    <t>[ "Valu Home Centers", 42.9801228571429, -78.8123042857143, '716-832-3331', '14226'],</t>
  </si>
  <si>
    <t>[ "Hilti", 42.97735, -78.78386, '716-839-3989', '14226'],</t>
  </si>
  <si>
    <t>[ "The Home Depot", 42.9050804209813, -78.7805894293704, '716-895-6680', '14225'],</t>
  </si>
  <si>
    <t>[ "Saia Communications", 42.8880854545455, -78.7807954545455, '716-892-2900', '14206'],</t>
  </si>
  <si>
    <t>[ "Hectors Hardware", 42.991042962963, -78.7550407407407, '716-688-4488', '14221'],</t>
  </si>
  <si>
    <t>[ "Sears", 42.9088948979592, -78.7619793877551, '716-686-6276', '14225'],</t>
  </si>
  <si>
    <t>[ "CVS Pharmacy", 43.14327, -78.88343, '0--', '14132'],</t>
  </si>
  <si>
    <t>[ "Best Buy", 42.90886, -78.76198, '716-681-5406', '14225'],</t>
  </si>
  <si>
    <t>[ "Sayer Home Hardware Ltd.", 42.7846446666667, -80.2006908888889, '905-768-3431', 'N0A 1H0'],</t>
  </si>
  <si>
    <t>[ "The Source", 42.836844, -80.303794, '519-426-4385', 'N3Y 2V9'],</t>
  </si>
  <si>
    <t>[ "ListenUp! Canada", 42.83526, -80.31054, '519-428-1964', 'N3Y 1S8'],</t>
  </si>
  <si>
    <t>[ "Ministry of Agriculture Food and Rural Affairs", 42.8402495, -80.3057285, '519-426-7123', 'N3Y 4N5'],</t>
  </si>
  <si>
    <t>[ "Staples", 42.8461, -80.30788, '519-426-4060', 'N3Y 2M7'],</t>
  </si>
  <si>
    <t>[ "RONA", 42.852505519481, -80.3089040584248, '519-426-2740', 'N3Y 4N5'],</t>
  </si>
  <si>
    <t>[ "The Source", 42.86217, -80.72937, '519-842-7916', 'N4G 5A7'],</t>
  </si>
  <si>
    <t>[ "Staples", 42.86217, -80.72937, '519-688-2196', 'N4G 5A7'],</t>
  </si>
  <si>
    <t>[ "Princess Auto", 43.37967, -80.40888, '519-743-0742', 'N2P 2N4'],</t>
  </si>
  <si>
    <t>[ "Best Buy", 43.39061, -80.32256, '--', 'N1R 6B3'],</t>
  </si>
  <si>
    <t>[ "Home Depot", 43.4083843478261, -80.3258882608696, '519-624-2700', 'N1R 8E2'],</t>
  </si>
  <si>
    <t>[ "Staples", 43.40852, -80.32515, '519-622-5280', 'N1R 8K5'],</t>
  </si>
  <si>
    <t>[ "Home Depot", 43.40717, -80.38879, '519-650-3900', 'N2P 2J4'],</t>
  </si>
  <si>
    <t>[ "RONA", 43.4093093872598, -80.3206893040419, '519-623-5666', 'N1R 8K5'],</t>
  </si>
  <si>
    <t>[ "Franklin Empire", 43.4135169155933, -80.3784116489889, '519-650-1182', 'N3H 4R7'],</t>
  </si>
  <si>
    <t>[ "Sears (Canada)", 43.42337, -80.4358, '519-894-2300', 'N2C 1W9'],</t>
  </si>
  <si>
    <t>[ "The Source", 43.42442, -80.44121, '519-893-2916', 'N2C 1X1'],</t>
  </si>
  <si>
    <t>[ "Best Buy", 43.42442, -80.44121, '--', 'N2C 1X1'],</t>
  </si>
  <si>
    <t>[ "MRC Systems Inc.", 43.4234743216091, -80.4780417587932, '519-749-1763', 'N2E 2M7'],</t>
  </si>
  <si>
    <t>[ "Staples", 43.4243164273263, -80.4892616533735, '519-571-7420', 'N2E 3W7'],</t>
  </si>
  <si>
    <t>[ "Batteries Expert", 43.4316403871121, -80.4788023226726, '519-578-0938', 'N2M 3M4'],</t>
  </si>
  <si>
    <t>[ "Home Depot", 43.4142537565135, -80.5141950333888, '519-569-4300', 'N2E 4E2'],</t>
  </si>
  <si>
    <t>[ "The Source", 43.6381556155065, -80.027431468731, '519-853-1066', 'L7J 2Y5'],</t>
  </si>
  <si>
    <t>[ "City of Guelph HHW Depot", 43.5547519800794, -80.1998674375443, '519-767-0598', 'N1L 1P4'],</t>
  </si>
  <si>
    <t>[ "Deker Electric Ltd", 43.65154, -79.92861, '905-702-0515', 'L7G 4B5'],</t>
  </si>
  <si>
    <t>[ "The UPS Store", 43.6505627272727, -79.9088590909091, '905-873-2781', 'L7G 5X7'],</t>
  </si>
  <si>
    <t>[ "The Source", 43.6498857142857, -79.8959142857143, '905-877-8693', 'L7G 4B1'],</t>
  </si>
  <si>
    <t>[ "ListenUp! Canada", 43.5605428595857, -80.2712401819304, '519-767-5500', 'N1H 3Z1'],</t>
  </si>
  <si>
    <t>[ "Staples", 43.5659664168708, -80.2761626391892, '519-822-2344', 'N1H 1G7'],</t>
  </si>
  <si>
    <t>[ "ListenUp! Canada", 43.6495412602003, -79.8896765710905, '905-702-1945', 'L7G 4B5'],</t>
  </si>
  <si>
    <t>[ "Canadian Tire", 43.6493977405453, -79.8871084649661, '905-877-5289', 'L7G 4B3'],</t>
  </si>
  <si>
    <t>[ "Home Depot", 43.56155, -80.2822, '519-780-3400', 'N1H 1G8'],</t>
  </si>
  <si>
    <t>[ "Staples", 43.51797, -80.23639, '519-763-4205', 'N1G 4V9'],</t>
  </si>
  <si>
    <t>[ "The Source", 43.5168533333333, -80.2378733333333, '519-822-9929', 'N1G 2X6'],</t>
  </si>
  <si>
    <t>[ "Canadian Tire", 43.6914476674055, -80.3603031196803, '519-843-3680', 'N1M 3N7'],</t>
  </si>
  <si>
    <t>[ "The Source", 43.6945291057203, -80.3645413918637, '519-843-2982', 'N1M 3N7'],</t>
  </si>
  <si>
    <t>[ "Home Depot", 43.6573580898888, -79.8165908828266, '905-457-1800', 'L6X 0Z8'],</t>
  </si>
  <si>
    <t>[ "Home Depot", 43.11613, -80.72925, '519-421-5500', 'N4V 1B9'],</t>
  </si>
  <si>
    <t>[ "K.C.s Repair Centre", 43.2072454545455, -80.6978127272727, '519-469-3351', 'N0J 1M0'],</t>
  </si>
  <si>
    <t>[ "Staples", 43.1158086046512, -80.7378265116279, '519-421-3202', 'N4S 9A2'],</t>
  </si>
  <si>
    <t>[ "The Source", 43.1162686666667, -80.7379913333333, '519-539-3339', 'N4S 9A2'],</t>
  </si>
  <si>
    <t>[ "ListenUp! Canada", 43.13, -80.7573725, '519-537-8361', 'N4S 1C2'],</t>
  </si>
  <si>
    <t>[ "ListenUp Canada", 43.0405984210526, -80.8850492105263, '519-485-1671', 'N5C 4B1'],</t>
  </si>
  <si>
    <t>[ "Canadian Tire", 43.0416027272727, -80.8822027272727, '519-485-3900', 'N5C 1S5'],</t>
  </si>
  <si>
    <t>[ "Canadian Tire", 43.0062405882353, -81.1704935294118, '519-451-6260', 'N5V 4Y5'],</t>
  </si>
  <si>
    <t>[ "The Source", 43.00147, -81.17418, '519-453-2780', 'N5V 1P7'],</t>
  </si>
  <si>
    <t>[ "Staples", 43.00526, -81.17402, '519-659-3428', 'N5V 1P7'],</t>
  </si>
  <si>
    <t>[ "Home Depot", 43.00669, -81.1768, '519-457-5800', 'N5W 6H1'],</t>
  </si>
  <si>
    <t>[ "DeWalt Factory Service (Canada)", 42.9615917315216, -81.2186812885449, '519-649-2407', 'N5Z 3L1'],</t>
  </si>
  <si>
    <t>[ "Mountain Equipment Co-op", 42.927951232845, -81.2188128202866, '519-668-7734', 'N6E 1M3'],</t>
  </si>
  <si>
    <t>[ "Princess Auto", 42.9248020437138, -81.2291344937418, '519-649-7001', 'N6E 2Z2'],</t>
  </si>
  <si>
    <t>[ "Staples", 42.936906337748, -81.2809181670529, '519-690-2049', 'N6L 1A6'],</t>
  </si>
  <si>
    <t>[ "Home Depot", 42.9381032981888, -81.2811966905401, '519-691-1400', 'N6L 1R4'],</t>
  </si>
  <si>
    <t>[ "FCC", 42.93705, -81.3083131428571, '519-681-2179', 'N6P 0C6'],</t>
  </si>
  <si>
    <t>[ "ListenUp! Canada", 42.93903125, -81.2812578125, '519-668-6279', 'N6J 4G8'],</t>
  </si>
  <si>
    <t>[ "RONA", 42.7859033333333, -81.1773933333333, '519-631-2250', 'N5P 1Y8'],</t>
  </si>
  <si>
    <t>[ "The Source", 42.9316311111111, -81.2214222222222, '519-681-5914', 'N6E 1V4'],</t>
  </si>
  <si>
    <t>[ "Best Buy", 42.93354, -81.22307, '519-686-2160', 'N6E 1M2'],</t>
  </si>
  <si>
    <t>[ "Staples", 42.77878, -81.1723, '519-631-1810', 'N5P 1G4'],</t>
  </si>
  <si>
    <t>[ "The Source", 42.77878, -81.1723, '519-633-8119', 'N5P 1G4'],</t>
  </si>
  <si>
    <t>[ "ListenUp! Canada", 42.7752223, -81.1751688, '519-633-3330', 'N5R 4M5'],</t>
  </si>
  <si>
    <t>[ "Staples", 42.96328, -81.23147, '519-645-7042', 'N6C 4P6'],</t>
  </si>
  <si>
    <t>[ "Pharmasave", 42.9713077777778, -81.2523133333333, '519-438-6600', 'N6C 4Y7'],</t>
  </si>
  <si>
    <t>[ "Henrys", 42.9724794444444, -81.2382733333333, '519-686-7481', 'N6E 3V8'],</t>
  </si>
  <si>
    <t>[ "Spectrum Communications", 42.9751614941291, -81.2403128906191, '519-663-2109', 'N6B 2K4'],</t>
  </si>
  <si>
    <t>[ "Forest City Communications Ltd.", 42.9751614941291, -81.2403128906191, '519-686-3046', 'N6B 2K4'],</t>
  </si>
  <si>
    <t>[ "The Source", 42.983266, -81.24441, '519-672-9986', 'N6A 3N7'],</t>
  </si>
  <si>
    <t>[ "RONA", 42.9911473069883, -81.3002761337478, '519-471-6621', 'N6H 4L1'],</t>
  </si>
  <si>
    <t>[ "Andersons Electronics Inc", 43.00564, -81.34093, '519-657-2063', 'N6H 5L8'],</t>
  </si>
  <si>
    <t>[ "Lowes", 43.01158, -81.33416, '--', 'N6G 0E3'],</t>
  </si>
  <si>
    <t>[ "Best Buy", 43.01705, -81.27336, '--', 'N6G 3Y9'],</t>
  </si>
  <si>
    <t>[ "The Source", 43.02498, -81.28175, '519-660-1984', 'N6G 3Y9'],</t>
  </si>
  <si>
    <t>[ "ListenUp! Canada", 43.0254633333333, -81.2820055555556, '519-667-0303', 'N6G 2N3'],</t>
  </si>
  <si>
    <t>[ "Staples", 43.0277044897959, -81.2831842857143, '519-661-0888', 'N5X 3Y2'],</t>
  </si>
  <si>
    <t>[ "Home Depot", 43.034694137931, -81.2553737931034, '519-850-5900', 'N5X 1L1'],</t>
  </si>
  <si>
    <t>[ "Best Buy", 43.03662, -81.28786, '519-963-8494', 'N5X 3Y2'],</t>
  </si>
  <si>
    <t>[ "Municipality of Dutton/Dunwich", 42.66374, -81.50269, '519-762-2204', 'N0L 1J0'],</t>
  </si>
  <si>
    <t>[ "Dutton Dunwich Community Centre", 42.66185, -81.50551, '519-762-2204', 'N0L 1J0'],</t>
  </si>
  <si>
    <t>[ "John Kenneth Galbraith Reference Library", 42.6617606666667, -81.5026606666667, '519-762-2204', 'N0L 1J0'],</t>
  </si>
  <si>
    <t>[ "Mcnaughton Home Hardware Building Centre", 42.6814763636364, -81.7933845454545, '519-693-4449', 'N0L 1Z0'],</t>
  </si>
  <si>
    <t>[ "Newbury Community Services", 42.6846520044148, -81.7995860132445, '519-693-4941', 'N0L 1Z0'],</t>
  </si>
  <si>
    <t>[ "Staples", 42.9470654794521, -81.6128139726027, '519-245-5665', 'N7G 2P5'],</t>
  </si>
  <si>
    <t>[ "Spectrum Communications", 42.960192, -82.357514, '519-332-4224', 'N7S 5P1'],</t>
  </si>
  <si>
    <t>[ "Gregs Electronics", 42.8141918309859, -81.9824474647887, '519-844-2442', 'N0N 1K0'],</t>
  </si>
  <si>
    <t>[ "Lambton County Administration Building", 42.9590421810257, -82.1184700008745, '519-845-0801', 'N0N 1T0'],</t>
  </si>
  <si>
    <t>[ "Staples", 42.98041, -82.35197, '519-542-4461', 'N7S 1P6'],</t>
  </si>
  <si>
    <t>[ "Staples Canada", 42.98041, -82.35197, '519-542-3639', 'N7S 1P6'],</t>
  </si>
  <si>
    <t>[ "The Source", 42.9803011111111, -82.3531288888889, '519-541-9543', 'N7S 1P8'],</t>
  </si>
  <si>
    <t>[ "Sears (Canada)", 42.9803011111111, -82.3531288888889, '519-542-2121', 'N7S 6L7'],</t>
  </si>
  <si>
    <t>[ "The Source", 42.4152357142857, -82.2002357142857, '519-351-4001', 'N7L 3K5'],</t>
  </si>
  <si>
    <t>[ "ListenUp! Canada", 42.4068083, -82.1923201, '519-351-1810', 'N7L 1B5'],</t>
  </si>
  <si>
    <t>[ "Staples", 42.4294472916667, -82.2177283333333, '519-360-1344', 'N7L 0E8'],</t>
  </si>
  <si>
    <t>[ "Home Depot", 42.432877979798, -82.2240496969697, '519-380-2040', 'N7M 5J1'],</t>
  </si>
  <si>
    <t>[ "Chatham-Kent Home Hardware Bldg Ctr", 42.3907847058824, -82.2059329411765, '519-354-0700', 'N7M 3H1'],</t>
  </si>
  <si>
    <t>[ "ListenUp! Canada", 42.0384704540773, -82.7256786274688, '519-733-3331', 'N9Y 1A7'],</t>
  </si>
  <si>
    <t>[ "Ontario Clean Water Agency - Essex East (North) Hub", 42.2899317647059, -82.7344741176471, '519-727-6256', 'N0R 1A0'],</t>
  </si>
  <si>
    <t>[ "RONA", 42.0475540404885, -82.6224780931071, '519-322-4908', 'N8H 4H3'],</t>
  </si>
  <si>
    <t>[ "The Source", 42.0376591564033, -82.6008447851261, '519-326-5009', 'N8H 3C4'],</t>
  </si>
  <si>
    <t>[ "Staples", 42.0337584782609, -82.5972702173913, '519-324-1370', 'N8H 2L2'],</t>
  </si>
  <si>
    <t>[ "The Source", 42.307187272484, -82.8677227087863, '519-735-6131', 'N9K 1C7'],</t>
  </si>
  <si>
    <t>[ "ListenUp! Canada", 42.30635875, -82.8849108333333, '519-735-6966', 'N8N 1Y3'],</t>
  </si>
  <si>
    <t>[ "Princess Auto", 42.2986560494708, -82.9251618054316, '519-974-1261', 'N8T 0A3'],</t>
  </si>
  <si>
    <t>[ "Staples", 42.2549034080717, -82.9641382959641, '519-972-5127', 'N8W 3T6'],</t>
  </si>
  <si>
    <t>[ "Home Depot", 42.2623589795918, -82.973536122449, '519-967-3700', 'N8W 1Z7'],</t>
  </si>
  <si>
    <t>[ "Sears (Canada)", 42.2742911889364, -83.0051525767869, '519-966-2822', 'N8X 3Y7'],</t>
  </si>
  <si>
    <t>[ "Franklin Empire", 42.28679, -82.95502, '519-945-7550', 'N8N 2M1'],</t>
  </si>
  <si>
    <t>[ "The Source", 42.09741, -83.10814, '519-736-7153', 'N9V 3L4'],</t>
  </si>
  <si>
    <t>[ "The Corporation of the Town of Amherstburg", 42.093229349766, -83.1077009589504, '519-736-3664', 'N9V 3R2'],</t>
  </si>
  <si>
    <t>[ "Staples", 42.2851328123105, -83.0182925347012, '519-966-9495', 'N8X 1L7'],</t>
  </si>
  <si>
    <t>[ "Kelcom (H.O.)", 42.2793168548387, -83.0554799193548, '519-250-9100', 'N9C 3R5'],</t>
  </si>
  <si>
    <t>[ "Batteries and More", 42.3088938718444, -82.9474942723306, '519-962-7737', 'N9A 6J3'],</t>
  </si>
  <si>
    <t>[ "Appliance Medic", 42.29867, -83.01356, '519-252-1500', 'N8X 2S2'],</t>
  </si>
  <si>
    <t>[ "ListenUp! Canada", 42.2982581203008, -83.0157816541353, '519-256-6868', 'N8X 4X9'],</t>
  </si>
  <si>
    <t>[ "Home Depot", 42.3115110344828, -82.9461636781609, '519-974-5420', 'N8T 1E6'],</t>
  </si>
  <si>
    <t>[ "Staples", 42.31242, -82.94135, '519-948-1283', 'N8T 1E6'],</t>
  </si>
  <si>
    <t>[ "Lowes", 42.1883091835448, -83.1925567531649, '734-284-6843', '48195'],</t>
  </si>
  <si>
    <t>[ "Grainger", 42.32707, -83.05858, '313-965-3500', '48226'],</t>
  </si>
  <si>
    <t>[ "RadioShack", 42.2543057894737, -83.1912273684211, '313-388-1120', '48146'],</t>
  </si>
  <si>
    <t>[ "The Home Depot", 42.1393206748466, -83.2260723312883, '734-671-4400', '48183'],</t>
  </si>
  <si>
    <t>[ "Longs Home Hardware Building Center", 43.83706, -80.48081, '519-848-2444', 'N0G 1A0'],</t>
  </si>
  <si>
    <t>[ "Belmatic Battery Systems Inc.", 44.1562580701754, -81.0243749122807, '519-364-7029', 'N4N 2V6'],</t>
  </si>
  <si>
    <t>[ "Princess Auto", 44.5766641395434, -80.8997548332625, '226-256-8260', 'N4K 0E2'],</t>
  </si>
  <si>
    <t>[ "The Source", 44.5756734802963, -80.9084239243326, '519-376-5041', 'N4K 5N3'],</t>
  </si>
  <si>
    <t>[ "Staples", 44.57018, -80.92203, '519-372-2228', 'N4K 5S2'],</t>
  </si>
  <si>
    <t>[ "Sears (Canada)", 44.5741628282828, -80.9216897979798, '519-376-8080', 'N4K 6N7'],</t>
  </si>
  <si>
    <t>[ "City of Owen Sound", 44.5838226929319, -80.9002807372817, '519-376-4274', 'N4K 5N3'],</t>
  </si>
  <si>
    <t>[ "Home Depot", 44.5832195483447, -80.9055115611075, '519-372-3970', 'N4K 2B5'],</t>
  </si>
  <si>
    <t>[ "RONA", 44.5652534, -80.9430214, '519-376-7729', 'N4K 2H3'],</t>
  </si>
  <si>
    <t>[ "Murrays Sharpening &amp; Tool Repair", 44.5717094, -80.9408688, '519-376-2495', 'N4K 2H9'],</t>
  </si>
  <si>
    <t>[ "RONA", 44.56692, -80.95044, '519-376-3181', 'N4K 5R4'],</t>
  </si>
  <si>
    <t>[ "The Source", 44.42609, -81.39685, '519-832-3100', 'N0H 2C1'],</t>
  </si>
  <si>
    <t>[ "Princess Auto", 44.3394913947389, -79.6907598235247, '705-739-0575', 'L4N 8V4'],</t>
  </si>
  <si>
    <t>[ "The Source", 44.3345883986964, -79.6883767061378, '705-726-6965', 'L4N 9H5'],</t>
  </si>
  <si>
    <t>[ "Staples", 44.3378780769231, -79.68763, '705-733-3329', 'L4N 8V4'],</t>
  </si>
  <si>
    <t>[ "Mountain Equipment Co-op", 44.3555056096924, -79.6950121487654, '705-792-4675', 'L4N 8V8'],</t>
  </si>
  <si>
    <t>[ "Home Depot", 44.3383230769231, -79.6875, '705-733-2800', 'L4N 8V4'],</t>
  </si>
  <si>
    <t>[ "Henrys", 44.3368537264172, -79.6809685624446, '705-720-2300', 'L4N 6P1'],</t>
  </si>
  <si>
    <t>[ "RONA", 44.3364375, -79.6802366666667, '705-792-6670', 'L4N 9H5'],</t>
  </si>
  <si>
    <t>[ "The Source", 44.3552610195549, -79.6814634338286, '705-728-4837', 'L4N 3N7'],</t>
  </si>
  <si>
    <t>[ "Point to Point Communications", 44.3355679294061, -79.6738948305988, '705-721-9877', 'L4N 8Z9'],</t>
  </si>
  <si>
    <t>[ "Canadian Tire", 44.40157, -79.70077, '705-726-6418', 'L4M 3C1'],</t>
  </si>
  <si>
    <t>[ "The Source", 44.41404, -79.71168, '705-726-0987', 'L4M 4Z8'],</t>
  </si>
  <si>
    <t>[ "Sears (Canada)", 44.4146266666667, -79.7121866666667, '705-726-4451', 'L4M 4Z9'],</t>
  </si>
  <si>
    <t>[ "Dashvapes Inc", 44.4152877777778, -79.7127644444444, '705-915-3274', 'L4M 4Z9'],</t>
  </si>
  <si>
    <t>[ "Staples", 44.4170117391304, -79.7142417391304, '705-735-4058', 'L4M 4Z9'],</t>
  </si>
  <si>
    <t>[ "ListenUp! Canada", 44.415656122449, -79.6589920408163, '705-719-7009', 'L4M 7G1'],</t>
  </si>
  <si>
    <t>[ "The Source", 44.3083969623904, -79.5762149746913, '705-436-4070', 'L9S 4B2'],</t>
  </si>
  <si>
    <t>[ "The Source", 44.14841, -79.88178, '705-435-7102', 'L9R 1P8'],</t>
  </si>
  <si>
    <t>[ "Staples", 44.148355, -79.882015, '705-434-4992', 'L9R 1P8'],</t>
  </si>
  <si>
    <t>[ "The Source", 44.4292733333333, -79.1527777777778, '705-426-7795', 'L0K 1A0'],</t>
  </si>
  <si>
    <t>[ "Staples", 44.34876, -78.76655, '705-328-3427', 'K9V 2Z7'],</t>
  </si>
  <si>
    <t>[ "The Source", 44.35011, -78.7597, '705-324-1901', 'K9V 4Z1'],</t>
  </si>
  <si>
    <t>[ "ListenUp! Canada", 44.3533542857143, -78.7440314285714, '705-328-9181', 'K9V 6A4'],</t>
  </si>
  <si>
    <t>[ "Home Hardware", 44.35381, -78.74207, '705-324-4611', 'K9V 2Y9'],</t>
  </si>
  <si>
    <t>[ "Home Building Center", 44.34109, -78.72824, '705-324-3516', 'K9V 2N3'],</t>
  </si>
  <si>
    <t>[ "RONA", 44.421163, -78.271105, '705-652-3347', 'K0L 2H0'],</t>
  </si>
  <si>
    <t>[ "Kawartha Hardware Limited", 44.42319, -78.2721875, '705-652-3171', 'K0L 2H0'],</t>
  </si>
  <si>
    <t>[ "ListenUp! Canada", 44.30466, -78.31997, '705-741-2947', 'K9H 3R2'],</t>
  </si>
  <si>
    <t>[ "MNRF", 44.3025876914989, -78.3189538463336, '705-755-1740', 'K9J 3C7'],</t>
  </si>
  <si>
    <t>[ "Larry Electric Motor Service Ltd", 44.3008138095238, -78.3198766666667, '705-743-3167', 'K9J 2N3'],</t>
  </si>
  <si>
    <t>[ "Staples", 44.2896633333333, -78.3234533333333, '705-741-1130', 'K9J 3R8'],</t>
  </si>
  <si>
    <t>[ "Home Depot", 44.2865753416109, -78.3271086335564, '705-876-4560', 'K9J 8J7'],</t>
  </si>
  <si>
    <t>[ "The Source", 44.28491, -78.3334, '705-743-2189', 'K9J 7Y5'],</t>
  </si>
  <si>
    <t>[ "ListenUp! Canada", 44.284434, -78.350731, '705-749-9180', 'K9J 5Y3'],</t>
  </si>
  <si>
    <t>[ "Best Buy Canada", 44.28143, -78.34724, '705-741-2081', 'K9J 7M2'],</t>
  </si>
  <si>
    <t>[ "Canadian Tire", 44.28028625, -78.35212875, '705-742-0406', 'K9J 2A1'],</t>
  </si>
  <si>
    <t>[ "Township of Douro-Dummer", 44.42824, -78.13654, '705-652-8392', 'K0L 3A0'],</t>
  </si>
  <si>
    <t>[ "Drummond Bldg Supplies", 44.47863, -77.6922, '613-472-2628', 'K0K 2M0'],</t>
  </si>
  <si>
    <t>[ "ListenUp! Canada", 44.9048185713514, -76.2661892542424, '613-267-4877', 'K7H 2Y4'],</t>
  </si>
  <si>
    <t>[ "Perth Home Hardware", 44.9122139448057, -76.2617478896113, '613-267-4501', 'K7H 2K8'],</t>
  </si>
  <si>
    <t>[ "Drummond North Elmsley Twnsp", 44.8894447890205, -76.1313426391912, '613-267-6565', 'K7H 3C7'],</t>
  </si>
  <si>
    <t>[ "The Source", 45.4733353838408, -76.6620634021754, '613-433-8805', 'K7V 0B4'],</t>
  </si>
  <si>
    <t>[ "Canadian Tire", 45.4815908474576, -76.6472638983051, '613-432-5821', 'K7V 3Z4'],</t>
  </si>
  <si>
    <t>[ "ListenUp! Canada", 45.13467, -76.1395070588235, '613-253-0877', 'K7C 2T7'],</t>
  </si>
  <si>
    <t>[ "Canadian Tire", 45.13363, -76.12181, '613-253-8473', 'K7C 4S6'],</t>
  </si>
  <si>
    <t>[ "The Source", 45.1332345557538, -76.1213763011819, '613-253-7813', 'K7C 0A8'],</t>
  </si>
  <si>
    <t>[ "Staples", 45.1327560185777, -76.1207543897624, '613-253-2400', 'K7C 0A8'],</t>
  </si>
  <si>
    <t>[ "Home Depot", 45.13223, -76.12007, '613-253-3870', 'K7C 0A7'],</t>
  </si>
  <si>
    <t>[ "Bancroft Home Hardware", 45.0730625726286, -77.8625030411204, '613-332-2060', 'K0L 1C0'],</t>
  </si>
  <si>
    <t>[ "Canadian Tire", 45.0827948913303, -77.8604298133936, '613-332-1074', 'K0L 1C0'],</t>
  </si>
  <si>
    <t>[ "The Source", 45.4221200682615, -76.3679568434674, '613-623-9776', 'K7S 3G9'],</t>
  </si>
  <si>
    <t>[ "ListenUp! Canada", 44.9065194367056, -76.0257185705578, '613-284-0877', 'K7A 5L3'],</t>
  </si>
  <si>
    <t>[ "Town of Arnprior", 45.4347, -76.3568, '613-623-4231', 'K7S 0A8'],</t>
  </si>
  <si>
    <t>[ "Rona", 45.42595, -76.32327, '613-623-4791', 'K7S 3N2'],</t>
  </si>
  <si>
    <t>[ "Madawaska Library", 45.53581, -78.0485, '--', 'K0J 2C0'],</t>
  </si>
  <si>
    <t>[ "Lyell Landfill Site", 45.48304, -77.9388, '--', 'K0J 2C0'],</t>
  </si>
  <si>
    <t>[ "Whitney Library", 45.4600026, -78.1642873, '--', 'K0J 2M0'],</t>
  </si>
  <si>
    <t>[ "Halco Electronics", 44.81319, -78.69893, '705-457-1590', 'K0M 1S0'],</t>
  </si>
  <si>
    <t xml:space="preserve">            "rechargeable": "Y", "nationalimageurl":null, "glasses":"N", "hoursthurs":"Please Call", "state":null, "retailerimageurl":null, "hoursfri":"Please Call", "acceptedmaterialsurl":null, "latitude":"45.4522183636364", "url":null, "postalcode":"K1W 0C8", "province":"ON", "sustainabilityurl":null, "hoursmon":"Please Call", "longitude":"-75.513188", "uid":1182201478, "retailerlinkurl":null, "hourssat":"Please Call", "clientkey":"127650", "name":"Lowes", "locationlinkurl":null, "address1":"3828 Innes Rd", "icon":"normal", "bho":null, "_distanceuom":"mile", "hourssun":"Please Call", "computers":"N", "cfl":"N", "regionalimageurl":null, "city":"Orléans", "singleuse":"Y", "fax":null, "country":"CA", "logourl":"http://www.call2recycle.org/notpress/where2getit/lowes.png", "phone":"613-830-6370", "address2":null, "locationimageurl":null, "_distance":"3.20",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</si>
  <si>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"hoursthurs":"8:00am-9:00pm", "state":null, "retailerimageurl":null, "hoursfri":"8:00am-9:00pm", "acceptedmaterialsurl":null, "latitude":"45.4534743243243", "url":"http://www.canadiantire.ca", "postalcode":"K1W 1K9", "province":"ON", "sustainabilityurl":null, "hoursmon":"8:00am-9:00pm", "longitude":"-75.5100754054054", "uid":2022535187, "retailerlinkurl":null, "hourssat":"Please Call", "clientkey":"1382", "name":"Canadian Tire", "locationlinkurl":null, "address1":"3910 Innes Road", "icon":"preferred", "bho":null, "_distanceuom":"mile", "hourssun":"Please Call", "computers":"N", "cfl":"Y", "regionalimageurl":null, "city":"Orléans", "singleuse":"Y", "fax":null, "country":"CA", "logourl":"http://www.call2recycle.org/notpress/where2getit/canadiantire.png", "phone":"613-830-7000", "address2":null, "locationimageurl":null, "_distance":"3.30",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</si>
  <si>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"hoursthurs":"8:00am-9:00pm", "state":null, "retailerimageurl":null, "hoursfri":"8:00am-9:00pm", "acceptedmaterialsurl":null, "latitude":"45.4534743243243", "url":"http://www.canadiantire.ca", "postalcode":"K1W 1K9", "province":"ON", "sustainabilityurl":null, "hoursmon":"8:00am-9:00pm", "longitude":"-75.5100754054054", "uid":1913164372, "retailerlinkurl":null, "hourssat":"Please Call", "clientkey":"154400", "name":"Canadian Tire", "locationlinkurl":null, "address1":"3910 Innes Rd", "icon":"preferred", "bho":null, "_distanceuom":"mile", "hourssun":"Please Call", "computers":"N", "cfl":"Y", "regionalimageurl":null, "city":"Orléans", "singleuse":"Y", "fax":null, "country":"CA", "logourl":"http://www.call2recycle.org/notpress/where2getit/canadiantire.png", "phone":"613-830-7000", "address2":null, "locationimageurl":null, "_distance":"3.30", "inktoner":"N", "nationalinkurl":null, "regionallinkurl":null, "cellphones":"Y", "hourstues":"8:00am-9:00pm", "consumerelectronics":"N", "hourswed":"8:00am-9:00pm", "rank":"1"</t>
  </si>
  <si>
    <t xml:space="preserve">            "rechargeable": "Y", "nationalimageurl":null, "glasses":"N", "hoursthurs":"Please Call", "state":null, "retailerimageurl":null, "hoursfri":"Please Call", "acceptedmaterialsurl":null, "latitude":"45.4536775966727", "url":null, "postalcode":"K4A 0G2", "province":"ON", "sustainabilityurl":null, "hoursmon":"Please Call", "longitude":"-75.5036228822974", "uid":1522037488, "retailerlinkurl":null, "hourssat":"Please Call", "clientkey":"132823", "name":"Best Buy Canada", "locationlinkurl":null, "address1":"2020 Mer Bleue Rd", "icon":"preferred", "bho":null, "_distanceuom":"mile", "hourssun":"Please Call", "computers":"N", "cfl":"N", "regionalimageurl":null, "city":"Orléans", "singleuse":"Y", "fax":null, "country":"CA", "logourl":"http://www.call2recycle.org/notpress/where2getit/bestbuy.png", "phone":"613-830-2706", "address2":null, "locationimageurl":null, "_distance":"3.36",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</si>
  <si>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"latitude":"45.4570914285714", "url":null, "postalcode":"K4A 4C5", "province":"ON", "sustainabilityurl":null, "hoursmon":"Please Call", "longitude":"-75.4856696428571", "uid":1182195906, "retailerlinkurl":null, "hourssat":"Please Call", "clientkey":"43544", "name":"Home Depot", "locationlinkurl":null, "address1":"2121 10th Line", "icon":"preferred", "bho":null, "_distanceuom":"mile", "hourssun":"Please Call", "computers":"N", "cfl":"N", "regionalimageurl":null, "city":"Orleans", "singleuse":"Y", "fax":null, "country":"CA", "logourl":"http://www.call2recycle.org/notpress/where2getit/homedepot.png", "phone":"613-590-2030", "address2":null, "locationimageurl":null, "_distance":"3.85",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</si>
  <si>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"latitude":"45.458575", "url":null, "postalcode":"K4A 4C5", "province":"ON", "sustainabilityurl":null, "hoursmon":"Please Call", "longitude":"-75.4846337", "uid":1633568894, "retailerlinkurl":null, "hourssat":"Please Call", "clientkey":"68057", "name":"Staples", "locationlinkurl":null, "address1":"2085 Tenth Line Rd", "icon":"preferred", "bho":null, "_distanceuom":"mile", "hourssun":"Please Call", "computers":"N", "cfl":"N", "regionalimageurl":null, "city":"Cumberland", "singleuse":"Y", "fax":null, "country":"CA", "logourl":"http://www.call2recycle.org/notpress/where2getit/staples.png", "phone":"613-830-8100", "address2":null, "locationimageurl":null, "_distance":"3.97",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</si>
  <si>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"acceptedmaterialsurl":"http://www.rona.ca/corporate/social-engagement", "latitude":"45.41724", "url":"http://www.rona.ca", "postalcode":"K1B 3K5", "province":"ON", "sustainabilityurl":"http://www.rona.ca/corporate/corporate-responsibility", "hoursmon":"Please Call", "longitude":"-75.60051", "uid":1182182155, "retailerlinkurl":null, "hourssat":"Please Call", "clientkey":"68483", "name":"RONA", "locationlinkurl":null, "address1":"1880 Innes Rd", "icon":"preferred", "bho":null, "_distanceuom":"mile", "hourssun":"Please Call", "computers":"N", "cfl":"Y", "regionalimageurl":null, "city":"Gloucester", "singleuse":"Y", "fax":null, "country":"CA", "logourl":"http://www.call2recycle.org/notpress/where2getit/rona.png", "phone":"613-741-6331", "address2":null, "locationimageurl":null, "_distance":"4.11",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</si>
  <si>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"latitude":"45.4179784782657", "url":null, "postalcode":"K1B 3L8", "province":"ON", "sustainabilityurl":null, "hoursmon":"Please Call", "longitude":"-75.6091016638989", "uid":1182195890, "retailerlinkurl":null, "hourssat":"Please Call", "clientkey":"43536", "name":"Home Depot", "locationlinkurl":null, "address1":"1616 Cyrville Road", "icon":"preferred", "bho":null, "_distanceuom":"mile", "hourssun":"Please Call", "computers":"N", "cfl":"N", "regionalimageurl":null, "city":"Gloucester", "singleuse":"Y", "fax":null, "country":"CA", "logourl":"http://www.call2recycle.org/notpress/where2getit/homedepot.png", "phone":"613-744-1700", "address2":null, "locationimageurl":null, "_distance":"4.53",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</si>
  <si>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"latitude":"45.3843547110849", "url":null, "postalcode":"K1G 6L3", "province":"ON", "sustainabilityurl":null, "hoursmon":"Please Call", "longitude":"-75.6101776002356", "uid":677051361, "retailerlinkurl":null, "hourssat":"Please Call", "clientkey":"169704", "name":"Princess Auto", "locationlinkurl":null, "address1":"1111 Ages Dr", "icon":"preferred", "bho":null, "_distanceuom":"mile", "hourssun":"Please Call", "computers":"N", "cfl":"N", "regionalimageurl":null, "city":"Ottawa", "singleuse":"Y", "fax":null, "country":"CA", "logourl":"http://www.call2recycle.org/notpress/where2getit/PrincessAuto_150x150.png", "phone":"613-247-1657", "address2":null, "locationimageurl":null, "_distance":"4.74",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</si>
  <si>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"latitude":"45.4460917428953", "url":null, "postalcode":"K1J 6N2", "province":"ON", "sustainabilityurl":null, "hoursmon":"Please Call", "longitude":"-75.5968989427697", "uid":211153067, "retailerlinkurl":null, "hourssat":"Please Call", "clientkey":"166883", "name":"Beacon Hill Home Hardware", "locationlinkurl":null, "address1":"1934 Montreal Rd", "icon":"normal", "bho":null, "_distanceuom":"mile", "hourssun":"Please Call", "computers":"N", "cfl":"N", "regionalimageurl":null, "city":"Gloucester", "singleuse":"Y", "fax":null, "country":"CA", "logourl":"http://www.call2recycle.org/notpress/where2getit/call2recycle.png", "phone":"613-421-3223", "address2":null, "locationimageurl":null, "_distance":"4.75",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</si>
  <si>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"latitude":"45.48038", "url":null, "postalcode":"K1C 2L9", "province":"ON", "sustainabilityurl":null, "hoursmon":"Please Call", "longitude":"-75.51368", "uid":341261753, "retailerlinkurl":null, "hourssat":"Please Call", "clientkey":"159865", "name":"Best Buy", "locationlinkurl":null, "address1":"0200-110 Place D'Orleans Dr", "icon":"normal", "bho":null, "_distanceuom":"mile", "hourssun":"Please Call", "computers":"N", "cfl":"N", "regionalimageurl":null, "city":"Orléans", "singleuse":"Y", "fax":null, "country":"CA", "logourl":"http://www.call2recycle.org/notpress/where2getit/bestbuy.png", "phone":"--", "address2":null, "locationimageurl":null, "_distance":"5.14",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</si>
  <si>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"latitude":"45.4002090986522", "url":null, "postalcode":"K1G 1A4", "province":"ON", "sustainabilityurl":null, "hoursmon":"Please Call", "longitude":"-75.6239131831087", "uid":1838960311, "retailerlinkurl":null, "hourssat":"Please Call", "clientkey":"153747", "name":"Elmvale Acres Home Hardwa", "locationlinkurl":null, "address1":"1910 St Laurent Blvd",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"phone":"613-731-4492", "address2":null, "locationimageurl":null, "_distance":"5.18",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</si>
  <si>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"latitude":"45.40523", "url":null, "postalcode":"K1B 4K9", "province":"ON", "sustainabilityurl":null, "hoursmon":"Please Call", "longitude":"-75.6249", "uid":1182196344, "retailerlinkurl":null, "hourssat":"Please Call", "clientkey":"72920", "name":"DeWalt Factory Service (Canada)", "locationlinkurl":null, "address1":"Gladwin Cres",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"phone":"613-724-7724", "address2":null, "locationimageurl":null, "_distance":"5.22",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</si>
  <si>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"latitude":"45.4117217563782", "url":null, "postalcode":"K1G 4A2", "province":"ON", "sustainabilityurl":null, "hoursmon":"Please Call", "longitude":"-75.6308675014007", "uid":-511708180, "retailerlinkurl":null, "hourssat":"Please Call", "clientkey":"163323", "name":"Lumen Ottawa", "locationlinkurl":null, "address1":"1000 Belfast Rd",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"phone":"613-789-7500", "address2":null, "locationimageurl":null, "_distance":"5.52",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</si>
  <si>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"latitude":"45.4886201812424", "url":null, "postalcode":"K1C 1T1", "province":"ON", "sustainabilityurl":null, "hoursmon":"Please Call", "longitude":"-75.4804453082725", "uid":1182183364, "retailerlinkurl":null, "hourssat":"Please Call", "clientkey":"115213", "name":"Batteries Expert", "locationlinkurl":null, "address1":"3809 St Joseph Blvd", "icon":"preferred", "bho":null, "_distanceuom":"mile", "hourssun":"Please Call", "computers":"N", "cfl":"N", "regionalimageurl":null, "city":"Orléans", "singleuse":"Y", "fax":null, "country":"CA", "logourl":"http://www.call2recycle.org/notpress/where2getit/call2recycle.png", "phone":"613-590-9352", "address2":null, "locationimageurl":null, "_distance":"5.98",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</si>
  <si>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"latitude":"45.4290385029338", "url":null, "postalcode":"K1K 4E6", "province":"ON", "sustainabilityurl":null, "hoursmon":"Please Call", "longitude":"-75.637466705784", "uid":1582784839, "retailerlinkurl":null, "hourssat":"Please Call", "clientkey":"150827", "name":"Staples", "locationlinkurl":null, "address1":"1233 Donald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"phone":"613-741-3416", "address2":null, "locationimageurl":null, "_distance":"6.04",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</si>
  <si>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"latitude":"45.4113795141984", "url":null, "postalcode":"K1G 0Y9", "province":"ON", "sustainabilityurl":null, "hoursmon":"Please Call", "longitude":"-75.6437036475637", "uid":1362892041, "retailerlinkurl":null, "hourssat":"Please Call", "clientkey":"23280", "name":"Turris Communications", "locationlinkurl":null, "address1":"570 Industrial Ave",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"phone":"613-739-7243", "address2":null, "locationimageurl":null, "_distance":"6.14",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</si>
  <si>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"latitude":"45.411733431959", "url":null, "postalcode":"K1G 0Z1", "province":"ON", "sustainabilityurl":null, "hoursmon":"Please Call", "longitude":"-75.6472648523287", "uid":540400460, "retailerlinkurl":null, "hourssat":"Please Call", "clientkey":"161201", "name":"Fastenal", "locationlinkurl":null, "address1":"505 Industrial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"phone":"613-745-9022", "address2":null, "locationimageurl":null, "_distance":"6.31",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</si>
  <si>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"latitude":"45.44226", "url":null, "postalcode":"K1K 4K4", "province":"ON", "sustainabilityurl":null, "hoursmon":"Please Call", "longitude":"-75.64335", "uid":502592017, "retailerlinkurl":null, "hourssat":"Please Call", "clientkey":"157963", "name":"ListenUp! Canada", "locationlinkurl":null, "address1":"585 Montreal Rd",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"phone":"613-742-6666", "address2":null, "locationimageurl":null, "_distance":"6.60",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</si>
  <si>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"latitude":"45.489553", "url":null, "postalcode":"J8P 1H5", "province":"QC", "sustainabilityurl":null, "hoursmon":"9h à 21h", "longitude":"-75.5962411", "uid":73321741, "retailerlinkurl":null, "hourssat":"9h à 18h", "clientkey":"154886", "name":"Uniprix", "locationlinkurl":null, "address1":"914 Boul Maloney E", "icon":"normal", "bho":null, "_distanceuom":"mile", "hourssun":"9h à 18h", "computers":"N", "cfl":"N", "regionalimageurl":null, "city":"Gatineau", "singleuse":"Y", "fax":null, "country":"CA", "logourl":"http://www.call2recycle.org/notpress/where2getit/call2recycle.png", "phone":"819-663-2727", "address2":null, "locationimageurl":null, "_distance":"6.93", "inktoner":"N", "nationalinkurl":null, "regionallinkurl":null, "cellphones":"Y", "hourstues":"9h à 21h", "consumerelectronics":"N", "hourswed":"9h à 21h", "rank":"0"</t>
  </si>
  <si>
    <t xml:space="preserve">            "rechargeable": "Y", "nationalimageurl":null, "glasses":"N", "hoursthurs":"9h à 21h", "state":null, "retailerimageurl":null, "hoursfri":"9h à 21h", "acceptedmaterialsurl":null, "latitude":"45.488788", "url":null, "postalcode":"J8P 1H5", "province":"QC", "sustainabilityurl":null, "hoursmon":"9h à 21h", "longitude":"-75.5985881", "uid":1986316190, "retailerlinkurl":null, "hourssat":"9h à 21h", "clientkey":"155098", "name":"Jean Coutu", "locationlinkurl":null, "address1":"908 Boulevard Maloney E",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"phone":"819-663-3582", "address2":null, "locationimageurl":null, "_distance":"6.95",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</si>
  <si>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"hoursthurs":"9h à 21h", "state":null, "retailerimageurl":null, "hoursfri":"9h à 21h", "acceptedmaterialsurl":null, "latitude":"45.43642", "url":null, "postalcode":"K1L 6C3", "province":"ON", "sustainabilityurl":null, "hoursmon":"9h à 21h", "longitude":"-75.66076", "uid":916216625, "retailerlinkurl":null, "hourssat":"9h à 21h", "clientkey":"155068", "name":"Jean Coutu", "locationlinkurl":null, "address1":"262 Montreal Rd", "icon":"preferred", "bho":null, "_distanceuom":"mile", "hourssun":"9h à 21h", "computers":"N", "cfl":"N", "regionalimageurl":null, "city":"Vanier", "singleuse":"Y", "fax":null, "country":"CA", "logourl":"http://www.call2recycle.org/notpress/where2getit/call2recycle.png", "phone":"613-749-5957", "address2":null, "locationimageurl":null, "_distance":"7.27",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</si>
  <si>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"latitude":"45.3539", "url":null, "postalcode":"K1V 0T7", "province":"ON", "sustainabilityurl":null, "hoursmon":"Please Call", "longitude":"-75.64844", "uid":400726452, "retailerlinkurl":null, "hourssat":"Please Call", "clientkey":"157984", "name":"ListenUp! Canada", "locationlinkurl":null, "address1":"Shopping Plaza 2430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"phone":"613-521-0904", "address2":null, "locationimageurl":null, "_distance":"7.31",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</si>
  <si>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"latitude":"45.3573151020408", "url":null, "postalcode":"K1V 1J5", "province":"ON", "sustainabilityurl":null, "hoursmon":"Please Call", "longitude":"-75.6538102040816", "uid":1935457474, "retailerlinkurl":null, "hourssat":"Please Call", "clientkey":"139850", "name":"Staples",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"phone":"613-521-3030", "address2":null, "locationimageurl":null, "_distance":"7.43",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</si>
  <si>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"latitude":"45.3573151020408", "url":"http://www.thesource.ca", "postalcode":"K1V 1J5", "province":"ON", "sustainabilityurl":"http://www.thesource.ca/sitelets/jobs/environment.asp", "hoursmon":"Please Call", "longitude":"-75.6538102040816", "uid":1182187711, "retailerlinkurl":null, "hourssat":"Please Call", "clientkey":"722", "name":"The Source", "locationlinkurl":null, "address1":"2210 Bank St",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"phone":"613-733-1891", "address2":null, "locationimageurl":null, "_distance":"7.43",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</si>
  <si>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"latitude":"45.3633490771332", "url":null, "postalcode":"K1V 7Z8", "province":"ON", "sustainabilityurl":null, "hoursmon":"Please Call", "longitude":"-75.658896395124", "uid":1182189487, "retailerlinkurl":null, "hourssat":"Please Call", "clientkey":"78239", "name":"Home Depot", "locationlinkurl":null, "address1":"2056 Bank St", "icon":"preferred", "bho":null, "_distanceuom":"mile", "hourssun":"Please Call", "computers":"N", "cfl":"N", "regionalimageurl":null, "city":"Ottawa", "singleuse":"Y", "fax":null, "country":"CA", "logourl":"http://www.call2recycle.org/notpress/where2getit/homedepot.png", "phone":"613-739-5300", "address2":null, "locationimageurl":null, "_distance":"7.47",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</si>
  <si>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"latitude":"45.386778716225", "url":"http://www.thesource.ca", "postalcode":"K1H 8K2", "province":"ON", "sustainabilityurl":"http://www.thesource.ca/sitelets/jobs/environment.asp", "hoursmon":"Please Call", "longitude":"-75.6796023225593", "uid":875341033, "retailerlinkurl":null, "hourssat":"Please Call", "clientkey":"733", "name":"The Source", "locationlinkurl":null, "address1":"2269 Riverside Dr.", "icon":"preferred", "bho":null, "_distanceuom":"mile", "hourssun":"Please Call", "computers":"N", "cfl":"N", "regionalimageurl":null, "city":"Ottawa", "singleuse":"Y", "fax":null, "country":"CA", "logourl":"http://www.call2recycle.org/notpress/where2getit/thesource.png", "phone":"613-737-1079", "address2":null, "locationimageurl":null, "_distance":"7.98",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</si>
  <si>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"latitude":"45.3996469", "url":"http://www.thesource.ca", "postalcode":"K1S 5J3", "province":"ON", "sustainabilityurl":"http://www.thesource.ca/sitelets/jobs/environment.asp", "hoursmon":"Please Call", "longitude":"-75.6837603", "uid":708492625, "retailerlinkurl":null, "hourssat":"Please Call", "clientkey":"161872", "name":"The Source", "locationlinkurl":null, "address1":"725 Exhibition Way", "icon":"normal", "bho":null, "_distanceuom":"mile", "hourssun":"Please Call", "computers":"N", "cfl":"N", "regionalimageurl":null, "city":"Ottawa", "singleuse":"Y", "fax":null, "country":"CA", "logourl":"http://www.call2recycle.org/notpress/where2getit/thesource.png", "phone":"613-565-4808", "address2":null, "locationimageurl":null, "_distance":"8.08", "inktoner":"N", "nationalinkurl":null, "regionallinkurl":null, "cellphones":"Y", "hourstues":"Please Call", "consumerelectronics":"Y",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</si>
  <si>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"latitude":"45.4109122222222", "url":null, "postalcode":"K2P 1Z2", "province":"ON", "sustainabilityurl":null, "hoursmon":"Please Call", "longitude":"-75.6928911111111", "uid":400726480, "retailerlinkurl":null, "hourssat":"Please Call", "clientkey":"158015", "name":"ListenUp! Canada", "locationlinkurl":null, "address1":"477 Bank St",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"phone":"613-238-6839", "address2":null, "locationimageurl":null, "_distance":"8.52",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</si>
  <si>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"hoursthurs":"Please Call", "state":null, "retailerimageurl":null, "hoursfri":"Please Call", "acceptedmaterialsurl":null, "latitude":"45.4130966666667", "url":null, "postalcode":"K2P 1Y6", "province":"ON", "sustainabilityurl":null, "hoursmon":"Please Call", "longitude":"-75.6944033333333", "uid":1002575604, "retailerlinkurl":null, "hourssat":"Please Call", "clientkey":"67974", "name":"Staples", "locationlinkurl":null, "address1":"403 Bank St", "icon":"preferred", "bho":null, "_distanceuom":"mile", "hourssun":"Please Call", "computers":"N", "cfl":"N", "regionalimageurl":null, "city":"Ottawa", "singleuse":"Y", "fax":null, "country":"CA", "logourl":"http://www.call2recycle.org/notpress/where2getit/staples.png", "phone":"613-235-2525", "address2":null, "locationimageurl":null, "_distance":"8.60",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</si>
  <si>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"latitude":"45.4755275", "url":null, "postalcode":"J8P 8B3", "province":"QC", "sustainabilityurl":null, "hoursmon":"Veuillez appeler le point de dépôt.", "longitude":"-75.665239", "uid":-1663902520, "retailerlinkurl":null, "hourssat":"Veuillez appeler le point de dépôt.", "clientkey":"104803", "name":"Evolu-TIC Outaouais", "locationlinkurl":null, "address1":"438 Rue Saint-Louis",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"phone":"819-770-0103", "address2":null, "locationimageurl":null, "_distance":"8.63",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</si>
  <si>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"hoursthurs":"Please Call", "state":null, "retailerimageurl":null, "hoursfri":"Please Call", "acceptedmaterialsurl":null, "latitude":"45.4158166666667", "url":null, "postalcode":"K2P 1X5", "province":"ON", "sustainabilityurl":null, "hoursmon":"Please Call", "longitude":"-75.6967733333333", "uid":-1980238968, "retailerlinkurl":null, "hourssat":"Please Call", "clientkey":"75373", "name":"Henrys", "locationlinkurl":null, "address1":"267 Bank St", "icon":"preferred", "bho":null, "_distanceuom":"mile", "hourssun":"Please Call", "computers":"N", "cfl":"N", "regionalimageurl":null, "city":"Ottawa", "singleuse":"Y", "fax":null, "country":"CA", "logourl":"http://www.call2recycle.org/notpress/where2getit/call2recycle.png", "phone":"613-232-5368", "address2":null, "locationimageurl":null, "_distance":"8.73", "inktoner":"N", "nationalinkurl":null, "regionallinkurl":null, "cellphones":"Y", "hourstues":"Please Call", "consumerelectronics":"N", "hourswed":"Please Call",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</si>
  <si>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"latitude":"45.5356", "url":null, "postalcode":"J8M 1W2", "province":"QC", "sustainabilityurl":null, "hoursmon":"Veuillez appeler le point de dépôt.", "longitude":"-75.48467", "uid":1986314801, "retailerlinkurl":null, "hourssat":"9h à 18h", "clientkey":"155129", "name":"Jean Coutu", "locationlinkurl":null, "address1":"103-1205 Rue De Neuville",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"phone":"819-281-1000", "address2":null, "locationimageurl":null, "_distance":"9.10",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</si>
  <si>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"latitude":"45.4805384", "url":"http://www.canadiantire.ca", "postalcode":"J8T 8K7", "province":"QC", "sustainabilityurl":null, "hoursmon":"8h à 21h", "longitude":"-75.6778769", "uid":1522035594, "retailerlinkurl":null, "hourssat":"8h à 17h", "clientkey":"2240", "name":"Canadian Tire", "locationlinkurl":null, "address1":"700 Boul Maloney O", "icon":"preferred", "bho":null, "_distanceuom":"mile", "hourssun":"8h à 17h", "computers":"N", "cfl":"Y", "regionalimageurl":null, "city":"Gatineau", "singleuse":"Y", "fax":null, "country":"CA", "logourl":"http://www.call2recycle.org/notpress/where2getit/canadiantire.png", "phone":"819-246-1234", "address2":null, "locationimageurl":null, "_distance":"9.33",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</si>
  <si>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"hoursfri":"8h à 21h", "acceptedmaterialsurl":null, "latitude":"45.4831471", "url":null, "postalcode":"J8P 6M7", "province":"QC", "sustainabilityurl":null, "hoursmon":"8h à 21h", "longitude":"-75.6771175", "uid":1503278015, "retailerlinkurl":null, "hourssat":"9h à 17h", "clientkey":"148862", "name":"Bureau en Gros", "locationlinkurl":null, "address1":"235 Montee Paiement", "icon":"preferred", "bho":null, "_distanceuom":"mile", "hourssun":"10h à 17h", "computers":"N", "cfl":"N", "regionalimageurl":null, "city":"Gatineau", "singleuse":"Y", "fax":null, "country":"CA", "logourl":"http://www.call2recycle.org/notpress/where2getit/staples.png", "phone":"819-246-9470", "address2":null, "locationimageurl":null, "_distance":"9.40",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</si>
  <si>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"latitude":"45.4843529", "url":null, "postalcode":"J8P 6M7", "province":"QC", "sustainabilityurl":null, "hoursmon":"8h à 21h", "longitude":"-75.6769715", "uid":1182187360, "retailerlinkurl":null, "hourssat":"8h à 17h", "clientkey":"43567", "name":"Home Depot", "locationlinkurl":null, "address1":"243 Montee Paiement", "icon":"preferred", "bho":null, "_distanceuom":"mile", "hourssun":"8h à 17h", "computers":"N", "cfl":"N", "regionalimageurl":null, "city":"Gatineau", "singleuse":"Y", "fax":null, "country":"CA", "logourl":"http://www.call2recycle.org/notpress/where2getit/homedepot.png", "phone":"819-246-4064", "address2":null, "locationimageurl":null, "_distance":"9.44",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</si>
  <si>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"latitude":"45.462575", "url":null, "postalcode":"J8T 3P8", "province":"QC", "sustainabilityurl":null, "hoursmon":"Veuillez appeler le point de dépôt.", "longitude":"-75.699875", "uid":875340723, "retailerlinkurl":null, "hourssat":"Veuillez appeler le point de dépôt.", "clientkey":"170548", "name":"Jean Coutu", "locationlinkurl":null, "address1":"62 boul. Gréber",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"phone":"819-243-3151", "address2":null, "locationimageurl":null, "_distance":"9.68",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</si>
  <si>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"latitude":"45.4794422416612", "url":null, "postalcode":"J8T 3R6", "province":"QC", "sustainabilityurl":null, "hoursmon":"Veuillez appeler le point de dépôt.", "longitude":"-75.6892402711587", "uid":963275917, "retailerlinkurl":null, "hourssat":"Veuillez appeler le point de dépôt.", "clientkey":"132704", "name":"Best Buy", "locationlinkurl":null, "address1":"920 Boul Maloney O", "icon":"preferred", "bho":null, "_distanceuom":"mile", "hourssun":"Veuillez appeler le point de dépôt.", "computers":"N", "cfl":"N", "regionalimageurl":null, "city":"Gatineau", "singleuse":"Y", "fax":null, "country":"CA", "logourl":"http://www.call2recycle.org/notpress/where2getit/bestbuy.png", "phone":"819-966-2222", "address2":null, "locationimageurl":null, "_distance":"9.76", "inktoner":"N", "nationalinkurl":null, "regionallinkurl":null, "cellphones":"Y", "hourstues":"Veuillez appeler le point de dépôt.", "consumerelectronics":"N", "hourswed":"Veuillez appeler le point de dépôt.", "rank":"1"</t>
  </si>
  <si>
    <t xml:space="preserve">            "rechargeable": "Y", "nationalimageurl":null, "glasses":"N", "hoursthurs":"9h30 à 21h", "state":null, "retailerimageurl":null, "hoursfri":"9h30 à 21h", "acceptedmaterialsurl":null, "latitude":"45.4758498", "url":null, "postalcode":"J8T 6G3", "province":"QC", "sustainabilityurl":null, "hoursmon":"9h30 à 18h", "longitude":"-75.6969956", "uid":1217407154, "retailerlinkurl":null, "hourssat":"9h à 17h", "clientkey":"140738", "name":"Centre Commerciale Les Promenades", "locationlinkurl":null, "address1":"1100 Boul Maloney O", "icon":"normal", "bho":null, "_distanceuom":"mile", "hourssun":"10h à 17h", "computers":"N", "cfl":"N", "regionalimageurl":null, "city":"Gatineau", "singleuse":"Y", "fax":null, "country":"CA", "logourl":"http://www.call2recycle.org/notpress/where2getit/call2recycle.png", "phone":"819-568-1158", "address2":null, "locationimageurl":null, "_distance":"9.96", "inktoner":"N", "nationalinkurl":null, "regionallinkurl":null, "cellphones":"Y", "hourstues":"9h30 à 18h", "consumerelectronics":"N", "hourswed":"9h30 à 21h", "rank":"0"</t>
  </si>
  <si>
    <t xml:space="preserve">            "rechargeable": "Y", "nationalimageurl":null, "glasses":"N", "hoursthurs":"8h à 21h", "state":null, "retailerimageurl":null, "hoursfri":"Veuillez appeler le point de dépôt.", "acceptedmaterialsurl":"http://www.rona.ca/corporate/social-engagement", "latitude":"45.4917819", "url":"http://www.rona.ca", "postalcode":"J8T 8J9", "province":"QC", "sustainabilityurl":"http://www.rona.ca/corporate/corporate-responsibility", "hoursmon":"8h à 21h", "longitude":"-75.6833787", "uid":1182197577, "retailerlinkurl":null, "hourssat":"8h à 17h", "clientkey":"121791", "name":"RONA", "locationlinkurl":null, "address1":"777 Boul De La Cite",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"phone":"819-568-3400", "address2":null, "locationimageurl":null, "_distance":"10.00",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</si>
  <si>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"acceptedmaterialsurl":"http://www.thesource.ca/estore/tradeupandsave.aspx", "latitude":"45.47756", "url":"http://www.thesource.ca", "postalcode":"J8T 6G3", "province":"QC", "sustainabilityurl":"http://www.thesource.ca/sitelets/jobs/environment.asp", "hoursmon":"Veuillez appeler le point de dépôt.", "longitude":"-75.69724", "uid":839391490, "retailerlinkurl":null, "hourssat":"9h à 17h", "clientkey":"2543", "name":"La Source - Les Promenades Gatineau", "locationlinkurl":null, "address1":"1100 Boul Maloney O", "icon":"preferred", "bho":null, "_distanceuom":"mile", "hourssun":"12h à 17h", "computers":"N", "cfl":"N", "regionalimageurl":null, "city":"Gatineau", "singleuse":"Y", "fax":null, "country":"CA", "logourl":"http://www.call2recycle.org/notpress/where2getit/thesource.png", "phone":"819-561-7533", "address2":null, "locationimageurl":null, "_distance":"10.03", "inktoner":"N", "nationalinkurl":null, "regionallinkurl":null, "cellphones":"Y", "hourstues":"Veuillez appeler le point de dépôt.", "consumerelectronics":"Y", "hourswed":"Veuillez appeler le point de dépôt.", "rank":"1"</t>
  </si>
  <si>
    <t xml:space="preserve">            "rechargeable": "Y", "nationalimageurl":null, "glasses":"N", "hoursthurs":"9h à 21h", "state":null, "retailerimageurl":null, "hoursfri":"9h à 21h", "acceptedmaterialsurl":null, "latitude":"45.489127", "url":null, "postalcode":"J8T 8M1", "province":"QC", "sustainabilityurl":null, "hoursmon":"9h à 21h", "longitude":"-75.6880919", "uid":1986314683, "retailerlinkurl":null, "hourssat":"9h à 21h", "clientkey":"155037", "name":"Jean Coutu", "locationlinkurl":null, "address1":"860 Boulevard Saint-Rene O", "icon":"preferred", "bho":null, "_distanceuom":"mile", "hourssun":"9h à 21h", "computers":"N", "cfl":"N", "regionalimageurl":null, "city":"Gatineau", "singleuse":"Y", "fax":null, "country":"CA", "logourl":"http://www.call2recycle.org/notpress/where2getit/call2recycle.png", "phone":"819-243-1881", "address2":null, "locationimageurl":null, "_distance":"10.08",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</si>
  <si>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"latitude":"45.4779433", "url":null, "postalcode":"J8T 8J3", "province":"QC", "sustainabilityurl":null, "hoursmon":"9h à 21h", "longitude":"-75.6999086", "uid":-52040772, "retailerlinkurl":null, "hourssat":"9h à 17h", "clientkey":"154918", "name":"Uniprix", "locationlinkurl":null, "address1":"325 boul. Gréber", "icon":"preferred", "bho":null, "_distanceuom":"mile", "hourssun":"10h à 17h", "computers":"N", "cfl":"N", "regionalimageurl":null, "city":"Gatineau", "singleuse":"Y", "fax":null, "country":"CA", "logourl":"http://www.call2recycle.org/notpress/where2getit/call2recycle.png", "phone":"819-561-1313", "address2":null, "locationimageurl":null, "_distance":"10.15",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</si>
  <si>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"acceptedmaterialsurl":null, "latitude":"45.3997827272727", "url":null, "postalcode":"K1Y 0X6", "province":"ON", "sustainabilityurl":null, "hoursmon":"Please Call", "longitude":"-75.7320581818182", "uid":400726477, "retailerlinkurl":null, "hourssat":"Please Call", "clientkey":"158014", "name":"ListenUp! Canada", "locationlinkurl":null, "address1":"118 Holland Ave", "icon":"normal", "bho":null, "_distanceuom":"mile", "hourssun":"Please Call", "computers":"N", "cfl":"N", "regionalimageurl":null, "city":"Ottawa", "singleuse":"Y", "fax":null, "country":"CA", "logourl":"http://www.call2recycle.org/notpress/where2getit/call2recycle.png", "phone":"613-728-9170", "address2":null, "locationimageurl":null, "_distance":"10.42", "inktoner":"N", "nationalinkurl":null, "regionallinkurl":null, "cellphones":"Y", "hourstues":"Please Call", "consumerelectronics":"N", "hourswed":"Please Call", "rank":"0"</t>
  </si>
  <si>
    <t xml:space="preserve">            "rechargeable": "Y", "nationalimageurl":null, "glasses":"N", "hoursthurs":"8h à 21h", "state":null, "retailerimageurl":null, "hoursfri":"Veuillez appeler le point de dépôt.", "acceptedmaterialsurl":null, "latitude":"45.44199", "url":"http://www.canadiantire.ca", "postalcode":"J8Y 6W4", "province":"QC", "sustainabilityurl":null, "hoursmon":"8h à 21h", "longitude":"-75.72843", "uid":-725079498, "retailerlinkurl":null, "hourssat":"8h à 17h", "clientkey":"155998", "name":"Canadian Tire", "locationlinkurl":null, "address1":"355 Boul De La Carriere", "icon":"preferred", "bho":null, "_distanceuom":"mile", "hourssun":"9h à 17h", "computers":"N", "cfl":"Y", "regionalimageurl":null, "city":"Gatineau", "singleuse":"Y", "fax":null, "country":"CA", "logourl":"http://www.call2recycle.org/notpress/where2getit/canadiantire.png", "phone":"819-777-4381", "address2":null, "locationimageurl":null, "_distance":"10.53",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</si>
  <si>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"hoursthurs":"8h à 21h", "state":null, "retailerimageurl":null, "hoursfri":"8h à 21h", "acceptedmaterialsurl":"http://www.rona.ca/corporate/social-engagement", "latitude":"45.4541327", "url":"http://www.rona.ca", "postalcode":"J8Y 6W7", "province":"QC", "sustainabilityurl":"http://www.rona.ca/corporate/corporate-responsibility", "hoursmon":"8h à 21h", "longitude":"-75.7282058", "uid":1182193907, "retailerlinkurl":null, "hourssat":"8h à 17h", "clientkey":"120157", "name":"Reno Depot", "locationlinkurl":null, "address1":"95 Rue Atawe", "icon":"preferred", "bho":null, "_distanceuom":"mile", "hourssun":"8h à 17h", "computers":"N", "cfl":"Y", "regionalimageurl":null, "city":"Gatineau", "singleuse":"Y", "fax":null, "country":"CA", "logourl":"http://www.call2recycle.org/notpress/where2getit/rona.png", "phone":"819-770-7366", "address2":null, "locationimageurl":null, "_distance":"10.75", "inktoner":"N", "nationalinkurl":null, "regionallinkurl":null, "cellphones":"Y", "hourstues":"8h à 21h", "consumerelectronics":"N", "hourswed":"8h à 21h", "rank":"1"</t>
  </si>
  <si>
    <t xml:space="preserve">            "rechargeable": "Y", "nationalimageurl":null, "glasses":"N", "hoursthurs":"Veuillez appeler le point de dépôt.", "state":null, "retailerimageurl":null, "hoursfri":"Veuillez appeler le point de dépôt.", "acceptedmaterialsurl":null, "latitude":"45.4537688937289", "url":null, "postalcode":"J8X 3Y9", "province":"QC", "sustainabilityurl":null, "hoursmon":"Veuillez appeler le point de dépôt.", "longitude":"-75.7299707864113", "uid":1986335359, "retailerlinkurl":null, "hourssat":"Veuillez appeler le point de dépôt.", "clientkey":"155325", "name":"Dépôt Gatineau", "locationlinkurl":null, "address1":"860 boul. de la Carrière", "icon":"normal", "bho":null, "_distanceuom":"mile", "hourssun":"Veuillez appeler le point de dépôt.", "computers":"N", "cfl":"N", "regionalimageurl":null, "city":"Gatineau", "singleuse":"Y", "fax":null, "country":"CA", "logourl":"http://www.call2recycle.org/notpress/where2getit/call2recycle.png", "phone":"--", "address2":null, "locationimageurl":null, "_distance":"10.83", "inktoner":"N", "nationalinkurl":null, "regionallinkurl":null, "cellphones":"Y", "hourstues":"Veuillez appeler le point de dépôt.", "consumerelectronics":"N", "hourswed":"Veuillez appeler le point de dépôt.", "rank":"0"</t>
  </si>
  <si>
    <t xml:space="preserve">            "rechargeable": "Y", "nationalimageurl":null, "glasses":"N", "hoursthurs":"9h à 21h", "state":null, "retailerimageurl":null, "hoursfri":"Veuillez appeler le point de dépôt.", "acceptedmaterialsurl":null, "latitude":"45.55383", "url":null, "postalcode":"J8M 1A2", "province":"QC", "sustainabilityurl":null, "hoursmon":"9h à 21h", "longitude":"-75.4358", "uid":1986314760, "retailerlinkurl":null, "hourssat":"9h à 18h", "clientkey":"155127", "name":"Jean Coutu", "locationlinkurl":null, "address1":"110 Rue Georges Bureau 10", "icon":"preferred", "bho":null, "_distanceuom":"mile", "hourssun":"9h à 18h", "computers":"N", "cfl":"N", "regionalimageurl":null, "city":"Gatineau", "singleuse":"Y", "fax":null, "country":"CA", "logourl":"http://www.call2recycle.org/notpress/where2getit/call2recycle.png", "phone":"819-281-0532", "address2":null, "locationimageurl":null, "_distance":"10.95", "inktoner":"N", "nationalinkurl":null, "regionallinkurl":null, "cellphones":"Y", "hourstues":"9h à 21h", "consumerelectronics":"N", "hourswed":"9h à 21h", "rank":"1"</t>
  </si>
  <si>
    <t xml:space="preserve">            "rechargeable": "Y", "nationalimageurl":null, "glasses":"N", "hoursthurs":"Please Call", "state":null, "retailerimageurl":null, "hoursfri":"Please Call", "acceptedmaterialsurl":"http://www.thesource.ca/estore/tradeupandsave.aspx", "latitude":"45.3456195926914", "url":"http://www.thesource.ca", "postalcode":"K2G 4A1", "province":"ON", "sustainabilityurl":"http://www.thesource.ca/sitelets/jobs/environment.asp", "hoursmon":"Please Call", "longitude":"-75.7304456845579", "uid":1044141446, "retailerlinkurl":null, "hourssat":"Please Call", "clientkey":"788", "name":"The Source", "locationlinkurl":null, "address1":"1642 Merivale Rd", "icon":"preferred", "bho":null, "_distanceuom":"mile", "hourssun":"Please Call", "computers":"N", "cfl":"N", "regionalimageurl":null, "city":"Nepean", "singleuse":"Y", "fax":null, "country":"CA", "logourl":"http://www.call2recycle.org/notpress/where2getit/thesource.png", "phone":"613-224-9648", "address2":null, "locationimageurl":null, "_distance":"11.15", "inktoner":"N", "nationalinkurl":null, "regionallinkurl":null, "cellphones":"Y", "hourstues":"Please Call", "consumerelectronics":"Y", "hourswed":"Please Call", "rank":"1"</t>
  </si>
  <si>
    <t xml:space="preserve">            "rechargeable": "Y", "nationalimageurl":null, "glasses":"N", "hoursthurs":"Please Call", "state":null, "retailerimageurl":null, "hoursfri":"Please Call", "acceptedmaterialsurl":null, "latitude":"45.3247075", "url":null, "postalcode":"K2E 6V4", "province":"ON", "sustainabilityurl":null, "hoursmon":"Please Call", "longitude":"-75.71596875", "uid":475473366, "retailerlinkurl":null, "hourssat":"Please Call", "clientkey":"145389", "name":"Interstate Batteries of Ont", "locationlinkurl":null, "address1":"171 MacFarlane Rd", "icon":"normal", "bho":null, "_distanceuom":"mile", "hourssun":"Please Call", "computers":"N", "cfl":"N", "regionalimageurl":null, "city":"Nepean", "singleuse":"Y", "fax":null, "country":"CA", "logourl":"http://www.call2recycle.org/notpress/where2getit/call2recycle.png", "phone":"613-798-9700", "address2":null, "locationimageurl":null, "_distance":"11.16", "inktoner":"N", "nationalinkurl":null, "regionallinkurl":null, "cellphones":"Y", "hourstues":"Please Call", "consumerelectronics":"N", "hourswed":"Please Call", "rank":"0"</t>
  </si>
  <si>
    <t xml:space="preserve">            "country": "CA", "radius":"15", "radiusuom":"mile", "centerpoint":"-75.51735,45.40597", "state":"", "city":"Gloucester", "address":"5998 Dolman Ridge Rd", "province":"ON", "postalcode":"K1C"</t>
  </si>
  <si>
    <t xml:space="preserve">                    ["Staples", 45.27069125, -75.7408525, '613-825-0457', 'K2J 5G5'],</t>
  </si>
  <si>
    <t xml:space="preserve">                    ["Staples", 45.3077106580804, -75.9191627451347, '613-592-3538', 'K2T 1B7'],</t>
  </si>
  <si>
    <t xml:space="preserve">                    ["Staples", 45.35311, -75.73469, '613-226-7989', 'K2G 3J4'],</t>
  </si>
  <si>
    <t xml:space="preserve">                    ["Staples", 45.37061, -75.76937, '613-729-4585', 'K2A 1H1'],</t>
  </si>
  <si>
    <t xml:space="preserve">                    ["Best Buy", 45.372818, -75.7679092, '--', 'K2A 1H2'],</t>
  </si>
  <si>
    <t xml:space="preserve">                    ["Staples", 45.3573151020408, -75.6538102040816, '613-521-3030', 'K1V 1J5'],</t>
  </si>
  <si>
    <t xml:space="preserve">                    ["Staples", 45.4130966666667, -75.6944033333333, '613-235-2525', 'K2P 1Y6'],</t>
  </si>
  <si>
    <t xml:space="preserve">                    ["Staples", 45.0301839, -75.6314132, '613-258-5900', 'K0G 1J0'],</t>
  </si>
  <si>
    <t xml:space="preserve">                    ["Best Buy Canada", 45.2686415669868, -75.7511392975935, '613-843-5625', 'K2J 4B1'],</t>
  </si>
  <si>
    <t xml:space="preserve">                    ["Staples", 44.6040935, -75.6989553, '613-498-2616', 'K6V 3G9'],</t>
  </si>
  <si>
    <t xml:space="preserve">                    ["Staples", 44.23259, -76.4832707142857, '613-542-3585', 'K7K 1A5'],</t>
  </si>
  <si>
    <t xml:space="preserve">                    ["Staples", 44.2426689227649, -76.5678108991268, '613-634-2112', 'K7M 9B8'],</t>
  </si>
  <si>
    <t xml:space="preserve">                    ["Staples", 44.18638, -77.4044, '613-961-7399', 'K8P 5L2'],</t>
  </si>
  <si>
    <t xml:space="preserve">                    ["Staples", 43.97172, -78.19779, '905-377-0458', 'K9A 5W4'],</t>
  </si>
  <si>
    <t xml:space="preserve">                    ["Staples", 43.91057, -78.68024, '905-623-1700', 'L1C 1P2'],</t>
  </si>
  <si>
    <t xml:space="preserve">                    ["Staples", 43.88695, -78.87582125, '905-434-1947', 'L1J 2K5'],</t>
  </si>
  <si>
    <t xml:space="preserve">                    ["Staples", 43.859581, -79.026064, '905-686-1422', 'L1S 7L8'],</t>
  </si>
  <si>
    <t xml:space="preserve">                    ["Staples", 43.84316, -79.06844, '905-683-4620', 'L1V 6K5'],</t>
  </si>
  <si>
    <t xml:space="preserve">                    ["Best Buy", 43.80644, -79.13402, '--', 'L1V 1B8'],</t>
  </si>
  <si>
    <t xml:space="preserve">                    ["Staples", 43.8511025, -79.3522558333333, '905-479-3101', 'L3R 0J5'],</t>
  </si>
  <si>
    <t xml:space="preserve">                    ["Staples Canada/Business Depot", 43.8410902360863, -79.4226223429902, '905-882-6995', 'L4B 4M6'],</t>
  </si>
  <si>
    <t xml:space="preserve">                    ["Staples", 43.9582946871189, -79.2718495160064, '905-642-6800', 'L4A 0K2'],</t>
  </si>
  <si>
    <t xml:space="preserve">                    ["Best Buy", 43.775466, -79.25395, '--', 'M1P 4P5'],</t>
  </si>
  <si>
    <t xml:space="preserve">                    ["Best Buy", 43.77976, -79.41556, '--', 'M2M 3X4'],</t>
  </si>
  <si>
    <t xml:space="preserve">                    ["Staples", 43.75861, -79.31211, '416-444-5237', 'M1R 4B7'],</t>
  </si>
  <si>
    <t xml:space="preserve">                    ["Staples", 43.79976, -79.19677, '416-208-7728', 'M1V 1K4'],</t>
  </si>
  <si>
    <t xml:space="preserve">                    ["Best Buy Canada", 43.768118, -79.412616, '416-642-7980', 'M2N 6Z4'],</t>
  </si>
  <si>
    <t xml:space="preserve">                    ["Staples", 43.7984506, -79.4709573, '905-669-5096', 'L4J 7R5'],</t>
  </si>
  <si>
    <t xml:space="preserve">                    ["Best Buy", 43.7205099, -79.6000779, '--', 'M9W 6K5'],</t>
  </si>
  <si>
    <t xml:space="preserve">                    ["Staples Canada", 43.6680095533643, -79.6452371511541, '905-565-2545', 'L5T 1G6'],</t>
  </si>
  <si>
    <t xml:space="preserve">                    ["Staples", 43.7422160823042, -79.6973981517214, '905-791-4522', 'L6T 5J1'],</t>
  </si>
  <si>
    <t xml:space="preserve">                    ["Staples Canada", 43.6598001549726, -79.6637084686646, '289-562-2532', 'L5T 1W8'],</t>
  </si>
  <si>
    <t xml:space="preserve">                    ["Staples", 43.63927, -79.62362, '905-602-5889', 'L4W 5K1'],</t>
  </si>
  <si>
    <t xml:space="preserve">                    ["Best Buy", 43.62993, -79.55195, '--', 'M9B 3Y8'],</t>
  </si>
  <si>
    <t xml:space="preserve">                    ["Best Buy Canada", 43.6694475, -79.4700725, '416-766-1577', 'M6N 5G8'],</t>
  </si>
  <si>
    <t xml:space="preserve">                    ["Staples", 43.6230371052632, -79.5691739473684, '905-279-4392', 'L4X 2X8'],</t>
  </si>
  <si>
    <t xml:space="preserve">                    ["Staples", 43.6700824, -79.4664952, '416-762-2816', 'M6N 3E2'],</t>
  </si>
  <si>
    <t xml:space="preserve">                    ["Staples", 43.6496261538462, -79.3780784615385, '416-203-3525', 'M5C 1S8'],</t>
  </si>
  <si>
    <t xml:space="preserve">                    ["Staples", 43.6532061538462, -79.3874469230769, '416-598-4818', 'M5G 2J5'],</t>
  </si>
  <si>
    <t xml:space="preserve">                    ["Best Buy", 43.6395682758621, -79.4275837931034, '--', 'M6A 3A1'],</t>
  </si>
  <si>
    <t xml:space="preserve">                    ["Staples", 43.6796533333333, -79.3906066666667, '416-961-4949', 'M4W 2L8'],</t>
  </si>
  <si>
    <t xml:space="preserve">                    ["Staples", 43.69088, -79.2898, '416-686-4711', 'M4C 1M9'],</t>
  </si>
  <si>
    <t xml:space="preserve">                    ["Staples", 43.7110257, -79.3772455, '416-696-0043', 'M4P 3A1'],</t>
  </si>
  <si>
    <t xml:space="preserve">                    ["Best Buy Canada", 43.7096685185185, -79.398972962963, '416-489-4726', 'M4P 2H4'],</t>
  </si>
  <si>
    <t xml:space="preserve">                    ["Staples", 43.7292761, -79.2841259, '416-752-1091', 'M1L 2M6'],</t>
  </si>
  <si>
    <t xml:space="preserve">                    ["Staples", 43.3568097209952, -79.808176898632, '905-332-1071', 'L7M 4X7'],</t>
  </si>
  <si>
    <t xml:space="preserve">                    ["Staples", 43.5803964962338, -79.6468598538234, '905-306-7888', 'L5B 4M6'],</t>
  </si>
  <si>
    <t xml:space="preserve">                    ["Staples", 43.60992, -79.69273, '905-813-3134', 'L5V 2P5'],</t>
  </si>
  <si>
    <t xml:space="preserve">                    ["Staples", 43.5417045, -79.8713099, '905-878-2434', 'L9T 6R1'],</t>
  </si>
  <si>
    <t xml:space="preserve">                    ["Staples", 43.22544, -79.95532, '905-648-6047', 'L9K 1L6'],</t>
  </si>
  <si>
    <t xml:space="preserve">                    ["Best Buy", 43.22704, -79.94467, '905-304-7624', 'L9K 1J9'],</t>
  </si>
  <si>
    <t xml:space="preserve">                    ["Staples", 43.1693666109149, -80.2479792495133, '519-752-3367', 'N3R 7C5'],</t>
  </si>
  <si>
    <t xml:space="preserve">                    ["Staples", 43.3179275, -79.9109525, '905-689-0271', 'L0R 2H1'],</t>
  </si>
  <si>
    <t xml:space="preserve">                    ["Staples", 43.21863, -79.86401, '905-383-7913', 'L9A 4V8'],</t>
  </si>
  <si>
    <t xml:space="preserve">                    ["Staples", 43.2497988888889, -79.8086933333333, '--', 'L8H 2V4'],</t>
  </si>
  <si>
    <t xml:space="preserve">                    ["Staples", 43.1763769718819, -79.7903986495485, '905-692-7215', 'L0R 1P0'],</t>
  </si>
  <si>
    <t xml:space="preserve">                    ["Staples Canada", 43.23714, -79.7616175, '905-578-3573', 'L8E 2W7'],</t>
  </si>
  <si>
    <t xml:space="preserve">                    ["Staples", 43.01479, -79.24987, '905-714-7607', 'L3C 5Z4'],</t>
  </si>
  <si>
    <t xml:space="preserve">                    ["Best Buy", 43.11939, -79.26929, '905-378-0333', 'L2S 0C7'],</t>
  </si>
  <si>
    <t xml:space="preserve">                    ["Staples", 43.1792340662616, -79.2488582576566, '905-937-4292', 'L2N 7R6'],</t>
  </si>
  <si>
    <t xml:space="preserve">                    ["Staples", 43.1041398492462, -79.1139305527638, '905-358-0650', 'L2E 7K5'],</t>
  </si>
  <si>
    <t xml:space="preserve">                    ["Staples", 42.8461, -80.30788, '519-426-4060', 'N3Y 2M7'],</t>
  </si>
  <si>
    <t xml:space="preserve">                    ["Staples", 42.86217, -80.72937, '519-688-2196', 'N4G 5A7'],</t>
  </si>
  <si>
    <t xml:space="preserve">                    ["Best Buy", 43.39061, -80.32256, '--', 'N1R 6B3'],</t>
  </si>
  <si>
    <t xml:space="preserve">                    ["Best Buy", 43.42442, -80.44121, '--', 'N2C 1X1'],</t>
  </si>
  <si>
    <t xml:space="preserve">                    ["Staples", 43.4243164273263, -80.4892616533735, '519-571-7420', 'N2E 3W7'],</t>
  </si>
  <si>
    <t xml:space="preserve">                    ["Staples", 43.5659664168708, -80.2761626391892, '519-822-2344', 'N1H 1G7'],</t>
  </si>
  <si>
    <t xml:space="preserve">                    ["Staples", 43.51797, -80.23639, '519-763-4205', 'N1G 4V9'],</t>
  </si>
  <si>
    <t xml:space="preserve">                    ["Staples", 43.1158086046512, -80.7378265116279, '519-421-3202', 'N4S 9A2'],</t>
  </si>
  <si>
    <t xml:space="preserve">                    ["Staples", 43.00526, -81.17402, '519-659-3428', 'N5V 1P7'],</t>
  </si>
  <si>
    <t xml:space="preserve">                    ["Staples", 42.936906337748, -81.2809181670529, '519-690-2049', 'N6L 1A6'],</t>
  </si>
  <si>
    <t xml:space="preserve">                    ["Best Buy", 42.93354, -81.22307, '519-686-2160', 'N6E 1M2'],</t>
  </si>
  <si>
    <t xml:space="preserve">                    ["Staples", 42.77878, -81.1723, '519-631-1810', 'N5P 1G4'],</t>
  </si>
  <si>
    <t xml:space="preserve">                    ["Staples", 42.96328, -81.23147, '519-645-7042', 'N6C 4P6'],</t>
  </si>
  <si>
    <t xml:space="preserve">                    ["Best Buy", 43.01705, -81.27336, '--', 'N6G 3Y9'],</t>
  </si>
  <si>
    <t xml:space="preserve">                    ["Staples", 43.0277044897959, -81.2831842857143, '519-661-0888', 'N5X 3Y2'],</t>
  </si>
  <si>
    <t xml:space="preserve">                    ["Staples", 42.9470654794521, -81.6128139726027, '519-245-5665', 'N7G 2P5'],</t>
  </si>
  <si>
    <t xml:space="preserve">                    ["Staples", 42.98041, -82.35197, '519-542-4461', 'N7S 1P6'],</t>
  </si>
  <si>
    <t xml:space="preserve">                    ["Staples Canada", 42.98041, -82.35197, '519-542-3639', 'N7S 1P6'],</t>
  </si>
  <si>
    <t xml:space="preserve">                    ["Staples", 42.4294472916667, -82.2177283333333, '519-360-1344', 'N7L 0E8'],</t>
  </si>
  <si>
    <t xml:space="preserve">                    ["Staples", 42.0337584782609, -82.5972702173913, '519-324-1370', 'N8H 2L2'],</t>
  </si>
  <si>
    <t xml:space="preserve">                    ["Staples", 42.2549034080717, -82.9641382959641, '519-972-5127', 'N8W 3T6'],</t>
  </si>
  <si>
    <t xml:space="preserve">                    ["Staples", 42.2851328123105, -83.0182925347012, '519-966-9495', 'N8X 1L7'],</t>
  </si>
  <si>
    <t xml:space="preserve">                    ["Staples", 44.57018, -80.92203, '519-372-2228', 'N4K 5S2'],</t>
  </si>
  <si>
    <t xml:space="preserve">                    ["Staples", 44.4170117391304, -79.7142417391304, '705-735-4058', 'L4M 4Z9'],</t>
  </si>
  <si>
    <t xml:space="preserve">                    ["Staples", 44.148355, -79.882015, '705-434-4992', 'L9R 1P8'],</t>
  </si>
  <si>
    <t xml:space="preserve">                    ["Staples", 44.34876, -78.76655, '705-328-3427', 'K9V 2Z7'],</t>
  </si>
  <si>
    <t xml:space="preserve">                    ["Staples", 44.2896633333333, -78.3234533333333, '705-741-1130', 'K9J 3R8'],</t>
  </si>
  <si>
    <t xml:space="preserve">                    ["Best Buy Canada", 44.28143, -78.34724, '705-741-2081', 'K9J 7M2'],</t>
  </si>
  <si>
    <t xml:space="preserve">                    ["Staples", 45.1327560185777, -76.1207543897624, '613-253-2400', 'K7C 0A8'],</t>
  </si>
  <si>
    <t xml:space="preserve">                    ["Staples Canada", 44.6166, -79.44411, '705-329-3074', 'L3V 0B5'],</t>
  </si>
  <si>
    <t xml:space="preserve">                    ["Staples", 45.0435187961326, -79.3305916592164, '705-646-2775', 'P1L 1X3'],</t>
  </si>
  <si>
    <t xml:space="preserve">                    ["Staples", 45.33458, -79.20537, '705-789-5817', 'P1H 1G6'],</t>
  </si>
  <si>
    <t xml:space="preserve">                    ["Best Buy Canada", 46.31296, -79.44285, '705-472-2126', 'P1B 2H3'],</t>
  </si>
  <si>
    <t xml:space="preserve">                    ["Staples", 46.33246, -79.46608, '705-472-7223', 'P1B 4Y8'],</t>
  </si>
  <si>
    <t xml:space="preserve">                    ["Staples", 46.5050268639053, -80.9460298816568, '705-524-6227', 'P3B 0A2'],</t>
  </si>
  <si>
    <t xml:space="preserve">                    ["Staples", 46.5361208793104, -84.3188181318782, '705-256-1466', 'P6B 4Z8'],</t>
  </si>
  <si>
    <t xml:space="preserve">                    ["Best Buy Canada", 46.54303, -84.31917, '705-942-0722', 'P6B 4Z9'],</t>
  </si>
  <si>
    <t xml:space="preserve">                    ["Staples", 48.4135605, -89.243708, '807-343-2506', 'P7B 3Z7'],</t>
  </si>
  <si>
    <t xml:space="preserve">                    ["Best Buy Canada", 48.4725115789474, -81.3782257894737, '705-268-9111', 'P4R 1A5'],</t>
  </si>
  <si>
    <t xml:space="preserve">                    ["Staples", 45.0287936, -74.7346015, '613-936-6952', 'K6H 6R3'],</t>
  </si>
  <si>
    <t xml:space="preserve">                    ["Staples", 45.458575, -75.4846337, '613-830-8100', 'K4A 4C5'],</t>
  </si>
  <si>
    <t xml:space="preserve">                    ["Best Buy", 45.48038, -75.51368, '--', 'K1C 2L9'],</t>
  </si>
  <si>
    <t xml:space="preserve">                    ["Staples", 45.4290385029338, -75.637466705784, '613-741-3416', 'K1K 4E6'],</t>
  </si>
  <si>
    <t xml:space="preserve">                    //Ottawa E-waste</t>
  </si>
  <si>
    <t xml:space="preserve">                    ['American Iron &amp; Metal LP', 45.4061455, -75.6080374, '613-228-9380', 'K1B 3V6'],</t>
  </si>
  <si>
    <t xml:space="preserve">                    ['American Iron &amp; Metal LP', 45.3340072, -75.7140466, '613-228-9380', 'K2E 6T9'],</t>
  </si>
  <si>
    <t xml:space="preserve">                    ['Bloom Microtech Ltd.', 45.4523899, -75.5921304, '613-748-3567', 'K1J 9M1'],</t>
  </si>
  <si>
    <t xml:space="preserve">                    ['CTOPE', 45.4379365, -75.858758, '819-776-5870', 'J8X 1C6'],</t>
  </si>
  <si>
    <t xml:space="preserve">                    ['Canadian Diabetes Association-Clothesline Program', 45.409729, -75.6282127, '613-746-4633', 'K1B 3T7'],</t>
  </si>
  <si>
    <t xml:space="preserve">                    ['EDI Inc.', 45.3358629, -75.801434, '613-726-3699', 'K2H 1B1'],</t>
  </si>
  <si>
    <t xml:space="preserve">                    ['Envirolaser', 45.346287, -75.7040961, '613-225-4726', 'K2E 7L9'],</t>
  </si>
  <si>
    <t xml:space="preserve">                    ['Habitat Restore', 45.330019, -75.7249127, '613-744-7769', 'K2G 0A7'],</t>
  </si>
  <si>
    <t xml:space="preserve">                    ['Habitat Restore', 45.4144044, -75.6433382, '613-744-7769', 'K1G 0Z4'],</t>
  </si>
  <si>
    <t xml:space="preserve">                    ['Industry Canada - Computers for Schools Program ', 45.4379365, -75.720871, '613-998-1804', 'J8X 1C6'],</t>
  </si>
  <si>
    <t xml:space="preserve">                    ['Office Equipment Specialists', 45.4333192, -75.6712286, '613-747-1070', 'K1L 6E8'],</t>
  </si>
  <si>
    <t xml:space="preserve">                    ['Progressive Waste Solutions Inc.', 45.3827919, -75.6024855, '613-737-7662', ''],</t>
  </si>
  <si>
    <t xml:space="preserve">                    ['Right Stop Computer Shop Inc.', 45.4197951, -75.6999233, '613-567-4015', 'K1P 1H1'],</t>
  </si>
  <si>
    <t xml:space="preserve">                    ['Salvation Army (Innes)', 45.4558462, -75.5082483, '613-830-2783', 'K1C 6V3'],</t>
  </si>
  <si>
    <t xml:space="preserve">                    ['Salvation Army (Montreal Road)', 45.4379107, -75.6595532, '613-842-3938', 'K1L 6B4'],</t>
  </si>
  <si>
    <t xml:space="preserve">                    ['Salvation Army (Moodie Drive)</t>
  </si>
  <si>
    <t>', 45.3256352, -75.8381915, '613-726-8891', 'K2H 9G1'],</t>
  </si>
  <si>
    <t xml:space="preserve">                    ['Salvation Army (Ogilvie Road)', 45.4519604, -75.6004714, '613-745-2881', 'K1J 9M7'],</t>
  </si>
  <si>
    <t xml:space="preserve">                    ['Salvation Army (Richmond Road)', 45.3619503, -75.7927047, '613-726-7136', 'K2B 6S1'],</t>
  </si>
  <si>
    <t xml:space="preserve">                    ['Satanda Solutions', 45.2561091, -75.7303596, '613-230-3923', 'K2J 4X6'],</t>
  </si>
  <si>
    <t xml:space="preserve">                    ['Tomlinson Industrial Waste', 45.3037093, -75.5636287, '613-822-2700', 'K1G 3N4'],</t>
  </si>
  <si>
    <t xml:space="preserve">                    ['Valoritec', 45.4960221, -75.7064793, '819-568-2020', ''],</t>
  </si>
  <si>
    <t xml:space="preserve">                    ['Value Village', 45.3604251, -75.740539, '613-288-1390', 'K2G 3H7'],</t>
  </si>
  <si>
    <t xml:space="preserve">                    ['Value Village', 45.3710937, -75.6671344, '613-526-5551', 'K1V 7Y6'],</t>
  </si>
  <si>
    <t xml:space="preserve">                    ['illFixit Wireless', 45.2958157, -75.8956709, '613-867-0695', 'K2L 1V6'],</t>
  </si>
  <si>
    <t xml:space="preserve">                    //Toronto E-waste + Batteries</t>
  </si>
  <si>
    <t xml:space="preserve">                    ['Computation Ltd.', 43.6312759, -79.5228315, '4169104358', 'M8Z 5Y2'],</t>
  </si>
  <si>
    <t xml:space="preserve">                    ['Computation Ltd.', 43.6557327, -79.489528, '4169104358', 'M6S 3Z2'],</t>
  </si>
  <si>
    <t xml:space="preserve">                    ['Montage Support Services', 43.691796, -79.4428964, '4167809630', 'M6E 2X1'],</t>
  </si>
  <si>
    <t xml:space="preserve">                    ['Howard TV Stereo and Video Centre', 43.742428, -79.4370869, '416-636-4822', 'M3H 5V1'],</t>
  </si>
  <si>
    <t xml:space="preserve">                    ['Evergreen Brick Works', 43.6851471, -79.3769237, '4165961495', 'M4W 3X8'],</t>
  </si>
  <si>
    <t xml:space="preserve">                    ['Henrys', 43.652853, -79.3775295, '4168680872', 'M5C 2G5'],</t>
  </si>
  <si>
    <t xml:space="preserve">                    ['GFL Environmental Inc.', 43.6441161, -79.3581469, '4164062040 ext 4244', 'M5A 3L2']</t>
  </si>
  <si>
    <t>//Ottawa E-waste</t>
  </si>
  <si>
    <t xml:space="preserve">                    ['GFL Environmental Inc.', 43.6441161, -79.3581469, '4164062040 ext 4244', 'M5A 3L2'],</t>
  </si>
  <si>
    <t>Best Buy Canada</t>
  </si>
  <si>
    <t>45.2686415669868</t>
  </si>
  <si>
    <t>-75.7511392975935</t>
  </si>
  <si>
    <t>613-843-5625</t>
  </si>
  <si>
    <t>K2J 4B1</t>
  </si>
  <si>
    <t>Staples</t>
  </si>
  <si>
    <t>45.27069125</t>
  </si>
  <si>
    <t>-75.7408525</t>
  </si>
  <si>
    <t>613-825-0457</t>
  </si>
  <si>
    <t>K2J 5G5</t>
  </si>
  <si>
    <t>45.3077106580804</t>
  </si>
  <si>
    <t>-75.9191627451347</t>
  </si>
  <si>
    <t>613-592-3538</t>
  </si>
  <si>
    <t>K2T 1B7</t>
  </si>
  <si>
    <t>45.35311</t>
  </si>
  <si>
    <t>-75.73469</t>
  </si>
  <si>
    <t>613-226-7989</t>
  </si>
  <si>
    <t>K2G 3J4</t>
  </si>
  <si>
    <t>45.37061</t>
  </si>
  <si>
    <t>-75.76937</t>
  </si>
  <si>
    <t>613-729-4585</t>
  </si>
  <si>
    <t>K2A 1H1</t>
  </si>
  <si>
    <t>Best Buy</t>
  </si>
  <si>
    <t>45.372818</t>
  </si>
  <si>
    <t>-75.7679092</t>
  </si>
  <si>
    <t>--</t>
  </si>
  <si>
    <t>K2A 1H2</t>
  </si>
  <si>
    <t>45.3573151020408</t>
  </si>
  <si>
    <t>-75.6538102040816</t>
  </si>
  <si>
    <t>613-521-3030</t>
  </si>
  <si>
    <t>K1V 1J5</t>
  </si>
  <si>
    <t>45.4130966666667</t>
  </si>
  <si>
    <t>-75.6944033333333</t>
  </si>
  <si>
    <t>613-235-2525</t>
  </si>
  <si>
    <t>K2P 1Y6</t>
  </si>
  <si>
    <t>45.0301839</t>
  </si>
  <si>
    <t>-75.6314132</t>
  </si>
  <si>
    <t>613-258-5900</t>
  </si>
  <si>
    <t>K0G 1J0</t>
  </si>
  <si>
    <t>44.6040935</t>
  </si>
  <si>
    <t>-75.6989553</t>
  </si>
  <si>
    <t>613-498-2616</t>
  </si>
  <si>
    <t>K6V 3G9</t>
  </si>
  <si>
    <t>44.23259</t>
  </si>
  <si>
    <t>-76.4832707142857</t>
  </si>
  <si>
    <t>613-542-3585</t>
  </si>
  <si>
    <t>K7K 1A5</t>
  </si>
  <si>
    <t>44.2426689227649</t>
  </si>
  <si>
    <t>-76.5678108991268</t>
  </si>
  <si>
    <t>613-634-2112</t>
  </si>
  <si>
    <t>K7M 9B8</t>
  </si>
  <si>
    <t>44.18638</t>
  </si>
  <si>
    <t>-77.4044</t>
  </si>
  <si>
    <t>613-961-7399</t>
  </si>
  <si>
    <t>K8P 5L2</t>
  </si>
  <si>
    <t>43.97172</t>
  </si>
  <si>
    <t>-78.19779</t>
  </si>
  <si>
    <t>905-377-0458</t>
  </si>
  <si>
    <t>K9A 5W4</t>
  </si>
  <si>
    <t>43.91057</t>
  </si>
  <si>
    <t>-78.68024</t>
  </si>
  <si>
    <t>905-623-1700</t>
  </si>
  <si>
    <t>L1C 1P2</t>
  </si>
  <si>
    <t>43.9184340778853</t>
  </si>
  <si>
    <t>-78.9437186560068</t>
  </si>
  <si>
    <t>L1R 0H4</t>
  </si>
  <si>
    <t>43.88695</t>
  </si>
  <si>
    <t>-78.87582125</t>
  </si>
  <si>
    <t>905-434-1947</t>
  </si>
  <si>
    <t>L1J 2K5</t>
  </si>
  <si>
    <t>43.859581</t>
  </si>
  <si>
    <t>-79.026064</t>
  </si>
  <si>
    <t>905-686-1422</t>
  </si>
  <si>
    <t>L1S 7L8</t>
  </si>
  <si>
    <t>43.84316</t>
  </si>
  <si>
    <t>-79.06844</t>
  </si>
  <si>
    <t>905-683-4620</t>
  </si>
  <si>
    <t>L1V 6K5</t>
  </si>
  <si>
    <t>44.09409625</t>
  </si>
  <si>
    <t>-79.1307016666667</t>
  </si>
  <si>
    <t>905-862-2614</t>
  </si>
  <si>
    <t>L9P 1S9</t>
  </si>
  <si>
    <t>43.80644</t>
  </si>
  <si>
    <t>-79.13402</t>
  </si>
  <si>
    <t>L1V 1B8</t>
  </si>
  <si>
    <t>43.8655657142857</t>
  </si>
  <si>
    <t>-79.2913528571429</t>
  </si>
  <si>
    <t>L3R 4M9</t>
  </si>
  <si>
    <t>43.8511025</t>
  </si>
  <si>
    <t>-79.3522558333333</t>
  </si>
  <si>
    <t>905-479-3101</t>
  </si>
  <si>
    <t>L3R 0J5</t>
  </si>
  <si>
    <t>43.89947</t>
  </si>
  <si>
    <t>-79.39223</t>
  </si>
  <si>
    <t>905-770-1600</t>
  </si>
  <si>
    <t>L4S 0B2</t>
  </si>
  <si>
    <t>Staples Canada/Business Depot</t>
  </si>
  <si>
    <t>43.8410902360863</t>
  </si>
  <si>
    <t>-79.4226223429902</t>
  </si>
  <si>
    <t>905-882-6995</t>
  </si>
  <si>
    <t>L4B 4M6</t>
  </si>
  <si>
    <t>43.9582946871189</t>
  </si>
  <si>
    <t>-79.2718495160064</t>
  </si>
  <si>
    <t>905-642-6800</t>
  </si>
  <si>
    <t>L4A 0K2</t>
  </si>
  <si>
    <t>43.775466</t>
  </si>
  <si>
    <t>-79.25395</t>
  </si>
  <si>
    <t>M1P 4P5</t>
  </si>
  <si>
    <t>43.77976</t>
  </si>
  <si>
    <t>-79.41556</t>
  </si>
  <si>
    <t>M2M 3X4</t>
  </si>
  <si>
    <t>43.75861</t>
  </si>
  <si>
    <t>-79.31211</t>
  </si>
  <si>
    <t>416-444-5237</t>
  </si>
  <si>
    <t>M1R 4B7</t>
  </si>
  <si>
    <t>43.79976</t>
  </si>
  <si>
    <t>-79.19677</t>
  </si>
  <si>
    <t>416-208-7728</t>
  </si>
  <si>
    <t>M1V 1K4</t>
  </si>
  <si>
    <t>43.768118</t>
  </si>
  <si>
    <t>-79.412616</t>
  </si>
  <si>
    <t>416-642-7980</t>
  </si>
  <si>
    <t>M2N 6Z4</t>
  </si>
  <si>
    <t>43.7984506</t>
  </si>
  <si>
    <t>-79.4709573</t>
  </si>
  <si>
    <t>905-669-5096</t>
  </si>
  <si>
    <t>L4J 7R5</t>
  </si>
  <si>
    <t>43.7205099</t>
  </si>
  <si>
    <t>-79.6000779</t>
  </si>
  <si>
    <t>M9W 6K5</t>
  </si>
  <si>
    <t>43.7854118</t>
  </si>
  <si>
    <t>-79.5413764</t>
  </si>
  <si>
    <t>905-856-6588</t>
  </si>
  <si>
    <t>L4L 9J8</t>
  </si>
  <si>
    <t>Staples Canada</t>
  </si>
  <si>
    <t>43.6680095533643</t>
  </si>
  <si>
    <t>-79.6452371511541</t>
  </si>
  <si>
    <t>905-565-2545</t>
  </si>
  <si>
    <t>L5T 1G6</t>
  </si>
  <si>
    <t>43.7422160823042</t>
  </si>
  <si>
    <t>-79.6973981517214</t>
  </si>
  <si>
    <t>905-791-4522</t>
  </si>
  <si>
    <t>L6T 5J1</t>
  </si>
  <si>
    <t>43.6598001549726</t>
  </si>
  <si>
    <t>-79.6637084686646</t>
  </si>
  <si>
    <t>289-562-2532</t>
  </si>
  <si>
    <t>L5T 1W8</t>
  </si>
  <si>
    <t>43.63927</t>
  </si>
  <si>
    <t>-79.62362</t>
  </si>
  <si>
    <t>905-602-5889</t>
  </si>
  <si>
    <t>L4W 5K1</t>
  </si>
  <si>
    <t>43.62993</t>
  </si>
  <si>
    <t>-79.55195</t>
  </si>
  <si>
    <t>M9B 3Y8</t>
  </si>
  <si>
    <t>43.6694475</t>
  </si>
  <si>
    <t>-79.4700725</t>
  </si>
  <si>
    <t>416-766-1577</t>
  </si>
  <si>
    <t>M6N 5G8</t>
  </si>
  <si>
    <t>43.6230371052632</t>
  </si>
  <si>
    <t>-79.5691739473684</t>
  </si>
  <si>
    <t>905-279-4392</t>
  </si>
  <si>
    <t>L4X 2X8</t>
  </si>
  <si>
    <t>43.6700824</t>
  </si>
  <si>
    <t>-79.4664952</t>
  </si>
  <si>
    <t>416-762-2816</t>
  </si>
  <si>
    <t>M6N 3E2</t>
  </si>
  <si>
    <t>43.65126</t>
  </si>
  <si>
    <t>-79.36401</t>
  </si>
  <si>
    <t>416-368-3331</t>
  </si>
  <si>
    <t>M5A 1E9</t>
  </si>
  <si>
    <t>43.6496261538462</t>
  </si>
  <si>
    <t>-79.3780784615385</t>
  </si>
  <si>
    <t>416-203-3525</t>
  </si>
  <si>
    <t>M5C 1S8</t>
  </si>
  <si>
    <t>43.6532061538462</t>
  </si>
  <si>
    <t>-79.3874469230769</t>
  </si>
  <si>
    <t>416-598-4818</t>
  </si>
  <si>
    <t>M5G 2J5</t>
  </si>
  <si>
    <t>43.6395682758621</t>
  </si>
  <si>
    <t>-79.4275837931034</t>
  </si>
  <si>
    <t>M6A 3A1</t>
  </si>
  <si>
    <t>43.6796533333333</t>
  </si>
  <si>
    <t>-79.3906066666667</t>
  </si>
  <si>
    <t>416-961-4949</t>
  </si>
  <si>
    <t>M4W 2L8</t>
  </si>
  <si>
    <t>43.69088</t>
  </si>
  <si>
    <t>-79.2898</t>
  </si>
  <si>
    <t>416-686-4711</t>
  </si>
  <si>
    <t>M4C 1M9</t>
  </si>
  <si>
    <t>43.7110257</t>
  </si>
  <si>
    <t>-79.3772455</t>
  </si>
  <si>
    <t>416-696-0043</t>
  </si>
  <si>
    <t>M4P 3A1</t>
  </si>
  <si>
    <t>43.7096685185185</t>
  </si>
  <si>
    <t>-79.398972962963</t>
  </si>
  <si>
    <t>416-489-4726</t>
  </si>
  <si>
    <t>M4P 2H4</t>
  </si>
  <si>
    <t>43.7292761</t>
  </si>
  <si>
    <t>-79.2841259</t>
  </si>
  <si>
    <t>416-752-1091</t>
  </si>
  <si>
    <t>M1L 2M6</t>
  </si>
  <si>
    <t>43.52236625</t>
  </si>
  <si>
    <t>-79.6810634375</t>
  </si>
  <si>
    <t>905-829-1960</t>
  </si>
  <si>
    <t>L6H 6J5</t>
  </si>
  <si>
    <t>43.3568097209952</t>
  </si>
  <si>
    <t>-79.808176898632</t>
  </si>
  <si>
    <t>905-332-1071</t>
  </si>
  <si>
    <t>L7M 4X7</t>
  </si>
  <si>
    <t>43.5803964962338</t>
  </si>
  <si>
    <t>-79.6468598538234</t>
  </si>
  <si>
    <t>905-306-7888</t>
  </si>
  <si>
    <t>L5B 4M6</t>
  </si>
  <si>
    <t>43.3357729032258</t>
  </si>
  <si>
    <t>-79.8128403225806</t>
  </si>
  <si>
    <t>905-637-1422</t>
  </si>
  <si>
    <t>L7S 2K4</t>
  </si>
  <si>
    <t>43.60992</t>
  </si>
  <si>
    <t>-79.69273</t>
  </si>
  <si>
    <t>905-813-3134</t>
  </si>
  <si>
    <t>L5V 2P5</t>
  </si>
  <si>
    <t>43.60798</t>
  </si>
  <si>
    <t>-79.72949</t>
  </si>
  <si>
    <t>905-785-0864</t>
  </si>
  <si>
    <t>L5N 8E1</t>
  </si>
  <si>
    <t>43.5417045</t>
  </si>
  <si>
    <t>-79.8713099</t>
  </si>
  <si>
    <t>905-878-2434</t>
  </si>
  <si>
    <t>L9T 6R1</t>
  </si>
  <si>
    <t>43.22544</t>
  </si>
  <si>
    <t>-79.95532</t>
  </si>
  <si>
    <t>905-648-6047</t>
  </si>
  <si>
    <t>L9K 1L6</t>
  </si>
  <si>
    <t>43.22704</t>
  </si>
  <si>
    <t>-79.94467</t>
  </si>
  <si>
    <t>905-304-7624</t>
  </si>
  <si>
    <t>L9K 1J9</t>
  </si>
  <si>
    <t>43.1693666109149</t>
  </si>
  <si>
    <t>-80.2479792495133</t>
  </si>
  <si>
    <t>519-752-3367</t>
  </si>
  <si>
    <t>N3R 7C5</t>
  </si>
  <si>
    <t>43.3179275</t>
  </si>
  <si>
    <t>-79.9109525</t>
  </si>
  <si>
    <t>905-689-0271</t>
  </si>
  <si>
    <t>L0R 2H1</t>
  </si>
  <si>
    <t>43.21863</t>
  </si>
  <si>
    <t>-79.86401</t>
  </si>
  <si>
    <t>905-383-7913</t>
  </si>
  <si>
    <t>L9A 4V8</t>
  </si>
  <si>
    <t>43.2497988888889</t>
  </si>
  <si>
    <t>-79.8086933333333</t>
  </si>
  <si>
    <t>L8H 2V4</t>
  </si>
  <si>
    <t>43.1763769718819</t>
  </si>
  <si>
    <t>-79.7903986495485</t>
  </si>
  <si>
    <t>905-692-7215</t>
  </si>
  <si>
    <t>L0R 1P0</t>
  </si>
  <si>
    <t>43.23714</t>
  </si>
  <si>
    <t>-79.7616175</t>
  </si>
  <si>
    <t>905-578-3573</t>
  </si>
  <si>
    <t>L8E 2W7</t>
  </si>
  <si>
    <t>43.01479</t>
  </si>
  <si>
    <t>-79.24987</t>
  </si>
  <si>
    <t>905-714-7607</t>
  </si>
  <si>
    <t>L3C 5Z4</t>
  </si>
  <si>
    <t>43.11939</t>
  </si>
  <si>
    <t>-79.26929</t>
  </si>
  <si>
    <t>905-378-0333</t>
  </si>
  <si>
    <t>L2S 0C7</t>
  </si>
  <si>
    <t>43.1792340662616</t>
  </si>
  <si>
    <t>-79.2488582576566</t>
  </si>
  <si>
    <t>905-937-4292</t>
  </si>
  <si>
    <t>L2N 7R6</t>
  </si>
  <si>
    <t>43.1041398492462</t>
  </si>
  <si>
    <t>-79.1139305527638</t>
  </si>
  <si>
    <t>905-358-0650</t>
  </si>
  <si>
    <t>L2E 7K5</t>
  </si>
  <si>
    <t>42.90886</t>
  </si>
  <si>
    <t>-78.76198</t>
  </si>
  <si>
    <t>716-681-5406</t>
  </si>
  <si>
    <t>14225</t>
  </si>
  <si>
    <t>42.8461</t>
  </si>
  <si>
    <t>-80.30788</t>
  </si>
  <si>
    <t>519-426-4060</t>
  </si>
  <si>
    <t>N3Y 2M7</t>
  </si>
  <si>
    <t>42.86217</t>
  </si>
  <si>
    <t>-80.72937</t>
  </si>
  <si>
    <t>519-688-2196</t>
  </si>
  <si>
    <t>N4G 5A7</t>
  </si>
  <si>
    <t>43.39061</t>
  </si>
  <si>
    <t>-80.32256</t>
  </si>
  <si>
    <t>N1R 6B3</t>
  </si>
  <si>
    <t>43.40852</t>
  </si>
  <si>
    <t>-80.32515</t>
  </si>
  <si>
    <t>519-622-5280</t>
  </si>
  <si>
    <t>N1R 8K5</t>
  </si>
  <si>
    <t>43.42442</t>
  </si>
  <si>
    <t>-80.44121</t>
  </si>
  <si>
    <t>N2C 1X1</t>
  </si>
  <si>
    <t>43.4243164273263</t>
  </si>
  <si>
    <t>-80.4892616533735</t>
  </si>
  <si>
    <t>519-571-7420</t>
  </si>
  <si>
    <t>N2E 3W7</t>
  </si>
  <si>
    <t>43.5659664168708</t>
  </si>
  <si>
    <t>-80.2761626391892</t>
  </si>
  <si>
    <t>519-822-2344</t>
  </si>
  <si>
    <t>N1H 1G7</t>
  </si>
  <si>
    <t>43.51797</t>
  </si>
  <si>
    <t>-80.23639</t>
  </si>
  <si>
    <t>519-763-4205</t>
  </si>
  <si>
    <t>N1G 4V9</t>
  </si>
  <si>
    <t>43.1158086046512</t>
  </si>
  <si>
    <t>-80.7378265116279</t>
  </si>
  <si>
    <t>519-421-3202</t>
  </si>
  <si>
    <t>N4S 9A2</t>
  </si>
  <si>
    <t>43.00526</t>
  </si>
  <si>
    <t>-81.17402</t>
  </si>
  <si>
    <t>519-659-3428</t>
  </si>
  <si>
    <t>N5V 1P7</t>
  </si>
  <si>
    <t>42.936906337748</t>
  </si>
  <si>
    <t>-81.2809181670529</t>
  </si>
  <si>
    <t>519-690-2049</t>
  </si>
  <si>
    <t>N6L 1A6</t>
  </si>
  <si>
    <t>42.93354</t>
  </si>
  <si>
    <t>-81.22307</t>
  </si>
  <si>
    <t>519-686-2160</t>
  </si>
  <si>
    <t>N6E 1M2</t>
  </si>
  <si>
    <t>42.77878</t>
  </si>
  <si>
    <t>-81.1723</t>
  </si>
  <si>
    <t>519-631-1810</t>
  </si>
  <si>
    <t>N5P 1G4</t>
  </si>
  <si>
    <t>42.96328</t>
  </si>
  <si>
    <t>-81.23147</t>
  </si>
  <si>
    <t>519-645-7042</t>
  </si>
  <si>
    <t>N6C 4P6</t>
  </si>
  <si>
    <t>43.01705</t>
  </si>
  <si>
    <t>-81.27336</t>
  </si>
  <si>
    <t>N6G 3Y9</t>
  </si>
  <si>
    <t>43.0277044897959</t>
  </si>
  <si>
    <t>-81.2831842857143</t>
  </si>
  <si>
    <t>519-661-0888</t>
  </si>
  <si>
    <t>N5X 3Y2</t>
  </si>
  <si>
    <t>43.03662</t>
  </si>
  <si>
    <t>-81.28786</t>
  </si>
  <si>
    <t>519-963-8494</t>
  </si>
  <si>
    <t>42.9470654794521</t>
  </si>
  <si>
    <t>-81.6128139726027</t>
  </si>
  <si>
    <t>519-245-5665</t>
  </si>
  <si>
    <t>N7G 2P5</t>
  </si>
  <si>
    <t>42.98041</t>
  </si>
  <si>
    <t>-82.35197</t>
  </si>
  <si>
    <t>519-542-4461</t>
  </si>
  <si>
    <t>N7S 1P6</t>
  </si>
  <si>
    <t>519-542-3639</t>
  </si>
  <si>
    <t>42.4294472916667</t>
  </si>
  <si>
    <t>-82.2177283333333</t>
  </si>
  <si>
    <t>519-360-1344</t>
  </si>
  <si>
    <t>N7L 0E8</t>
  </si>
  <si>
    <t>42.0337584782609</t>
  </si>
  <si>
    <t>-82.5972702173913</t>
  </si>
  <si>
    <t>519-324-1370</t>
  </si>
  <si>
    <t>N8H 2L2</t>
  </si>
  <si>
    <t>42.2549034080717</t>
  </si>
  <si>
    <t>-82.9641382959641</t>
  </si>
  <si>
    <t>519-972-5127</t>
  </si>
  <si>
    <t>N8W 3T6</t>
  </si>
  <si>
    <t>42.2851328123105</t>
  </si>
  <si>
    <t>-83.0182925347012</t>
  </si>
  <si>
    <t>519-966-9495</t>
  </si>
  <si>
    <t>N8X 1L7</t>
  </si>
  <si>
    <t>42.31242</t>
  </si>
  <si>
    <t>-82.94135</t>
  </si>
  <si>
    <t>519-948-1283</t>
  </si>
  <si>
    <t>N8T 1E6</t>
  </si>
  <si>
    <t>44.57018</t>
  </si>
  <si>
    <t>-80.92203</t>
  </si>
  <si>
    <t>519-372-2228</t>
  </si>
  <si>
    <t>N4K 5S2</t>
  </si>
  <si>
    <t>44.3378780769231</t>
  </si>
  <si>
    <t>-79.68763</t>
  </si>
  <si>
    <t>705-733-3329</t>
  </si>
  <si>
    <t>L4N 8V4</t>
  </si>
  <si>
    <t>44.4170117391304</t>
  </si>
  <si>
    <t>-79.7142417391304</t>
  </si>
  <si>
    <t>705-735-4058</t>
  </si>
  <si>
    <t>L4M 4Z9</t>
  </si>
  <si>
    <t>44.148355</t>
  </si>
  <si>
    <t>-79.882015</t>
  </si>
  <si>
    <t>705-434-4992</t>
  </si>
  <si>
    <t>L9R 1P8</t>
  </si>
  <si>
    <t>44.34876</t>
  </si>
  <si>
    <t>-78.76655</t>
  </si>
  <si>
    <t>705-328-3427</t>
  </si>
  <si>
    <t>K9V 2Z7</t>
  </si>
  <si>
    <t>44.2896633333333</t>
  </si>
  <si>
    <t>-78.3234533333333</t>
  </si>
  <si>
    <t>705-741-1130</t>
  </si>
  <si>
    <t>K9J 3R8</t>
  </si>
  <si>
    <t>44.28143</t>
  </si>
  <si>
    <t>-78.34724</t>
  </si>
  <si>
    <t>705-741-2081</t>
  </si>
  <si>
    <t>K9J 7M2</t>
  </si>
  <si>
    <t>45.1327560185777</t>
  </si>
  <si>
    <t>-76.1207543897624</t>
  </si>
  <si>
    <t>613-253-2400</t>
  </si>
  <si>
    <t>K7C 0A8</t>
  </si>
  <si>
    <t>44.6166</t>
  </si>
  <si>
    <t>-79.44411</t>
  </si>
  <si>
    <t>705-329-3074</t>
  </si>
  <si>
    <t>L3V 0B5</t>
  </si>
  <si>
    <t>[ "Staples Canada", 44.6166, -79.44411, '705-329-3074', 'L3V 0B5'],</t>
  </si>
  <si>
    <t>45.0435187961326</t>
  </si>
  <si>
    <t>-79.3305916592164</t>
  </si>
  <si>
    <t>705-646-2775</t>
  </si>
  <si>
    <t>P1L 1X3</t>
  </si>
  <si>
    <t>[ "Staples", 45.0435187961326, -79.3305916592164, '705-646-2775', 'P1L 1X3'],</t>
  </si>
  <si>
    <t>45.33458</t>
  </si>
  <si>
    <t>-79.20537</t>
  </si>
  <si>
    <t>705-789-5817</t>
  </si>
  <si>
    <t>P1H 1G6</t>
  </si>
  <si>
    <t>[ "Staples", 45.33458, -79.20537, '705-789-5817', 'P1H 1G6'],</t>
  </si>
  <si>
    <t>46.31296</t>
  </si>
  <si>
    <t>-79.44285</t>
  </si>
  <si>
    <t>705-472-2126</t>
  </si>
  <si>
    <t>P1B 2H3</t>
  </si>
  <si>
    <t>[ "Best Buy Canada", 46.31296, -79.44285, '705-472-2126', 'P1B 2H3'],</t>
  </si>
  <si>
    <t>46.33246</t>
  </si>
  <si>
    <t>-79.46608</t>
  </si>
  <si>
    <t>705-472-7223</t>
  </si>
  <si>
    <t>P1B 4Y8</t>
  </si>
  <si>
    <t>[ "Staples", 46.33246, -79.46608, '705-472-7223', 'P1B 4Y8'],</t>
  </si>
  <si>
    <t>46.5050268639053</t>
  </si>
  <si>
    <t>-80.9460298816568</t>
  </si>
  <si>
    <t>705-524-6227</t>
  </si>
  <si>
    <t>P3B 0A2</t>
  </si>
  <si>
    <t>[ "Staples", 46.5050268639053, -80.9460298816568, '705-524-6227', 'P3B 0A2'],</t>
  </si>
  <si>
    <t>46.5361208793104</t>
  </si>
  <si>
    <t>-84.3188181318782</t>
  </si>
  <si>
    <t>705-256-1466</t>
  </si>
  <si>
    <t>P6B 4Z8</t>
  </si>
  <si>
    <t>[ "Staples", 46.5361208793104, -84.3188181318782, '705-256-1466', 'P6B 4Z8'],</t>
  </si>
  <si>
    <t>46.54303</t>
  </si>
  <si>
    <t>-84.31917</t>
  </si>
  <si>
    <t>705-942-0722</t>
  </si>
  <si>
    <t>P6B 4Z9</t>
  </si>
  <si>
    <t>[ "Best Buy Canada", 46.54303, -84.31917, '705-942-0722', 'P6B 4Z9'],</t>
  </si>
  <si>
    <t>48.4135605</t>
  </si>
  <si>
    <t>-89.243708</t>
  </si>
  <si>
    <t>807-343-2506</t>
  </si>
  <si>
    <t>P7B 3Z7</t>
  </si>
  <si>
    <t>[ "Staples", 48.4135605, -89.243708, '807-343-2506', 'P7B 3Z7'],</t>
  </si>
  <si>
    <t>48.4725132307692</t>
  </si>
  <si>
    <t>-81.3808703076923</t>
  </si>
  <si>
    <t>705-360-4200</t>
  </si>
  <si>
    <t>P4R 1M8</t>
  </si>
  <si>
    <t>[ "Staples", 48.4725132307692, -81.3808703076923, '705-360-4200', 'P4R 1M8'],</t>
  </si>
  <si>
    <t>48.4725115789474</t>
  </si>
  <si>
    <t>-81.3782257894737</t>
  </si>
  <si>
    <t>705-268-9111</t>
  </si>
  <si>
    <t>P4R 1A5</t>
  </si>
  <si>
    <t>[ "Best Buy Canada", 48.4725115789474, -81.3782257894737, '705-268-9111', 'P4R 1A5'],</t>
  </si>
  <si>
    <t>45.0287936</t>
  </si>
  <si>
    <t>-74.7346015</t>
  </si>
  <si>
    <t>613-936-6952</t>
  </si>
  <si>
    <t>K6H 6R3</t>
  </si>
  <si>
    <t>[ "Staples", 45.0287936, -74.7346015, '613-936-6952', 'K6H 6R3'],</t>
  </si>
  <si>
    <t>45.4536775966727</t>
  </si>
  <si>
    <t>-75.5036228822974</t>
  </si>
  <si>
    <t>613-830-2706</t>
  </si>
  <si>
    <t>K4A 0G2</t>
  </si>
  <si>
    <t>[ "Best Buy Canada", 45.4536775966727, -75.5036228822974, '613-830-2706', 'K4A 0G2'],</t>
  </si>
  <si>
    <t>45.458575</t>
  </si>
  <si>
    <t>-75.4846337</t>
  </si>
  <si>
    <t>613-830-8100</t>
  </si>
  <si>
    <t>K4A 4C5</t>
  </si>
  <si>
    <t>[ "Staples", 45.458575, -75.4846337, '613-830-8100', 'K4A 4C5'],</t>
  </si>
  <si>
    <t>45.48038</t>
  </si>
  <si>
    <t>-75.51368</t>
  </si>
  <si>
    <t>K1C 2L9</t>
  </si>
  <si>
    <t>[ "Best Buy", 45.48038, -75.51368, '--', 'K1C 2L9'],</t>
  </si>
  <si>
    <t>45.4290385029338</t>
  </si>
  <si>
    <t>-75.637466705784</t>
  </si>
  <si>
    <t>613-741-3416</t>
  </si>
  <si>
    <t>K1K 4E6</t>
  </si>
  <si>
    <t>[ "Staples", 45.4290385029338, -75.637466705784, '613-741-3416', 'K1K 4E6'],</t>
  </si>
  <si>
    <t>45.4794422416612</t>
  </si>
  <si>
    <t>-75.6892402711587</t>
  </si>
  <si>
    <t>819-966-2222</t>
  </si>
  <si>
    <t>J8T 3R6</t>
  </si>
  <si>
    <t>[ "Best Buy", 45.4794422416612, -75.6892402711587, '819-966-2222', 'J8T 3R6'],</t>
  </si>
  <si>
    <t xml:space="preserve">                    ['Salvation Army (Moodie Drive)', 45.3256352, -75.8381915, '613-726-8891', 'K2H 9G1'],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</si>
</sst>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162"/>
  <sheetViews>
    <sheetView workbookViewId="0">
      <selection activeCell="D6" sqref="D6"/>
    </sheetView>
  </sheetViews>
  <sheetFormatPr baseColWidth="10" defaultRowHeight="16" x14ac:dyDescent="0.2"/>
  <cols>
    <col min="1" max="1" width="40.1640625" customWidth="1"/>
    <col min="7" max="7" width="72.1640625" customWidth="1"/>
  </cols>
  <sheetData>
    <row r="2" spans="1:9" x14ac:dyDescent="0.2">
      <c r="A2" t="s">
        <v>8</v>
      </c>
      <c r="B2" t="s">
        <v>1706</v>
      </c>
      <c r="C2" t="s">
        <v>1707</v>
      </c>
      <c r="D2" t="s">
        <v>1708</v>
      </c>
      <c r="E2" t="s">
        <v>1709</v>
      </c>
      <c r="F2" t="s">
        <v>1710</v>
      </c>
      <c r="G2" t="s">
        <v>936</v>
      </c>
      <c r="I2" t="s">
        <v>1704</v>
      </c>
    </row>
    <row r="3" spans="1:9" x14ac:dyDescent="0.2">
      <c r="A3" t="s">
        <v>12</v>
      </c>
      <c r="B3" t="s">
        <v>1711</v>
      </c>
      <c r="C3" t="s">
        <v>1712</v>
      </c>
      <c r="D3" t="s">
        <v>1713</v>
      </c>
      <c r="E3" t="s">
        <v>1714</v>
      </c>
      <c r="F3" t="s">
        <v>1715</v>
      </c>
      <c r="G3" t="s">
        <v>940</v>
      </c>
      <c r="I3" t="s">
        <v>1671</v>
      </c>
    </row>
    <row r="4" spans="1:9" x14ac:dyDescent="0.2">
      <c r="A4" t="s">
        <v>22</v>
      </c>
      <c r="B4" t="s">
        <v>1711</v>
      </c>
      <c r="C4" t="s">
        <v>1716</v>
      </c>
      <c r="D4" t="s">
        <v>1717</v>
      </c>
      <c r="E4" t="s">
        <v>1718</v>
      </c>
      <c r="F4" t="s">
        <v>1719</v>
      </c>
      <c r="G4" t="s">
        <v>950</v>
      </c>
      <c r="I4" t="s">
        <v>1672</v>
      </c>
    </row>
    <row r="5" spans="1:9" x14ac:dyDescent="0.2">
      <c r="A5" t="s">
        <v>27</v>
      </c>
      <c r="B5" t="s">
        <v>1711</v>
      </c>
      <c r="C5" t="s">
        <v>1720</v>
      </c>
      <c r="D5" t="s">
        <v>1721</v>
      </c>
      <c r="E5" t="s">
        <v>1722</v>
      </c>
      <c r="F5" t="s">
        <v>1723</v>
      </c>
      <c r="G5" t="s">
        <v>955</v>
      </c>
      <c r="I5" t="s">
        <v>1673</v>
      </c>
    </row>
    <row r="6" spans="1:9" x14ac:dyDescent="0.2">
      <c r="A6" t="s">
        <v>29</v>
      </c>
      <c r="B6" t="s">
        <v>1711</v>
      </c>
      <c r="C6" t="s">
        <v>1724</v>
      </c>
      <c r="D6" t="s">
        <v>1725</v>
      </c>
      <c r="E6" t="s">
        <v>1726</v>
      </c>
      <c r="F6" t="s">
        <v>1727</v>
      </c>
      <c r="G6" t="s">
        <v>957</v>
      </c>
      <c r="I6" t="s">
        <v>1674</v>
      </c>
    </row>
    <row r="7" spans="1:9" x14ac:dyDescent="0.2">
      <c r="A7" t="s">
        <v>31</v>
      </c>
      <c r="B7" t="s">
        <v>1728</v>
      </c>
      <c r="C7" t="s">
        <v>1729</v>
      </c>
      <c r="D7" t="s">
        <v>1730</v>
      </c>
      <c r="E7" t="s">
        <v>1731</v>
      </c>
      <c r="F7" t="s">
        <v>1732</v>
      </c>
      <c r="G7" t="s">
        <v>959</v>
      </c>
      <c r="I7" t="s">
        <v>1675</v>
      </c>
    </row>
    <row r="8" spans="1:9" x14ac:dyDescent="0.2">
      <c r="A8" t="s">
        <v>37</v>
      </c>
      <c r="B8" t="s">
        <v>1711</v>
      </c>
      <c r="C8" t="s">
        <v>1733</v>
      </c>
      <c r="D8" t="s">
        <v>1734</v>
      </c>
      <c r="E8" t="s">
        <v>1735</v>
      </c>
      <c r="F8" t="s">
        <v>1736</v>
      </c>
      <c r="G8" t="s">
        <v>969</v>
      </c>
      <c r="I8" t="s">
        <v>1676</v>
      </c>
    </row>
    <row r="9" spans="1:9" x14ac:dyDescent="0.2">
      <c r="A9" t="s">
        <v>47</v>
      </c>
      <c r="B9" t="s">
        <v>1711</v>
      </c>
      <c r="C9" t="s">
        <v>1737</v>
      </c>
      <c r="D9" t="s">
        <v>1738</v>
      </c>
      <c r="E9" t="s">
        <v>1739</v>
      </c>
      <c r="F9" t="s">
        <v>1740</v>
      </c>
      <c r="G9" t="s">
        <v>979</v>
      </c>
      <c r="I9" t="s">
        <v>1677</v>
      </c>
    </row>
    <row r="10" spans="1:9" x14ac:dyDescent="0.2">
      <c r="A10" t="s">
        <v>61</v>
      </c>
      <c r="B10" t="s">
        <v>1711</v>
      </c>
      <c r="C10" t="s">
        <v>1712</v>
      </c>
      <c r="D10" t="s">
        <v>1713</v>
      </c>
      <c r="E10" t="s">
        <v>1714</v>
      </c>
      <c r="F10" t="s">
        <v>1715</v>
      </c>
      <c r="G10" t="s">
        <v>940</v>
      </c>
      <c r="I10" t="s">
        <v>1678</v>
      </c>
    </row>
    <row r="11" spans="1:9" x14ac:dyDescent="0.2">
      <c r="A11" t="s">
        <v>63</v>
      </c>
      <c r="B11" t="s">
        <v>1711</v>
      </c>
      <c r="C11" t="s">
        <v>1733</v>
      </c>
      <c r="D11" t="s">
        <v>1734</v>
      </c>
      <c r="E11" t="s">
        <v>1735</v>
      </c>
      <c r="F11" t="s">
        <v>1736</v>
      </c>
      <c r="G11" t="s">
        <v>969</v>
      </c>
      <c r="I11" t="s">
        <v>1679</v>
      </c>
    </row>
    <row r="12" spans="1:9" x14ac:dyDescent="0.2">
      <c r="A12" t="s">
        <v>66</v>
      </c>
      <c r="B12" t="s">
        <v>1711</v>
      </c>
      <c r="C12" t="s">
        <v>1741</v>
      </c>
      <c r="D12" t="s">
        <v>1742</v>
      </c>
      <c r="E12" t="s">
        <v>1743</v>
      </c>
      <c r="F12" t="s">
        <v>1744</v>
      </c>
      <c r="G12" t="s">
        <v>986</v>
      </c>
      <c r="I12" t="s">
        <v>1680</v>
      </c>
    </row>
    <row r="13" spans="1:9" x14ac:dyDescent="0.2">
      <c r="A13" t="s">
        <v>68</v>
      </c>
      <c r="B13" t="s">
        <v>1706</v>
      </c>
      <c r="C13" t="s">
        <v>1707</v>
      </c>
      <c r="D13" t="s">
        <v>1708</v>
      </c>
      <c r="E13" t="s">
        <v>1709</v>
      </c>
      <c r="F13" t="s">
        <v>1710</v>
      </c>
      <c r="G13" t="s">
        <v>936</v>
      </c>
      <c r="I13" t="s">
        <v>1681</v>
      </c>
    </row>
    <row r="14" spans="1:9" x14ac:dyDescent="0.2">
      <c r="A14" t="s">
        <v>82</v>
      </c>
      <c r="B14" t="s">
        <v>1711</v>
      </c>
      <c r="C14" t="s">
        <v>1745</v>
      </c>
      <c r="D14" t="s">
        <v>1746</v>
      </c>
      <c r="E14" t="s">
        <v>1747</v>
      </c>
      <c r="F14" t="s">
        <v>1748</v>
      </c>
      <c r="G14" t="s">
        <v>994</v>
      </c>
      <c r="I14" t="s">
        <v>1682</v>
      </c>
    </row>
    <row r="15" spans="1:9" x14ac:dyDescent="0.2">
      <c r="A15" t="s">
        <v>90</v>
      </c>
      <c r="B15" t="s">
        <v>1711</v>
      </c>
      <c r="C15" t="s">
        <v>1749</v>
      </c>
      <c r="D15" t="s">
        <v>1750</v>
      </c>
      <c r="E15" t="s">
        <v>1751</v>
      </c>
      <c r="F15" t="s">
        <v>1752</v>
      </c>
      <c r="G15" t="s">
        <v>1001</v>
      </c>
      <c r="I15" t="s">
        <v>1683</v>
      </c>
    </row>
    <row r="16" spans="1:9" x14ac:dyDescent="0.2">
      <c r="A16" t="s">
        <v>98</v>
      </c>
      <c r="B16" t="s">
        <v>1711</v>
      </c>
      <c r="C16" t="s">
        <v>1753</v>
      </c>
      <c r="D16" t="s">
        <v>1754</v>
      </c>
      <c r="E16" t="s">
        <v>1755</v>
      </c>
      <c r="F16" t="s">
        <v>1756</v>
      </c>
      <c r="G16" t="s">
        <v>1009</v>
      </c>
      <c r="I16" t="s">
        <v>1684</v>
      </c>
    </row>
    <row r="17" spans="1:9" x14ac:dyDescent="0.2">
      <c r="A17" t="s">
        <v>108</v>
      </c>
      <c r="B17" t="s">
        <v>1711</v>
      </c>
      <c r="C17" t="s">
        <v>1757</v>
      </c>
      <c r="D17" t="s">
        <v>1758</v>
      </c>
      <c r="E17" t="s">
        <v>1759</v>
      </c>
      <c r="F17" t="s">
        <v>1760</v>
      </c>
      <c r="G17" t="s">
        <v>1018</v>
      </c>
      <c r="I17" t="s">
        <v>1685</v>
      </c>
    </row>
    <row r="18" spans="1:9" x14ac:dyDescent="0.2">
      <c r="A18" t="s">
        <v>118</v>
      </c>
      <c r="B18" t="s">
        <v>1711</v>
      </c>
      <c r="C18" t="s">
        <v>1761</v>
      </c>
      <c r="D18" t="s">
        <v>1762</v>
      </c>
      <c r="E18" t="s">
        <v>1763</v>
      </c>
      <c r="F18" t="s">
        <v>1764</v>
      </c>
      <c r="G18" t="s">
        <v>1027</v>
      </c>
      <c r="I18" t="s">
        <v>2195</v>
      </c>
    </row>
    <row r="19" spans="1:9" x14ac:dyDescent="0.2">
      <c r="A19" t="s">
        <v>119</v>
      </c>
      <c r="B19" t="s">
        <v>1711</v>
      </c>
      <c r="C19" t="s">
        <v>1765</v>
      </c>
      <c r="D19" t="s">
        <v>1766</v>
      </c>
      <c r="E19" t="s">
        <v>1767</v>
      </c>
      <c r="F19" t="s">
        <v>1768</v>
      </c>
      <c r="G19" t="s">
        <v>1028</v>
      </c>
      <c r="I19" t="s">
        <v>1688</v>
      </c>
    </row>
    <row r="20" spans="1:9" x14ac:dyDescent="0.2">
      <c r="A20" t="s">
        <v>122</v>
      </c>
      <c r="B20" t="s">
        <v>1711</v>
      </c>
      <c r="C20" t="s">
        <v>1769</v>
      </c>
      <c r="D20" t="s">
        <v>1770</v>
      </c>
      <c r="E20" t="s">
        <v>1731</v>
      </c>
      <c r="F20" t="s">
        <v>1771</v>
      </c>
      <c r="G20" t="s">
        <v>1030</v>
      </c>
      <c r="I20" t="s">
        <v>1689</v>
      </c>
    </row>
    <row r="21" spans="1:9" x14ac:dyDescent="0.2">
      <c r="A21" t="s">
        <v>130</v>
      </c>
      <c r="B21" t="s">
        <v>1711</v>
      </c>
      <c r="C21" t="s">
        <v>1772</v>
      </c>
      <c r="D21" t="s">
        <v>1773</v>
      </c>
      <c r="E21" t="s">
        <v>1774</v>
      </c>
      <c r="F21" t="s">
        <v>1775</v>
      </c>
      <c r="G21" t="s">
        <v>1038</v>
      </c>
      <c r="I21" t="s">
        <v>1690</v>
      </c>
    </row>
    <row r="22" spans="1:9" x14ac:dyDescent="0.2">
      <c r="A22" t="s">
        <v>137</v>
      </c>
      <c r="B22" t="s">
        <v>1711</v>
      </c>
      <c r="C22" t="s">
        <v>1776</v>
      </c>
      <c r="D22" t="s">
        <v>1777</v>
      </c>
      <c r="E22" t="s">
        <v>1778</v>
      </c>
      <c r="F22" t="s">
        <v>1779</v>
      </c>
      <c r="G22" t="s">
        <v>1045</v>
      </c>
      <c r="I22" t="s">
        <v>1691</v>
      </c>
    </row>
    <row r="23" spans="1:9" x14ac:dyDescent="0.2">
      <c r="A23" t="s">
        <v>139</v>
      </c>
      <c r="B23" t="s">
        <v>1711</v>
      </c>
      <c r="C23" t="s">
        <v>1780</v>
      </c>
      <c r="D23" t="s">
        <v>1781</v>
      </c>
      <c r="E23" t="s">
        <v>1782</v>
      </c>
      <c r="F23" t="s">
        <v>1783</v>
      </c>
      <c r="G23" t="s">
        <v>1047</v>
      </c>
      <c r="I23" t="s">
        <v>1692</v>
      </c>
    </row>
    <row r="24" spans="1:9" x14ac:dyDescent="0.2">
      <c r="A24" t="s">
        <v>146</v>
      </c>
      <c r="B24" t="s">
        <v>1711</v>
      </c>
      <c r="C24" t="s">
        <v>1765</v>
      </c>
      <c r="D24" t="s">
        <v>1766</v>
      </c>
      <c r="E24" t="s">
        <v>1767</v>
      </c>
      <c r="F24" t="s">
        <v>1768</v>
      </c>
      <c r="G24" t="s">
        <v>1028</v>
      </c>
      <c r="I24" t="s">
        <v>1693</v>
      </c>
    </row>
    <row r="25" spans="1:9" x14ac:dyDescent="0.2">
      <c r="A25" t="s">
        <v>147</v>
      </c>
      <c r="B25" t="s">
        <v>1711</v>
      </c>
      <c r="C25" t="s">
        <v>1784</v>
      </c>
      <c r="D25" t="s">
        <v>1785</v>
      </c>
      <c r="E25" t="s">
        <v>1786</v>
      </c>
      <c r="F25" t="s">
        <v>1787</v>
      </c>
      <c r="G25" t="s">
        <v>1054</v>
      </c>
      <c r="I25" t="s">
        <v>1694</v>
      </c>
    </row>
    <row r="26" spans="1:9" x14ac:dyDescent="0.2">
      <c r="A26" t="s">
        <v>148</v>
      </c>
      <c r="B26" t="s">
        <v>1728</v>
      </c>
      <c r="C26" t="s">
        <v>1788</v>
      </c>
      <c r="D26" t="s">
        <v>1789</v>
      </c>
      <c r="E26" t="s">
        <v>1731</v>
      </c>
      <c r="F26" t="s">
        <v>1790</v>
      </c>
      <c r="G26" t="s">
        <v>1055</v>
      </c>
      <c r="I26" t="s">
        <v>1695</v>
      </c>
    </row>
    <row r="27" spans="1:9" x14ac:dyDescent="0.2">
      <c r="A27" t="s">
        <v>152</v>
      </c>
      <c r="B27" t="s">
        <v>1728</v>
      </c>
      <c r="C27" t="s">
        <v>1791</v>
      </c>
      <c r="D27" t="s">
        <v>1792</v>
      </c>
      <c r="E27" t="s">
        <v>1731</v>
      </c>
      <c r="F27" t="s">
        <v>1793</v>
      </c>
      <c r="G27" t="s">
        <v>1058</v>
      </c>
      <c r="I27" t="s">
        <v>1697</v>
      </c>
    </row>
    <row r="28" spans="1:9" x14ac:dyDescent="0.2">
      <c r="A28" t="s">
        <v>153</v>
      </c>
      <c r="B28" t="s">
        <v>1711</v>
      </c>
      <c r="C28" t="s">
        <v>1794</v>
      </c>
      <c r="D28" t="s">
        <v>1795</v>
      </c>
      <c r="E28" t="s">
        <v>1796</v>
      </c>
      <c r="F28" t="s">
        <v>1797</v>
      </c>
      <c r="G28" t="s">
        <v>1059</v>
      </c>
      <c r="I28" t="s">
        <v>1698</v>
      </c>
    </row>
    <row r="29" spans="1:9" x14ac:dyDescent="0.2">
      <c r="A29" t="s">
        <v>161</v>
      </c>
      <c r="B29" t="s">
        <v>1711</v>
      </c>
      <c r="C29" t="s">
        <v>1798</v>
      </c>
      <c r="D29" t="s">
        <v>1799</v>
      </c>
      <c r="E29" t="s">
        <v>1800</v>
      </c>
      <c r="F29" t="s">
        <v>1801</v>
      </c>
      <c r="G29" t="s">
        <v>1067</v>
      </c>
      <c r="I29" t="s">
        <v>1699</v>
      </c>
    </row>
    <row r="30" spans="1:9" x14ac:dyDescent="0.2">
      <c r="A30" t="s">
        <v>167</v>
      </c>
      <c r="B30" t="s">
        <v>1802</v>
      </c>
      <c r="C30" t="s">
        <v>1803</v>
      </c>
      <c r="D30" t="s">
        <v>1804</v>
      </c>
      <c r="E30" t="s">
        <v>1805</v>
      </c>
      <c r="F30" t="s">
        <v>1806</v>
      </c>
      <c r="G30" t="s">
        <v>1073</v>
      </c>
      <c r="I30" t="s">
        <v>1700</v>
      </c>
    </row>
    <row r="31" spans="1:9" x14ac:dyDescent="0.2">
      <c r="A31" t="s">
        <v>171</v>
      </c>
      <c r="B31" t="s">
        <v>1711</v>
      </c>
      <c r="C31" t="s">
        <v>1807</v>
      </c>
      <c r="D31" t="s">
        <v>1808</v>
      </c>
      <c r="E31" t="s">
        <v>1809</v>
      </c>
      <c r="F31" t="s">
        <v>1810</v>
      </c>
      <c r="G31" t="s">
        <v>1077</v>
      </c>
      <c r="I31" t="s">
        <v>1701</v>
      </c>
    </row>
    <row r="32" spans="1:9" x14ac:dyDescent="0.2">
      <c r="A32" t="s">
        <v>181</v>
      </c>
      <c r="B32" t="s">
        <v>1728</v>
      </c>
      <c r="C32" t="s">
        <v>1811</v>
      </c>
      <c r="D32" t="s">
        <v>1812</v>
      </c>
      <c r="E32" t="s">
        <v>1731</v>
      </c>
      <c r="F32" t="s">
        <v>1813</v>
      </c>
      <c r="G32" t="s">
        <v>1087</v>
      </c>
      <c r="I32" t="s">
        <v>1702</v>
      </c>
    </row>
    <row r="33" spans="1:9" x14ac:dyDescent="0.2">
      <c r="A33" t="s">
        <v>183</v>
      </c>
      <c r="B33" t="s">
        <v>1728</v>
      </c>
      <c r="C33" t="s">
        <v>1814</v>
      </c>
      <c r="D33" t="s">
        <v>1815</v>
      </c>
      <c r="E33" t="s">
        <v>1731</v>
      </c>
      <c r="F33" t="s">
        <v>1816</v>
      </c>
      <c r="G33" t="s">
        <v>1089</v>
      </c>
      <c r="I33" t="s">
        <v>1705</v>
      </c>
    </row>
    <row r="34" spans="1:9" x14ac:dyDescent="0.2">
      <c r="A34" t="s">
        <v>185</v>
      </c>
      <c r="B34" t="s">
        <v>1711</v>
      </c>
      <c r="C34" t="s">
        <v>1817</v>
      </c>
      <c r="D34" t="s">
        <v>1818</v>
      </c>
      <c r="E34" t="s">
        <v>1819</v>
      </c>
      <c r="F34" t="s">
        <v>1820</v>
      </c>
      <c r="G34" t="s">
        <v>1091</v>
      </c>
    </row>
    <row r="35" spans="1:9" x14ac:dyDescent="0.2">
      <c r="A35" t="s">
        <v>186</v>
      </c>
      <c r="B35" t="s">
        <v>1711</v>
      </c>
      <c r="C35" t="s">
        <v>1821</v>
      </c>
      <c r="D35" t="s">
        <v>1822</v>
      </c>
      <c r="E35" t="s">
        <v>1823</v>
      </c>
      <c r="F35" t="s">
        <v>1824</v>
      </c>
      <c r="G35" t="s">
        <v>1092</v>
      </c>
    </row>
    <row r="36" spans="1:9" x14ac:dyDescent="0.2">
      <c r="A36" t="s">
        <v>190</v>
      </c>
      <c r="B36" t="s">
        <v>1706</v>
      </c>
      <c r="C36" t="s">
        <v>1825</v>
      </c>
      <c r="D36" t="s">
        <v>1826</v>
      </c>
      <c r="E36" t="s">
        <v>1827</v>
      </c>
      <c r="F36" t="s">
        <v>1828</v>
      </c>
      <c r="G36" t="s">
        <v>1096</v>
      </c>
    </row>
    <row r="37" spans="1:9" x14ac:dyDescent="0.2">
      <c r="A37" t="s">
        <v>193</v>
      </c>
      <c r="B37" t="s">
        <v>1711</v>
      </c>
      <c r="C37" t="s">
        <v>1829</v>
      </c>
      <c r="D37" t="s">
        <v>1830</v>
      </c>
      <c r="E37" t="s">
        <v>1831</v>
      </c>
      <c r="F37" t="s">
        <v>1832</v>
      </c>
      <c r="G37" t="s">
        <v>1099</v>
      </c>
    </row>
    <row r="38" spans="1:9" x14ac:dyDescent="0.2">
      <c r="A38" t="s">
        <v>201</v>
      </c>
      <c r="B38" t="s">
        <v>1728</v>
      </c>
      <c r="C38" t="s">
        <v>1833</v>
      </c>
      <c r="D38" t="s">
        <v>1834</v>
      </c>
      <c r="E38" t="s">
        <v>1731</v>
      </c>
      <c r="F38" t="s">
        <v>1835</v>
      </c>
      <c r="G38" t="s">
        <v>1107</v>
      </c>
    </row>
    <row r="39" spans="1:9" x14ac:dyDescent="0.2">
      <c r="A39" t="s">
        <v>210</v>
      </c>
      <c r="B39" t="s">
        <v>1711</v>
      </c>
      <c r="C39" t="s">
        <v>1836</v>
      </c>
      <c r="D39" t="s">
        <v>1837</v>
      </c>
      <c r="E39" t="s">
        <v>1838</v>
      </c>
      <c r="F39" t="s">
        <v>1839</v>
      </c>
      <c r="G39" t="s">
        <v>1116</v>
      </c>
    </row>
    <row r="40" spans="1:9" x14ac:dyDescent="0.2">
      <c r="A40" t="s">
        <v>214</v>
      </c>
      <c r="B40" t="s">
        <v>1840</v>
      </c>
      <c r="C40" t="s">
        <v>1841</v>
      </c>
      <c r="D40" t="s">
        <v>1842</v>
      </c>
      <c r="E40" t="s">
        <v>1843</v>
      </c>
      <c r="F40" t="s">
        <v>1844</v>
      </c>
      <c r="G40" t="s">
        <v>1120</v>
      </c>
    </row>
    <row r="41" spans="1:9" x14ac:dyDescent="0.2">
      <c r="A41" t="s">
        <v>215</v>
      </c>
      <c r="B41" t="s">
        <v>1711</v>
      </c>
      <c r="C41" t="s">
        <v>1845</v>
      </c>
      <c r="D41" t="s">
        <v>1846</v>
      </c>
      <c r="E41" t="s">
        <v>1847</v>
      </c>
      <c r="F41" t="s">
        <v>1848</v>
      </c>
      <c r="G41" t="s">
        <v>1121</v>
      </c>
    </row>
    <row r="42" spans="1:9" x14ac:dyDescent="0.2">
      <c r="A42" t="s">
        <v>220</v>
      </c>
      <c r="B42" t="s">
        <v>1840</v>
      </c>
      <c r="C42" t="s">
        <v>1849</v>
      </c>
      <c r="D42" t="s">
        <v>1850</v>
      </c>
      <c r="E42" t="s">
        <v>1851</v>
      </c>
      <c r="F42" t="s">
        <v>1852</v>
      </c>
      <c r="G42" t="s">
        <v>1126</v>
      </c>
    </row>
    <row r="43" spans="1:9" x14ac:dyDescent="0.2">
      <c r="A43" t="s">
        <v>222</v>
      </c>
      <c r="B43" t="s">
        <v>1711</v>
      </c>
      <c r="C43" t="s">
        <v>1853</v>
      </c>
      <c r="D43" t="s">
        <v>1854</v>
      </c>
      <c r="E43" t="s">
        <v>1855</v>
      </c>
      <c r="F43" t="s">
        <v>1856</v>
      </c>
      <c r="G43" t="s">
        <v>1128</v>
      </c>
    </row>
    <row r="44" spans="1:9" x14ac:dyDescent="0.2">
      <c r="A44" t="s">
        <v>230</v>
      </c>
      <c r="B44" t="s">
        <v>1728</v>
      </c>
      <c r="C44" t="s">
        <v>1857</v>
      </c>
      <c r="D44" t="s">
        <v>1858</v>
      </c>
      <c r="E44" t="s">
        <v>1731</v>
      </c>
      <c r="F44" t="s">
        <v>1859</v>
      </c>
      <c r="G44" t="s">
        <v>1135</v>
      </c>
    </row>
    <row r="45" spans="1:9" x14ac:dyDescent="0.2">
      <c r="A45" t="s">
        <v>237</v>
      </c>
      <c r="B45" t="s">
        <v>1706</v>
      </c>
      <c r="C45" t="s">
        <v>1860</v>
      </c>
      <c r="D45" t="s">
        <v>1861</v>
      </c>
      <c r="E45" t="s">
        <v>1862</v>
      </c>
      <c r="F45" t="s">
        <v>1863</v>
      </c>
      <c r="G45" t="s">
        <v>1142</v>
      </c>
    </row>
    <row r="46" spans="1:9" x14ac:dyDescent="0.2">
      <c r="A46" t="s">
        <v>239</v>
      </c>
      <c r="B46" t="s">
        <v>1711</v>
      </c>
      <c r="C46" t="s">
        <v>1864</v>
      </c>
      <c r="D46" t="s">
        <v>1865</v>
      </c>
      <c r="E46" t="s">
        <v>1866</v>
      </c>
      <c r="F46" t="s">
        <v>1867</v>
      </c>
      <c r="G46" t="s">
        <v>1144</v>
      </c>
    </row>
    <row r="47" spans="1:9" x14ac:dyDescent="0.2">
      <c r="A47" t="s">
        <v>241</v>
      </c>
      <c r="B47" t="s">
        <v>1711</v>
      </c>
      <c r="C47" t="s">
        <v>1868</v>
      </c>
      <c r="D47" t="s">
        <v>1869</v>
      </c>
      <c r="E47" t="s">
        <v>1870</v>
      </c>
      <c r="F47" t="s">
        <v>1871</v>
      </c>
      <c r="G47" t="s">
        <v>1145</v>
      </c>
    </row>
    <row r="48" spans="1:9" x14ac:dyDescent="0.2">
      <c r="A48" t="s">
        <v>242</v>
      </c>
      <c r="B48" t="s">
        <v>1711</v>
      </c>
      <c r="C48" t="s">
        <v>1829</v>
      </c>
      <c r="D48" t="s">
        <v>1830</v>
      </c>
      <c r="E48" t="s">
        <v>1831</v>
      </c>
      <c r="F48" t="s">
        <v>1832</v>
      </c>
      <c r="G48" t="s">
        <v>1099</v>
      </c>
    </row>
    <row r="49" spans="1:7" x14ac:dyDescent="0.2">
      <c r="A49" t="s">
        <v>252</v>
      </c>
      <c r="B49" t="s">
        <v>1711</v>
      </c>
      <c r="C49" t="s">
        <v>1872</v>
      </c>
      <c r="D49" t="s">
        <v>1873</v>
      </c>
      <c r="E49" t="s">
        <v>1874</v>
      </c>
      <c r="F49" t="s">
        <v>1875</v>
      </c>
      <c r="G49" t="s">
        <v>1153</v>
      </c>
    </row>
    <row r="50" spans="1:7" x14ac:dyDescent="0.2">
      <c r="A50" t="s">
        <v>253</v>
      </c>
      <c r="B50" t="s">
        <v>1711</v>
      </c>
      <c r="C50" t="s">
        <v>1876</v>
      </c>
      <c r="D50" t="s">
        <v>1877</v>
      </c>
      <c r="E50" t="s">
        <v>1878</v>
      </c>
      <c r="F50" t="s">
        <v>1879</v>
      </c>
      <c r="G50" t="s">
        <v>1154</v>
      </c>
    </row>
    <row r="51" spans="1:7" x14ac:dyDescent="0.2">
      <c r="A51" t="s">
        <v>258</v>
      </c>
      <c r="B51" t="s">
        <v>1711</v>
      </c>
      <c r="C51" t="s">
        <v>1880</v>
      </c>
      <c r="D51" t="s">
        <v>1881</v>
      </c>
      <c r="E51" t="s">
        <v>1882</v>
      </c>
      <c r="F51" t="s">
        <v>1883</v>
      </c>
      <c r="G51" t="s">
        <v>1159</v>
      </c>
    </row>
    <row r="52" spans="1:7" x14ac:dyDescent="0.2">
      <c r="A52" t="s">
        <v>270</v>
      </c>
      <c r="B52" t="s">
        <v>1728</v>
      </c>
      <c r="C52" t="s">
        <v>1884</v>
      </c>
      <c r="D52" t="s">
        <v>1885</v>
      </c>
      <c r="E52" t="s">
        <v>1731</v>
      </c>
      <c r="F52" t="s">
        <v>1886</v>
      </c>
      <c r="G52" t="s">
        <v>1171</v>
      </c>
    </row>
    <row r="53" spans="1:7" x14ac:dyDescent="0.2">
      <c r="A53" t="s">
        <v>271</v>
      </c>
      <c r="B53" t="s">
        <v>1711</v>
      </c>
      <c r="C53" t="s">
        <v>1887</v>
      </c>
      <c r="D53" t="s">
        <v>1888</v>
      </c>
      <c r="E53" t="s">
        <v>1889</v>
      </c>
      <c r="F53" t="s">
        <v>1890</v>
      </c>
      <c r="G53" t="s">
        <v>1172</v>
      </c>
    </row>
    <row r="54" spans="1:7" x14ac:dyDescent="0.2">
      <c r="A54" t="s">
        <v>272</v>
      </c>
      <c r="B54" t="s">
        <v>1711</v>
      </c>
      <c r="C54" t="s">
        <v>1891</v>
      </c>
      <c r="D54" t="s">
        <v>1892</v>
      </c>
      <c r="E54" t="s">
        <v>1893</v>
      </c>
      <c r="F54" t="s">
        <v>1894</v>
      </c>
      <c r="G54" t="s">
        <v>1173</v>
      </c>
    </row>
    <row r="55" spans="1:7" x14ac:dyDescent="0.2">
      <c r="A55" t="s">
        <v>279</v>
      </c>
      <c r="B55" t="s">
        <v>1711</v>
      </c>
      <c r="C55" t="s">
        <v>1895</v>
      </c>
      <c r="D55" t="s">
        <v>1896</v>
      </c>
      <c r="E55" t="s">
        <v>1897</v>
      </c>
      <c r="F55" t="s">
        <v>1898</v>
      </c>
      <c r="G55" t="s">
        <v>1180</v>
      </c>
    </row>
    <row r="56" spans="1:7" x14ac:dyDescent="0.2">
      <c r="A56" t="s">
        <v>282</v>
      </c>
      <c r="B56" t="s">
        <v>1706</v>
      </c>
      <c r="C56" t="s">
        <v>1899</v>
      </c>
      <c r="D56" t="s">
        <v>1900</v>
      </c>
      <c r="E56" t="s">
        <v>1901</v>
      </c>
      <c r="F56" t="s">
        <v>1902</v>
      </c>
      <c r="G56" t="s">
        <v>1183</v>
      </c>
    </row>
    <row r="57" spans="1:7" x14ac:dyDescent="0.2">
      <c r="A57" t="s">
        <v>286</v>
      </c>
      <c r="B57" t="s">
        <v>1711</v>
      </c>
      <c r="C57" t="s">
        <v>1868</v>
      </c>
      <c r="D57" t="s">
        <v>1869</v>
      </c>
      <c r="E57" t="s">
        <v>1870</v>
      </c>
      <c r="F57" t="s">
        <v>1871</v>
      </c>
      <c r="G57" t="s">
        <v>1145</v>
      </c>
    </row>
    <row r="58" spans="1:7" x14ac:dyDescent="0.2">
      <c r="A58" t="s">
        <v>288</v>
      </c>
      <c r="B58" t="s">
        <v>1706</v>
      </c>
      <c r="C58" t="s">
        <v>1860</v>
      </c>
      <c r="D58" t="s">
        <v>1861</v>
      </c>
      <c r="E58" t="s">
        <v>1862</v>
      </c>
      <c r="F58" t="s">
        <v>1863</v>
      </c>
      <c r="G58" t="s">
        <v>1142</v>
      </c>
    </row>
    <row r="59" spans="1:7" x14ac:dyDescent="0.2">
      <c r="A59" t="s">
        <v>289</v>
      </c>
      <c r="B59" t="s">
        <v>1711</v>
      </c>
      <c r="C59" t="s">
        <v>1903</v>
      </c>
      <c r="D59" t="s">
        <v>1904</v>
      </c>
      <c r="E59" t="s">
        <v>1905</v>
      </c>
      <c r="F59" t="s">
        <v>1906</v>
      </c>
      <c r="G59" t="s">
        <v>1187</v>
      </c>
    </row>
    <row r="60" spans="1:7" x14ac:dyDescent="0.2">
      <c r="A60" t="s">
        <v>308</v>
      </c>
      <c r="B60" t="s">
        <v>1711</v>
      </c>
      <c r="C60" t="s">
        <v>1907</v>
      </c>
      <c r="D60" t="s">
        <v>1908</v>
      </c>
      <c r="E60" t="s">
        <v>1909</v>
      </c>
      <c r="F60" t="s">
        <v>1910</v>
      </c>
      <c r="G60" t="s">
        <v>1198</v>
      </c>
    </row>
    <row r="61" spans="1:7" x14ac:dyDescent="0.2">
      <c r="A61" t="s">
        <v>321</v>
      </c>
      <c r="B61" t="s">
        <v>1711</v>
      </c>
      <c r="C61" t="s">
        <v>1911</v>
      </c>
      <c r="D61" t="s">
        <v>1912</v>
      </c>
      <c r="E61" t="s">
        <v>1913</v>
      </c>
      <c r="F61" t="s">
        <v>1914</v>
      </c>
      <c r="G61" t="s">
        <v>1211</v>
      </c>
    </row>
    <row r="62" spans="1:7" x14ac:dyDescent="0.2">
      <c r="A62" t="s">
        <v>326</v>
      </c>
      <c r="B62" t="s">
        <v>1711</v>
      </c>
      <c r="C62" t="s">
        <v>1915</v>
      </c>
      <c r="D62" t="s">
        <v>1916</v>
      </c>
      <c r="E62" t="s">
        <v>1917</v>
      </c>
      <c r="F62" t="s">
        <v>1918</v>
      </c>
      <c r="G62" t="s">
        <v>1216</v>
      </c>
    </row>
    <row r="63" spans="1:7" x14ac:dyDescent="0.2">
      <c r="A63" t="s">
        <v>329</v>
      </c>
      <c r="B63" t="s">
        <v>1711</v>
      </c>
      <c r="C63" t="s">
        <v>1919</v>
      </c>
      <c r="D63" t="s">
        <v>1920</v>
      </c>
      <c r="E63" t="s">
        <v>1921</v>
      </c>
      <c r="F63" t="s">
        <v>1922</v>
      </c>
      <c r="G63" t="s">
        <v>1219</v>
      </c>
    </row>
    <row r="64" spans="1:7" x14ac:dyDescent="0.2">
      <c r="A64" t="s">
        <v>340</v>
      </c>
      <c r="B64" t="s">
        <v>1711</v>
      </c>
      <c r="C64" t="s">
        <v>1923</v>
      </c>
      <c r="D64" t="s">
        <v>1924</v>
      </c>
      <c r="E64" t="s">
        <v>1925</v>
      </c>
      <c r="F64" t="s">
        <v>1926</v>
      </c>
      <c r="G64" t="s">
        <v>1230</v>
      </c>
    </row>
    <row r="65" spans="1:7" x14ac:dyDescent="0.2">
      <c r="A65" t="s">
        <v>342</v>
      </c>
      <c r="B65" t="s">
        <v>1711</v>
      </c>
      <c r="C65" t="s">
        <v>1927</v>
      </c>
      <c r="D65" t="s">
        <v>1928</v>
      </c>
      <c r="E65" t="s">
        <v>1929</v>
      </c>
      <c r="F65" t="s">
        <v>1930</v>
      </c>
      <c r="G65" t="s">
        <v>1232</v>
      </c>
    </row>
    <row r="66" spans="1:7" x14ac:dyDescent="0.2">
      <c r="A66" t="s">
        <v>346</v>
      </c>
      <c r="B66" t="s">
        <v>1711</v>
      </c>
      <c r="C66" t="s">
        <v>1931</v>
      </c>
      <c r="D66" t="s">
        <v>1932</v>
      </c>
      <c r="E66" t="s">
        <v>1933</v>
      </c>
      <c r="F66" t="s">
        <v>1934</v>
      </c>
      <c r="G66" t="s">
        <v>1236</v>
      </c>
    </row>
    <row r="67" spans="1:7" x14ac:dyDescent="0.2">
      <c r="A67" t="s">
        <v>352</v>
      </c>
      <c r="B67" t="s">
        <v>1711</v>
      </c>
      <c r="C67" t="s">
        <v>1935</v>
      </c>
      <c r="D67" t="s">
        <v>1936</v>
      </c>
      <c r="E67" t="s">
        <v>1937</v>
      </c>
      <c r="F67" t="s">
        <v>1938</v>
      </c>
      <c r="G67" t="s">
        <v>1240</v>
      </c>
    </row>
    <row r="68" spans="1:7" x14ac:dyDescent="0.2">
      <c r="A68" t="s">
        <v>354</v>
      </c>
      <c r="B68" t="s">
        <v>1728</v>
      </c>
      <c r="C68" t="s">
        <v>1939</v>
      </c>
      <c r="D68" t="s">
        <v>1940</v>
      </c>
      <c r="E68" t="s">
        <v>1941</v>
      </c>
      <c r="F68" t="s">
        <v>1942</v>
      </c>
      <c r="G68" t="s">
        <v>1242</v>
      </c>
    </row>
    <row r="69" spans="1:7" x14ac:dyDescent="0.2">
      <c r="A69" t="s">
        <v>360</v>
      </c>
      <c r="B69" t="s">
        <v>1711</v>
      </c>
      <c r="C69" t="s">
        <v>1943</v>
      </c>
      <c r="D69" t="s">
        <v>1944</v>
      </c>
      <c r="E69" t="s">
        <v>1945</v>
      </c>
      <c r="F69" t="s">
        <v>1946</v>
      </c>
      <c r="G69" t="s">
        <v>1248</v>
      </c>
    </row>
    <row r="70" spans="1:7" x14ac:dyDescent="0.2">
      <c r="A70" t="s">
        <v>365</v>
      </c>
      <c r="B70" t="s">
        <v>1711</v>
      </c>
      <c r="C70" t="s">
        <v>1947</v>
      </c>
      <c r="D70" t="s">
        <v>1948</v>
      </c>
      <c r="E70" t="s">
        <v>1949</v>
      </c>
      <c r="F70" t="s">
        <v>1950</v>
      </c>
      <c r="G70" t="s">
        <v>1253</v>
      </c>
    </row>
    <row r="71" spans="1:7" x14ac:dyDescent="0.2">
      <c r="A71" t="s">
        <v>368</v>
      </c>
      <c r="B71" t="s">
        <v>1711</v>
      </c>
      <c r="C71" t="s">
        <v>1951</v>
      </c>
      <c r="D71" t="s">
        <v>1952</v>
      </c>
      <c r="E71" t="s">
        <v>1953</v>
      </c>
      <c r="F71" t="s">
        <v>1954</v>
      </c>
      <c r="G71" t="s">
        <v>1256</v>
      </c>
    </row>
    <row r="72" spans="1:7" x14ac:dyDescent="0.2">
      <c r="A72" t="s">
        <v>377</v>
      </c>
      <c r="B72" t="s">
        <v>1711</v>
      </c>
      <c r="C72" t="s">
        <v>1955</v>
      </c>
      <c r="D72" t="s">
        <v>1956</v>
      </c>
      <c r="E72" t="s">
        <v>1731</v>
      </c>
      <c r="F72" t="s">
        <v>1957</v>
      </c>
      <c r="G72" t="s">
        <v>1265</v>
      </c>
    </row>
    <row r="73" spans="1:7" x14ac:dyDescent="0.2">
      <c r="A73" t="s">
        <v>380</v>
      </c>
      <c r="B73" t="s">
        <v>1711</v>
      </c>
      <c r="C73" t="s">
        <v>1958</v>
      </c>
      <c r="D73" t="s">
        <v>1959</v>
      </c>
      <c r="E73" t="s">
        <v>1960</v>
      </c>
      <c r="F73" t="s">
        <v>1961</v>
      </c>
      <c r="G73" t="s">
        <v>1267</v>
      </c>
    </row>
    <row r="74" spans="1:7" x14ac:dyDescent="0.2">
      <c r="A74" t="s">
        <v>387</v>
      </c>
      <c r="B74" t="s">
        <v>1840</v>
      </c>
      <c r="C74" t="s">
        <v>1962</v>
      </c>
      <c r="D74" t="s">
        <v>1963</v>
      </c>
      <c r="E74" t="s">
        <v>1964</v>
      </c>
      <c r="F74" t="s">
        <v>1965</v>
      </c>
      <c r="G74" t="s">
        <v>1273</v>
      </c>
    </row>
    <row r="75" spans="1:7" x14ac:dyDescent="0.2">
      <c r="A75" t="s">
        <v>393</v>
      </c>
      <c r="B75" t="s">
        <v>1711</v>
      </c>
      <c r="C75" t="s">
        <v>1951</v>
      </c>
      <c r="D75" t="s">
        <v>1952</v>
      </c>
      <c r="E75" t="s">
        <v>1953</v>
      </c>
      <c r="F75" t="s">
        <v>1954</v>
      </c>
      <c r="G75" t="s">
        <v>1256</v>
      </c>
    </row>
    <row r="76" spans="1:7" x14ac:dyDescent="0.2">
      <c r="A76" t="s">
        <v>395</v>
      </c>
      <c r="B76" t="s">
        <v>1711</v>
      </c>
      <c r="C76" t="s">
        <v>1955</v>
      </c>
      <c r="D76" t="s">
        <v>1956</v>
      </c>
      <c r="E76" t="s">
        <v>1731</v>
      </c>
      <c r="F76" t="s">
        <v>1957</v>
      </c>
      <c r="G76" t="s">
        <v>1265</v>
      </c>
    </row>
    <row r="77" spans="1:7" x14ac:dyDescent="0.2">
      <c r="A77" t="s">
        <v>401</v>
      </c>
      <c r="B77" t="s">
        <v>1711</v>
      </c>
      <c r="C77" t="s">
        <v>1966</v>
      </c>
      <c r="D77" t="s">
        <v>1967</v>
      </c>
      <c r="E77" t="s">
        <v>1968</v>
      </c>
      <c r="F77" t="s">
        <v>1969</v>
      </c>
      <c r="G77" t="s">
        <v>1278</v>
      </c>
    </row>
    <row r="78" spans="1:7" x14ac:dyDescent="0.2">
      <c r="A78" t="s">
        <v>403</v>
      </c>
      <c r="B78" t="s">
        <v>1728</v>
      </c>
      <c r="C78" t="s">
        <v>1970</v>
      </c>
      <c r="D78" t="s">
        <v>1971</v>
      </c>
      <c r="E78" t="s">
        <v>1972</v>
      </c>
      <c r="F78" t="s">
        <v>1973</v>
      </c>
      <c r="G78" t="s">
        <v>1280</v>
      </c>
    </row>
    <row r="79" spans="1:7" x14ac:dyDescent="0.2">
      <c r="A79" t="s">
        <v>410</v>
      </c>
      <c r="B79" t="s">
        <v>1711</v>
      </c>
      <c r="C79" t="s">
        <v>1974</v>
      </c>
      <c r="D79" t="s">
        <v>1975</v>
      </c>
      <c r="E79" t="s">
        <v>1976</v>
      </c>
      <c r="F79" t="s">
        <v>1977</v>
      </c>
      <c r="G79" t="s">
        <v>1286</v>
      </c>
    </row>
    <row r="80" spans="1:7" x14ac:dyDescent="0.2">
      <c r="A80" t="s">
        <v>428</v>
      </c>
      <c r="B80" t="s">
        <v>1711</v>
      </c>
      <c r="C80" t="s">
        <v>1978</v>
      </c>
      <c r="D80" t="s">
        <v>1979</v>
      </c>
      <c r="E80" t="s">
        <v>1980</v>
      </c>
      <c r="F80" t="s">
        <v>1981</v>
      </c>
      <c r="G80" t="s">
        <v>1301</v>
      </c>
    </row>
    <row r="81" spans="1:7" x14ac:dyDescent="0.2">
      <c r="A81" t="s">
        <v>436</v>
      </c>
      <c r="B81" t="s">
        <v>1711</v>
      </c>
      <c r="C81" t="s">
        <v>1966</v>
      </c>
      <c r="D81" t="s">
        <v>1967</v>
      </c>
      <c r="E81" t="s">
        <v>1968</v>
      </c>
      <c r="F81" t="s">
        <v>1969</v>
      </c>
      <c r="G81" t="s">
        <v>1278</v>
      </c>
    </row>
    <row r="82" spans="1:7" x14ac:dyDescent="0.2">
      <c r="A82" t="s">
        <v>458</v>
      </c>
      <c r="B82" t="s">
        <v>1728</v>
      </c>
      <c r="C82" t="s">
        <v>1982</v>
      </c>
      <c r="D82" t="s">
        <v>1983</v>
      </c>
      <c r="E82" t="s">
        <v>1984</v>
      </c>
      <c r="F82" t="s">
        <v>1985</v>
      </c>
      <c r="G82" t="s">
        <v>1326</v>
      </c>
    </row>
    <row r="83" spans="1:7" x14ac:dyDescent="0.2">
      <c r="A83" t="s">
        <v>462</v>
      </c>
      <c r="B83" t="s">
        <v>1711</v>
      </c>
      <c r="C83" t="s">
        <v>1966</v>
      </c>
      <c r="D83" t="s">
        <v>1967</v>
      </c>
      <c r="E83" t="s">
        <v>1968</v>
      </c>
      <c r="F83" t="s">
        <v>1969</v>
      </c>
      <c r="G83" t="s">
        <v>1278</v>
      </c>
    </row>
    <row r="84" spans="1:7" x14ac:dyDescent="0.2">
      <c r="A84" t="s">
        <v>464</v>
      </c>
      <c r="B84" t="s">
        <v>1711</v>
      </c>
      <c r="C84" t="s">
        <v>1958</v>
      </c>
      <c r="D84" t="s">
        <v>1959</v>
      </c>
      <c r="E84" t="s">
        <v>1960</v>
      </c>
      <c r="F84" t="s">
        <v>1961</v>
      </c>
      <c r="G84" t="s">
        <v>1267</v>
      </c>
    </row>
    <row r="85" spans="1:7" x14ac:dyDescent="0.2">
      <c r="A85" t="s">
        <v>469</v>
      </c>
      <c r="B85" t="s">
        <v>1711</v>
      </c>
      <c r="C85" t="s">
        <v>1986</v>
      </c>
      <c r="D85" t="s">
        <v>1987</v>
      </c>
      <c r="E85" t="s">
        <v>1988</v>
      </c>
      <c r="F85" t="s">
        <v>1989</v>
      </c>
      <c r="G85" t="s">
        <v>1331</v>
      </c>
    </row>
    <row r="86" spans="1:7" x14ac:dyDescent="0.2">
      <c r="A86" t="s">
        <v>473</v>
      </c>
      <c r="B86" t="s">
        <v>1711</v>
      </c>
      <c r="C86" t="s">
        <v>1990</v>
      </c>
      <c r="D86" t="s">
        <v>1991</v>
      </c>
      <c r="E86" t="s">
        <v>1992</v>
      </c>
      <c r="F86" t="s">
        <v>1993</v>
      </c>
      <c r="G86" t="s">
        <v>1334</v>
      </c>
    </row>
    <row r="87" spans="1:7" x14ac:dyDescent="0.2">
      <c r="A87" t="s">
        <v>479</v>
      </c>
      <c r="B87" t="s">
        <v>1728</v>
      </c>
      <c r="C87" t="s">
        <v>1994</v>
      </c>
      <c r="D87" t="s">
        <v>1995</v>
      </c>
      <c r="E87" t="s">
        <v>1731</v>
      </c>
      <c r="F87" t="s">
        <v>1996</v>
      </c>
      <c r="G87" t="s">
        <v>1336</v>
      </c>
    </row>
    <row r="88" spans="1:7" x14ac:dyDescent="0.2">
      <c r="A88" t="s">
        <v>481</v>
      </c>
      <c r="B88" t="s">
        <v>1711</v>
      </c>
      <c r="C88" t="s">
        <v>1943</v>
      </c>
      <c r="D88" t="s">
        <v>1944</v>
      </c>
      <c r="E88" t="s">
        <v>1945</v>
      </c>
      <c r="F88" t="s">
        <v>1946</v>
      </c>
      <c r="G88" t="s">
        <v>1248</v>
      </c>
    </row>
    <row r="89" spans="1:7" x14ac:dyDescent="0.2">
      <c r="A89" t="s">
        <v>486</v>
      </c>
      <c r="B89" t="s">
        <v>1711</v>
      </c>
      <c r="C89" t="s">
        <v>1997</v>
      </c>
      <c r="D89" t="s">
        <v>1998</v>
      </c>
      <c r="E89" t="s">
        <v>1999</v>
      </c>
      <c r="F89" t="s">
        <v>2000</v>
      </c>
      <c r="G89" t="s">
        <v>1338</v>
      </c>
    </row>
    <row r="90" spans="1:7" x14ac:dyDescent="0.2">
      <c r="A90" t="s">
        <v>493</v>
      </c>
      <c r="B90" t="s">
        <v>1728</v>
      </c>
      <c r="C90" t="s">
        <v>2001</v>
      </c>
      <c r="D90" t="s">
        <v>2002</v>
      </c>
      <c r="E90" t="s">
        <v>1731</v>
      </c>
      <c r="F90" t="s">
        <v>2003</v>
      </c>
      <c r="G90" t="s">
        <v>1344</v>
      </c>
    </row>
    <row r="91" spans="1:7" x14ac:dyDescent="0.2">
      <c r="A91" t="s">
        <v>495</v>
      </c>
      <c r="B91" t="s">
        <v>1711</v>
      </c>
      <c r="C91" t="s">
        <v>2004</v>
      </c>
      <c r="D91" t="s">
        <v>2005</v>
      </c>
      <c r="E91" t="s">
        <v>2006</v>
      </c>
      <c r="F91" t="s">
        <v>2007</v>
      </c>
      <c r="G91" t="s">
        <v>1346</v>
      </c>
    </row>
    <row r="92" spans="1:7" x14ac:dyDescent="0.2">
      <c r="A92" t="s">
        <v>505</v>
      </c>
      <c r="B92" t="s">
        <v>1711</v>
      </c>
      <c r="C92" t="s">
        <v>2008</v>
      </c>
      <c r="D92" t="s">
        <v>2009</v>
      </c>
      <c r="E92" t="s">
        <v>2010</v>
      </c>
      <c r="F92" t="s">
        <v>2011</v>
      </c>
      <c r="G92" t="s">
        <v>1355</v>
      </c>
    </row>
    <row r="93" spans="1:7" x14ac:dyDescent="0.2">
      <c r="A93" t="s">
        <v>509</v>
      </c>
      <c r="B93" t="s">
        <v>1711</v>
      </c>
      <c r="C93" t="s">
        <v>2012</v>
      </c>
      <c r="D93" t="s">
        <v>2013</v>
      </c>
      <c r="E93" t="s">
        <v>2014</v>
      </c>
      <c r="F93" t="s">
        <v>2015</v>
      </c>
      <c r="G93" t="s">
        <v>1359</v>
      </c>
    </row>
    <row r="94" spans="1:7" x14ac:dyDescent="0.2">
      <c r="A94" t="s">
        <v>512</v>
      </c>
      <c r="B94" t="s">
        <v>1711</v>
      </c>
      <c r="C94" t="s">
        <v>1931</v>
      </c>
      <c r="D94" t="s">
        <v>1932</v>
      </c>
      <c r="E94" t="s">
        <v>1933</v>
      </c>
      <c r="F94" t="s">
        <v>1934</v>
      </c>
      <c r="G94" t="s">
        <v>1236</v>
      </c>
    </row>
    <row r="95" spans="1:7" x14ac:dyDescent="0.2">
      <c r="A95" t="s">
        <v>520</v>
      </c>
      <c r="B95" t="s">
        <v>1711</v>
      </c>
      <c r="C95" t="s">
        <v>2016</v>
      </c>
      <c r="D95" t="s">
        <v>2017</v>
      </c>
      <c r="E95" t="s">
        <v>2018</v>
      </c>
      <c r="F95" t="s">
        <v>2019</v>
      </c>
      <c r="G95" t="s">
        <v>1366</v>
      </c>
    </row>
    <row r="96" spans="1:7" x14ac:dyDescent="0.2">
      <c r="A96" t="s">
        <v>523</v>
      </c>
      <c r="B96" t="s">
        <v>1711</v>
      </c>
      <c r="C96" t="s">
        <v>1943</v>
      </c>
      <c r="D96" t="s">
        <v>1944</v>
      </c>
      <c r="E96" t="s">
        <v>1945</v>
      </c>
      <c r="F96" t="s">
        <v>1946</v>
      </c>
      <c r="G96" t="s">
        <v>1248</v>
      </c>
    </row>
    <row r="97" spans="1:7" x14ac:dyDescent="0.2">
      <c r="A97" t="s">
        <v>533</v>
      </c>
      <c r="B97" t="s">
        <v>1711</v>
      </c>
      <c r="C97" t="s">
        <v>1990</v>
      </c>
      <c r="D97" t="s">
        <v>1991</v>
      </c>
      <c r="E97" t="s">
        <v>1992</v>
      </c>
      <c r="F97" t="s">
        <v>1993</v>
      </c>
      <c r="G97" t="s">
        <v>1334</v>
      </c>
    </row>
    <row r="98" spans="1:7" x14ac:dyDescent="0.2">
      <c r="A98" t="s">
        <v>536</v>
      </c>
      <c r="B98" t="s">
        <v>1711</v>
      </c>
      <c r="C98" t="s">
        <v>2020</v>
      </c>
      <c r="D98" t="s">
        <v>2021</v>
      </c>
      <c r="E98" t="s">
        <v>2022</v>
      </c>
      <c r="F98" t="s">
        <v>2023</v>
      </c>
      <c r="G98" t="s">
        <v>1373</v>
      </c>
    </row>
    <row r="99" spans="1:7" x14ac:dyDescent="0.2">
      <c r="A99" t="s">
        <v>542</v>
      </c>
      <c r="B99" t="s">
        <v>1711</v>
      </c>
      <c r="C99" t="s">
        <v>2024</v>
      </c>
      <c r="D99" t="s">
        <v>2025</v>
      </c>
      <c r="E99" t="s">
        <v>2026</v>
      </c>
      <c r="F99" t="s">
        <v>2027</v>
      </c>
      <c r="G99" t="s">
        <v>1378</v>
      </c>
    </row>
    <row r="100" spans="1:7" x14ac:dyDescent="0.2">
      <c r="A100" t="s">
        <v>549</v>
      </c>
      <c r="B100" t="s">
        <v>1728</v>
      </c>
      <c r="C100" t="s">
        <v>2028</v>
      </c>
      <c r="D100" t="s">
        <v>2029</v>
      </c>
      <c r="E100" t="s">
        <v>2030</v>
      </c>
      <c r="F100" t="s">
        <v>2031</v>
      </c>
      <c r="G100" t="s">
        <v>1384</v>
      </c>
    </row>
    <row r="101" spans="1:7" x14ac:dyDescent="0.2">
      <c r="A101" t="s">
        <v>550</v>
      </c>
      <c r="B101" t="s">
        <v>1711</v>
      </c>
      <c r="C101" t="s">
        <v>2032</v>
      </c>
      <c r="D101" t="s">
        <v>2033</v>
      </c>
      <c r="E101" t="s">
        <v>2034</v>
      </c>
      <c r="F101" t="s">
        <v>2035</v>
      </c>
      <c r="G101" t="s">
        <v>1385</v>
      </c>
    </row>
    <row r="102" spans="1:7" x14ac:dyDescent="0.2">
      <c r="A102" t="s">
        <v>553</v>
      </c>
      <c r="B102" t="s">
        <v>1711</v>
      </c>
      <c r="C102" t="s">
        <v>2036</v>
      </c>
      <c r="D102" t="s">
        <v>2037</v>
      </c>
      <c r="E102" t="s">
        <v>2038</v>
      </c>
      <c r="F102" t="s">
        <v>2039</v>
      </c>
      <c r="G102" t="s">
        <v>1388</v>
      </c>
    </row>
    <row r="103" spans="1:7" x14ac:dyDescent="0.2">
      <c r="A103" t="s">
        <v>563</v>
      </c>
      <c r="B103" t="s">
        <v>1728</v>
      </c>
      <c r="C103" t="s">
        <v>2040</v>
      </c>
      <c r="D103" t="s">
        <v>2041</v>
      </c>
      <c r="E103" t="s">
        <v>1731</v>
      </c>
      <c r="F103" t="s">
        <v>2042</v>
      </c>
      <c r="G103" t="s">
        <v>1397</v>
      </c>
    </row>
    <row r="104" spans="1:7" x14ac:dyDescent="0.2">
      <c r="A104" t="s">
        <v>565</v>
      </c>
      <c r="B104" t="s">
        <v>1711</v>
      </c>
      <c r="C104" t="s">
        <v>2020</v>
      </c>
      <c r="D104" t="s">
        <v>2021</v>
      </c>
      <c r="E104" t="s">
        <v>2022</v>
      </c>
      <c r="F104" t="s">
        <v>2023</v>
      </c>
      <c r="G104" t="s">
        <v>1373</v>
      </c>
    </row>
    <row r="105" spans="1:7" x14ac:dyDescent="0.2">
      <c r="A105" t="s">
        <v>570</v>
      </c>
      <c r="B105" t="s">
        <v>1711</v>
      </c>
      <c r="C105" t="s">
        <v>2043</v>
      </c>
      <c r="D105" t="s">
        <v>2044</v>
      </c>
      <c r="E105" t="s">
        <v>2045</v>
      </c>
      <c r="F105" t="s">
        <v>2046</v>
      </c>
      <c r="G105" t="s">
        <v>1400</v>
      </c>
    </row>
    <row r="106" spans="1:7" x14ac:dyDescent="0.2">
      <c r="A106" t="s">
        <v>572</v>
      </c>
      <c r="B106" t="s">
        <v>1728</v>
      </c>
      <c r="C106" t="s">
        <v>2047</v>
      </c>
      <c r="D106" t="s">
        <v>2048</v>
      </c>
      <c r="E106" t="s">
        <v>2049</v>
      </c>
      <c r="F106" t="s">
        <v>2046</v>
      </c>
      <c r="G106" t="s">
        <v>1402</v>
      </c>
    </row>
    <row r="107" spans="1:7" x14ac:dyDescent="0.2">
      <c r="A107" t="s">
        <v>578</v>
      </c>
      <c r="B107" t="s">
        <v>1711</v>
      </c>
      <c r="C107" t="s">
        <v>2050</v>
      </c>
      <c r="D107" t="s">
        <v>2051</v>
      </c>
      <c r="E107" t="s">
        <v>2052</v>
      </c>
      <c r="F107" t="s">
        <v>2053</v>
      </c>
      <c r="G107" t="s">
        <v>1408</v>
      </c>
    </row>
    <row r="108" spans="1:7" x14ac:dyDescent="0.2">
      <c r="A108" t="s">
        <v>582</v>
      </c>
      <c r="B108" t="s">
        <v>1711</v>
      </c>
      <c r="C108" t="s">
        <v>2054</v>
      </c>
      <c r="D108" t="s">
        <v>2055</v>
      </c>
      <c r="E108" t="s">
        <v>2056</v>
      </c>
      <c r="F108" t="s">
        <v>2057</v>
      </c>
      <c r="G108" t="s">
        <v>1412</v>
      </c>
    </row>
    <row r="109" spans="1:7" x14ac:dyDescent="0.2">
      <c r="A109" t="s">
        <v>583</v>
      </c>
      <c r="B109" t="s">
        <v>1840</v>
      </c>
      <c r="C109" t="s">
        <v>2054</v>
      </c>
      <c r="D109" t="s">
        <v>2055</v>
      </c>
      <c r="E109" t="s">
        <v>2058</v>
      </c>
      <c r="F109" t="s">
        <v>2057</v>
      </c>
      <c r="G109" t="s">
        <v>1413</v>
      </c>
    </row>
    <row r="110" spans="1:7" x14ac:dyDescent="0.2">
      <c r="A110" t="s">
        <v>588</v>
      </c>
      <c r="B110" t="s">
        <v>1711</v>
      </c>
      <c r="C110" t="s">
        <v>2059</v>
      </c>
      <c r="D110" t="s">
        <v>2060</v>
      </c>
      <c r="E110" t="s">
        <v>2061</v>
      </c>
      <c r="F110" t="s">
        <v>2062</v>
      </c>
      <c r="G110" t="s">
        <v>1418</v>
      </c>
    </row>
    <row r="111" spans="1:7" x14ac:dyDescent="0.2">
      <c r="A111" t="s">
        <v>598</v>
      </c>
      <c r="B111" t="s">
        <v>1711</v>
      </c>
      <c r="C111" t="s">
        <v>2063</v>
      </c>
      <c r="D111" t="s">
        <v>2064</v>
      </c>
      <c r="E111" t="s">
        <v>2065</v>
      </c>
      <c r="F111" t="s">
        <v>2066</v>
      </c>
      <c r="G111" t="s">
        <v>1425</v>
      </c>
    </row>
    <row r="112" spans="1:7" x14ac:dyDescent="0.2">
      <c r="A112" t="s">
        <v>602</v>
      </c>
      <c r="B112" t="s">
        <v>1711</v>
      </c>
      <c r="C112" t="s">
        <v>2067</v>
      </c>
      <c r="D112" t="s">
        <v>2068</v>
      </c>
      <c r="E112" t="s">
        <v>2069</v>
      </c>
      <c r="F112" t="s">
        <v>2070</v>
      </c>
      <c r="G112" t="s">
        <v>1429</v>
      </c>
    </row>
    <row r="113" spans="1:7" x14ac:dyDescent="0.2">
      <c r="A113" t="s">
        <v>604</v>
      </c>
      <c r="B113" t="s">
        <v>1711</v>
      </c>
      <c r="C113" t="s">
        <v>2067</v>
      </c>
      <c r="D113" t="s">
        <v>2068</v>
      </c>
      <c r="E113" t="s">
        <v>2069</v>
      </c>
      <c r="F113" t="s">
        <v>2070</v>
      </c>
      <c r="G113" t="s">
        <v>1429</v>
      </c>
    </row>
    <row r="114" spans="1:7" x14ac:dyDescent="0.2">
      <c r="A114" t="s">
        <v>610</v>
      </c>
      <c r="B114" t="s">
        <v>1711</v>
      </c>
      <c r="C114" t="s">
        <v>2071</v>
      </c>
      <c r="D114" t="s">
        <v>2072</v>
      </c>
      <c r="E114" t="s">
        <v>2073</v>
      </c>
      <c r="F114" t="s">
        <v>2074</v>
      </c>
      <c r="G114" t="s">
        <v>1435</v>
      </c>
    </row>
    <row r="115" spans="1:7" x14ac:dyDescent="0.2">
      <c r="A115" t="s">
        <v>618</v>
      </c>
      <c r="B115" t="s">
        <v>1711</v>
      </c>
      <c r="C115" t="s">
        <v>2075</v>
      </c>
      <c r="D115" t="s">
        <v>2076</v>
      </c>
      <c r="E115" t="s">
        <v>2077</v>
      </c>
      <c r="F115" t="s">
        <v>2078</v>
      </c>
      <c r="G115" t="s">
        <v>1441</v>
      </c>
    </row>
    <row r="116" spans="1:7" x14ac:dyDescent="0.2">
      <c r="A116" t="s">
        <v>630</v>
      </c>
      <c r="B116" t="s">
        <v>1711</v>
      </c>
      <c r="C116" t="s">
        <v>2079</v>
      </c>
      <c r="D116" t="s">
        <v>2080</v>
      </c>
      <c r="E116" t="s">
        <v>2081</v>
      </c>
      <c r="F116" t="s">
        <v>2082</v>
      </c>
      <c r="G116" t="s">
        <v>1450</v>
      </c>
    </row>
    <row r="117" spans="1:7" x14ac:dyDescent="0.2">
      <c r="A117" t="s">
        <v>641</v>
      </c>
      <c r="B117" t="s">
        <v>1711</v>
      </c>
      <c r="C117" t="s">
        <v>2079</v>
      </c>
      <c r="D117" t="s">
        <v>2080</v>
      </c>
      <c r="E117" t="s">
        <v>2081</v>
      </c>
      <c r="F117" t="s">
        <v>2082</v>
      </c>
      <c r="G117" t="s">
        <v>1450</v>
      </c>
    </row>
    <row r="118" spans="1:7" x14ac:dyDescent="0.2">
      <c r="A118" t="s">
        <v>649</v>
      </c>
      <c r="B118" t="s">
        <v>1711</v>
      </c>
      <c r="C118" t="s">
        <v>2083</v>
      </c>
      <c r="D118" t="s">
        <v>2084</v>
      </c>
      <c r="E118" t="s">
        <v>2085</v>
      </c>
      <c r="F118" t="s">
        <v>2086</v>
      </c>
      <c r="G118" t="s">
        <v>1460</v>
      </c>
    </row>
    <row r="119" spans="1:7" x14ac:dyDescent="0.2">
      <c r="A119" t="s">
        <v>660</v>
      </c>
      <c r="B119" t="s">
        <v>1711</v>
      </c>
      <c r="C119" t="s">
        <v>2087</v>
      </c>
      <c r="D119" t="s">
        <v>2088</v>
      </c>
      <c r="E119" t="s">
        <v>2089</v>
      </c>
      <c r="F119" t="s">
        <v>2090</v>
      </c>
      <c r="G119" t="s">
        <v>1471</v>
      </c>
    </row>
    <row r="120" spans="1:7" x14ac:dyDescent="0.2">
      <c r="A120" t="s">
        <v>664</v>
      </c>
      <c r="B120" t="s">
        <v>1711</v>
      </c>
      <c r="C120" t="s">
        <v>2091</v>
      </c>
      <c r="D120" t="s">
        <v>2092</v>
      </c>
      <c r="E120" t="s">
        <v>2093</v>
      </c>
      <c r="F120" t="s">
        <v>2094</v>
      </c>
      <c r="G120" t="s">
        <v>1475</v>
      </c>
    </row>
    <row r="121" spans="1:7" x14ac:dyDescent="0.2">
      <c r="A121" t="s">
        <v>666</v>
      </c>
      <c r="B121" t="s">
        <v>1711</v>
      </c>
      <c r="C121" t="s">
        <v>2095</v>
      </c>
      <c r="D121" t="s">
        <v>2096</v>
      </c>
      <c r="E121" t="s">
        <v>2097</v>
      </c>
      <c r="F121" t="s">
        <v>2098</v>
      </c>
      <c r="G121" t="s">
        <v>1477</v>
      </c>
    </row>
    <row r="122" spans="1:7" x14ac:dyDescent="0.2">
      <c r="A122" t="s">
        <v>677</v>
      </c>
      <c r="B122" t="s">
        <v>1711</v>
      </c>
      <c r="C122" t="s">
        <v>2099</v>
      </c>
      <c r="D122" t="s">
        <v>2100</v>
      </c>
      <c r="E122" t="s">
        <v>2101</v>
      </c>
      <c r="F122" t="s">
        <v>2102</v>
      </c>
      <c r="G122" t="s">
        <v>1487</v>
      </c>
    </row>
    <row r="123" spans="1:7" x14ac:dyDescent="0.2">
      <c r="A123" t="s">
        <v>681</v>
      </c>
      <c r="B123" t="s">
        <v>1706</v>
      </c>
      <c r="C123" t="s">
        <v>2103</v>
      </c>
      <c r="D123" t="s">
        <v>2104</v>
      </c>
      <c r="E123" t="s">
        <v>2105</v>
      </c>
      <c r="F123" t="s">
        <v>2106</v>
      </c>
      <c r="G123" t="s">
        <v>1491</v>
      </c>
    </row>
    <row r="124" spans="1:7" x14ac:dyDescent="0.2">
      <c r="A124" t="s">
        <v>699</v>
      </c>
      <c r="B124" t="s">
        <v>1711</v>
      </c>
      <c r="C124" t="s">
        <v>2107</v>
      </c>
      <c r="D124" t="s">
        <v>2108</v>
      </c>
      <c r="E124" t="s">
        <v>2109</v>
      </c>
      <c r="F124" t="s">
        <v>2110</v>
      </c>
      <c r="G124" t="s">
        <v>1503</v>
      </c>
    </row>
    <row r="125" spans="1:7" x14ac:dyDescent="0.2">
      <c r="A125" t="s">
        <v>723</v>
      </c>
      <c r="B125" t="s">
        <v>1840</v>
      </c>
      <c r="C125" t="s">
        <v>2111</v>
      </c>
      <c r="D125" t="s">
        <v>2112</v>
      </c>
      <c r="E125" t="s">
        <v>2113</v>
      </c>
      <c r="F125" t="s">
        <v>2114</v>
      </c>
      <c r="G125" t="s">
        <v>2115</v>
      </c>
    </row>
    <row r="126" spans="1:7" x14ac:dyDescent="0.2">
      <c r="A126" t="s">
        <v>727</v>
      </c>
      <c r="B126" t="s">
        <v>1711</v>
      </c>
      <c r="C126" t="s">
        <v>2116</v>
      </c>
      <c r="D126" t="s">
        <v>2117</v>
      </c>
      <c r="E126" t="s">
        <v>2118</v>
      </c>
      <c r="F126" t="s">
        <v>2119</v>
      </c>
      <c r="G126" t="s">
        <v>2120</v>
      </c>
    </row>
    <row r="127" spans="1:7" x14ac:dyDescent="0.2">
      <c r="A127" t="s">
        <v>738</v>
      </c>
      <c r="B127" t="s">
        <v>1711</v>
      </c>
      <c r="C127" t="s">
        <v>2121</v>
      </c>
      <c r="D127" t="s">
        <v>2122</v>
      </c>
      <c r="E127" t="s">
        <v>2123</v>
      </c>
      <c r="F127" t="s">
        <v>2124</v>
      </c>
      <c r="G127" t="s">
        <v>2125</v>
      </c>
    </row>
    <row r="128" spans="1:7" x14ac:dyDescent="0.2">
      <c r="A128" t="s">
        <v>739</v>
      </c>
      <c r="B128" t="s">
        <v>1711</v>
      </c>
      <c r="C128" t="s">
        <v>2116</v>
      </c>
      <c r="D128" t="s">
        <v>2117</v>
      </c>
      <c r="E128" t="s">
        <v>2118</v>
      </c>
      <c r="F128" t="s">
        <v>2119</v>
      </c>
      <c r="G128" t="s">
        <v>2120</v>
      </c>
    </row>
    <row r="129" spans="1:7" x14ac:dyDescent="0.2">
      <c r="A129" t="s">
        <v>755</v>
      </c>
      <c r="B129" t="s">
        <v>1711</v>
      </c>
      <c r="C129" t="s">
        <v>2121</v>
      </c>
      <c r="D129" t="s">
        <v>2122</v>
      </c>
      <c r="E129" t="s">
        <v>2123</v>
      </c>
      <c r="F129" t="s">
        <v>2124</v>
      </c>
      <c r="G129" t="s">
        <v>2125</v>
      </c>
    </row>
    <row r="130" spans="1:7" x14ac:dyDescent="0.2">
      <c r="A130" t="s">
        <v>765</v>
      </c>
      <c r="B130" t="s">
        <v>1706</v>
      </c>
      <c r="C130" t="s">
        <v>2126</v>
      </c>
      <c r="D130" t="s">
        <v>2127</v>
      </c>
      <c r="E130" t="s">
        <v>2128</v>
      </c>
      <c r="F130" t="s">
        <v>2129</v>
      </c>
      <c r="G130" t="s">
        <v>2130</v>
      </c>
    </row>
    <row r="131" spans="1:7" x14ac:dyDescent="0.2">
      <c r="A131" t="s">
        <v>768</v>
      </c>
      <c r="B131" t="s">
        <v>1711</v>
      </c>
      <c r="C131" t="s">
        <v>2131</v>
      </c>
      <c r="D131" t="s">
        <v>2132</v>
      </c>
      <c r="E131" t="s">
        <v>2133</v>
      </c>
      <c r="F131" t="s">
        <v>2134</v>
      </c>
      <c r="G131" t="s">
        <v>2135</v>
      </c>
    </row>
    <row r="132" spans="1:7" x14ac:dyDescent="0.2">
      <c r="A132" t="s">
        <v>773</v>
      </c>
      <c r="B132" t="s">
        <v>1711</v>
      </c>
      <c r="C132" t="s">
        <v>2131</v>
      </c>
      <c r="D132" t="s">
        <v>2132</v>
      </c>
      <c r="E132" t="s">
        <v>2133</v>
      </c>
      <c r="F132" t="s">
        <v>2134</v>
      </c>
      <c r="G132" t="s">
        <v>2135</v>
      </c>
    </row>
    <row r="133" spans="1:7" x14ac:dyDescent="0.2">
      <c r="A133" t="s">
        <v>777</v>
      </c>
      <c r="B133" t="s">
        <v>1706</v>
      </c>
      <c r="C133" t="s">
        <v>2126</v>
      </c>
      <c r="D133" t="s">
        <v>2127</v>
      </c>
      <c r="E133" t="s">
        <v>2128</v>
      </c>
      <c r="F133" t="s">
        <v>2129</v>
      </c>
      <c r="G133" t="s">
        <v>2130</v>
      </c>
    </row>
    <row r="134" spans="1:7" x14ac:dyDescent="0.2">
      <c r="A134" t="s">
        <v>795</v>
      </c>
      <c r="B134" t="s">
        <v>1711</v>
      </c>
      <c r="C134" t="s">
        <v>2136</v>
      </c>
      <c r="D134" t="s">
        <v>2137</v>
      </c>
      <c r="E134" t="s">
        <v>2138</v>
      </c>
      <c r="F134" t="s">
        <v>2139</v>
      </c>
      <c r="G134" t="s">
        <v>2140</v>
      </c>
    </row>
    <row r="135" spans="1:7" x14ac:dyDescent="0.2">
      <c r="A135" t="s">
        <v>807</v>
      </c>
      <c r="B135" t="s">
        <v>1711</v>
      </c>
      <c r="C135" t="s">
        <v>2141</v>
      </c>
      <c r="D135" t="s">
        <v>2142</v>
      </c>
      <c r="E135" t="s">
        <v>2143</v>
      </c>
      <c r="F135" t="s">
        <v>2144</v>
      </c>
      <c r="G135" t="s">
        <v>2145</v>
      </c>
    </row>
    <row r="136" spans="1:7" x14ac:dyDescent="0.2">
      <c r="A136" t="s">
        <v>809</v>
      </c>
      <c r="B136" t="s">
        <v>1706</v>
      </c>
      <c r="C136" t="s">
        <v>2146</v>
      </c>
      <c r="D136" t="s">
        <v>2147</v>
      </c>
      <c r="E136" t="s">
        <v>2148</v>
      </c>
      <c r="F136" t="s">
        <v>2149</v>
      </c>
      <c r="G136" t="s">
        <v>2150</v>
      </c>
    </row>
    <row r="137" spans="1:7" x14ac:dyDescent="0.2">
      <c r="A137" t="s">
        <v>812</v>
      </c>
      <c r="B137" t="s">
        <v>1706</v>
      </c>
      <c r="C137" t="s">
        <v>2146</v>
      </c>
      <c r="D137" t="s">
        <v>2147</v>
      </c>
      <c r="E137" t="s">
        <v>2148</v>
      </c>
      <c r="F137" t="s">
        <v>2149</v>
      </c>
      <c r="G137" t="s">
        <v>2150</v>
      </c>
    </row>
    <row r="138" spans="1:7" x14ac:dyDescent="0.2">
      <c r="A138" t="s">
        <v>815</v>
      </c>
      <c r="B138" t="s">
        <v>1711</v>
      </c>
      <c r="C138" t="s">
        <v>2141</v>
      </c>
      <c r="D138" t="s">
        <v>2142</v>
      </c>
      <c r="E138" t="s">
        <v>2143</v>
      </c>
      <c r="F138" t="s">
        <v>2144</v>
      </c>
      <c r="G138" t="s">
        <v>2145</v>
      </c>
    </row>
    <row r="139" spans="1:7" x14ac:dyDescent="0.2">
      <c r="A139" t="s">
        <v>826</v>
      </c>
      <c r="B139" t="s">
        <v>1711</v>
      </c>
      <c r="C139" t="s">
        <v>2151</v>
      </c>
      <c r="D139" t="s">
        <v>2152</v>
      </c>
      <c r="E139" t="s">
        <v>2153</v>
      </c>
      <c r="F139" t="s">
        <v>2154</v>
      </c>
      <c r="G139" t="s">
        <v>2155</v>
      </c>
    </row>
    <row r="140" spans="1:7" x14ac:dyDescent="0.2">
      <c r="A140" t="s">
        <v>840</v>
      </c>
      <c r="B140" t="s">
        <v>1711</v>
      </c>
      <c r="C140" t="s">
        <v>2151</v>
      </c>
      <c r="D140" t="s">
        <v>2152</v>
      </c>
      <c r="E140" t="s">
        <v>2153</v>
      </c>
      <c r="F140" t="s">
        <v>2154</v>
      </c>
      <c r="G140" t="s">
        <v>2155</v>
      </c>
    </row>
    <row r="141" spans="1:7" x14ac:dyDescent="0.2">
      <c r="A141" t="s">
        <v>847</v>
      </c>
      <c r="B141" t="s">
        <v>1711</v>
      </c>
      <c r="C141" t="s">
        <v>2151</v>
      </c>
      <c r="D141" t="s">
        <v>2152</v>
      </c>
      <c r="E141" t="s">
        <v>2153</v>
      </c>
      <c r="F141" t="s">
        <v>2154</v>
      </c>
      <c r="G141" t="s">
        <v>2155</v>
      </c>
    </row>
    <row r="142" spans="1:7" x14ac:dyDescent="0.2">
      <c r="A142" t="s">
        <v>872</v>
      </c>
      <c r="B142" t="s">
        <v>1711</v>
      </c>
      <c r="C142" t="s">
        <v>2156</v>
      </c>
      <c r="D142" t="s">
        <v>2157</v>
      </c>
      <c r="E142" t="s">
        <v>2158</v>
      </c>
      <c r="F142" t="s">
        <v>2159</v>
      </c>
      <c r="G142" t="s">
        <v>2160</v>
      </c>
    </row>
    <row r="143" spans="1:7" x14ac:dyDescent="0.2">
      <c r="A143" t="s">
        <v>873</v>
      </c>
      <c r="B143" t="s">
        <v>1706</v>
      </c>
      <c r="C143" t="s">
        <v>2161</v>
      </c>
      <c r="D143" t="s">
        <v>2162</v>
      </c>
      <c r="E143" t="s">
        <v>2163</v>
      </c>
      <c r="F143" t="s">
        <v>2164</v>
      </c>
      <c r="G143" t="s">
        <v>2165</v>
      </c>
    </row>
    <row r="144" spans="1:7" x14ac:dyDescent="0.2">
      <c r="A144" t="s">
        <v>872</v>
      </c>
      <c r="B144" t="s">
        <v>1711</v>
      </c>
      <c r="C144" t="s">
        <v>2156</v>
      </c>
      <c r="D144" t="s">
        <v>2157</v>
      </c>
      <c r="E144" t="s">
        <v>2158</v>
      </c>
      <c r="F144" t="s">
        <v>2159</v>
      </c>
      <c r="G144" t="s">
        <v>2160</v>
      </c>
    </row>
    <row r="145" spans="1:7" x14ac:dyDescent="0.2">
      <c r="A145" t="s">
        <v>873</v>
      </c>
      <c r="B145" t="s">
        <v>1706</v>
      </c>
      <c r="C145" t="s">
        <v>2161</v>
      </c>
      <c r="D145" t="s">
        <v>2162</v>
      </c>
      <c r="E145" t="s">
        <v>2163</v>
      </c>
      <c r="F145" t="s">
        <v>2164</v>
      </c>
      <c r="G145" t="s">
        <v>2165</v>
      </c>
    </row>
    <row r="146" spans="1:7" x14ac:dyDescent="0.2">
      <c r="A146" t="s">
        <v>8</v>
      </c>
      <c r="B146" t="s">
        <v>1706</v>
      </c>
      <c r="C146" t="s">
        <v>1707</v>
      </c>
      <c r="D146" t="s">
        <v>1708</v>
      </c>
      <c r="E146" t="s">
        <v>1709</v>
      </c>
      <c r="F146" t="s">
        <v>1710</v>
      </c>
      <c r="G146" t="s">
        <v>936</v>
      </c>
    </row>
    <row r="147" spans="1:7" x14ac:dyDescent="0.2">
      <c r="A147" t="s">
        <v>12</v>
      </c>
      <c r="B147" t="s">
        <v>1711</v>
      </c>
      <c r="C147" t="s">
        <v>1712</v>
      </c>
      <c r="D147" t="s">
        <v>1713</v>
      </c>
      <c r="E147" t="s">
        <v>1714</v>
      </c>
      <c r="F147" t="s">
        <v>1715</v>
      </c>
      <c r="G147" t="s">
        <v>940</v>
      </c>
    </row>
    <row r="148" spans="1:7" x14ac:dyDescent="0.2">
      <c r="A148" t="s">
        <v>22</v>
      </c>
      <c r="B148" t="s">
        <v>1711</v>
      </c>
      <c r="C148" t="s">
        <v>1716</v>
      </c>
      <c r="D148" t="s">
        <v>1717</v>
      </c>
      <c r="E148" t="s">
        <v>1718</v>
      </c>
      <c r="F148" t="s">
        <v>1719</v>
      </c>
      <c r="G148" t="s">
        <v>950</v>
      </c>
    </row>
    <row r="149" spans="1:7" x14ac:dyDescent="0.2">
      <c r="A149" t="s">
        <v>27</v>
      </c>
      <c r="B149" t="s">
        <v>1711</v>
      </c>
      <c r="C149" t="s">
        <v>1720</v>
      </c>
      <c r="D149" t="s">
        <v>1721</v>
      </c>
      <c r="E149" t="s">
        <v>1722</v>
      </c>
      <c r="F149" t="s">
        <v>1723</v>
      </c>
      <c r="G149" t="s">
        <v>955</v>
      </c>
    </row>
    <row r="150" spans="1:7" x14ac:dyDescent="0.2">
      <c r="A150" t="s">
        <v>29</v>
      </c>
      <c r="B150" t="s">
        <v>1711</v>
      </c>
      <c r="C150" t="s">
        <v>1724</v>
      </c>
      <c r="D150" t="s">
        <v>1725</v>
      </c>
      <c r="E150" t="s">
        <v>1726</v>
      </c>
      <c r="F150" t="s">
        <v>1727</v>
      </c>
      <c r="G150" t="s">
        <v>957</v>
      </c>
    </row>
    <row r="151" spans="1:7" x14ac:dyDescent="0.2">
      <c r="A151" t="s">
        <v>31</v>
      </c>
      <c r="B151" t="s">
        <v>1728</v>
      </c>
      <c r="C151" t="s">
        <v>1729</v>
      </c>
      <c r="D151" t="s">
        <v>1730</v>
      </c>
      <c r="E151" t="s">
        <v>1731</v>
      </c>
      <c r="F151" t="s">
        <v>1732</v>
      </c>
      <c r="G151" t="s">
        <v>959</v>
      </c>
    </row>
    <row r="152" spans="1:7" x14ac:dyDescent="0.2">
      <c r="A152" t="s">
        <v>37</v>
      </c>
      <c r="B152" t="s">
        <v>1711</v>
      </c>
      <c r="C152" t="s">
        <v>1733</v>
      </c>
      <c r="D152" t="s">
        <v>1734</v>
      </c>
      <c r="E152" t="s">
        <v>1735</v>
      </c>
      <c r="F152" t="s">
        <v>1736</v>
      </c>
      <c r="G152" t="s">
        <v>969</v>
      </c>
    </row>
    <row r="153" spans="1:7" x14ac:dyDescent="0.2">
      <c r="A153" t="s">
        <v>47</v>
      </c>
      <c r="B153" t="s">
        <v>1711</v>
      </c>
      <c r="C153" t="s">
        <v>1737</v>
      </c>
      <c r="D153" t="s">
        <v>1738</v>
      </c>
      <c r="E153" t="s">
        <v>1739</v>
      </c>
      <c r="F153" t="s">
        <v>1740</v>
      </c>
      <c r="G153" t="s">
        <v>979</v>
      </c>
    </row>
    <row r="154" spans="1:7" x14ac:dyDescent="0.2">
      <c r="A154" t="s">
        <v>914</v>
      </c>
      <c r="B154" t="s">
        <v>1711</v>
      </c>
      <c r="C154" t="s">
        <v>2166</v>
      </c>
      <c r="D154" t="s">
        <v>2167</v>
      </c>
      <c r="E154" t="s">
        <v>2168</v>
      </c>
      <c r="F154" t="s">
        <v>2169</v>
      </c>
      <c r="G154" t="s">
        <v>2170</v>
      </c>
    </row>
    <row r="155" spans="1:7" x14ac:dyDescent="0.2">
      <c r="A155" t="s">
        <v>922</v>
      </c>
      <c r="B155" t="s">
        <v>1711</v>
      </c>
      <c r="C155" t="s">
        <v>2166</v>
      </c>
      <c r="D155" t="s">
        <v>2167</v>
      </c>
      <c r="E155" t="s">
        <v>2168</v>
      </c>
      <c r="F155" t="s">
        <v>2169</v>
      </c>
      <c r="G155" t="s">
        <v>2170</v>
      </c>
    </row>
    <row r="156" spans="1:7" x14ac:dyDescent="0.2">
      <c r="A156" t="s">
        <v>1518</v>
      </c>
      <c r="B156" t="s">
        <v>1706</v>
      </c>
      <c r="C156" t="s">
        <v>2171</v>
      </c>
      <c r="D156" t="s">
        <v>2172</v>
      </c>
      <c r="E156" t="s">
        <v>2173</v>
      </c>
      <c r="F156" t="s">
        <v>2174</v>
      </c>
      <c r="G156" t="s">
        <v>2175</v>
      </c>
    </row>
    <row r="157" spans="1:7" x14ac:dyDescent="0.2">
      <c r="A157" t="s">
        <v>1520</v>
      </c>
      <c r="B157" t="s">
        <v>1711</v>
      </c>
      <c r="C157" t="s">
        <v>2176</v>
      </c>
      <c r="D157" t="s">
        <v>2177</v>
      </c>
      <c r="E157" t="s">
        <v>2178</v>
      </c>
      <c r="F157" t="s">
        <v>2179</v>
      </c>
      <c r="G157" t="s">
        <v>2180</v>
      </c>
    </row>
    <row r="158" spans="1:7" x14ac:dyDescent="0.2">
      <c r="A158" t="s">
        <v>1525</v>
      </c>
      <c r="B158" t="s">
        <v>1728</v>
      </c>
      <c r="C158" t="s">
        <v>2181</v>
      </c>
      <c r="D158" t="s">
        <v>2182</v>
      </c>
      <c r="E158" t="s">
        <v>1731</v>
      </c>
      <c r="F158" t="s">
        <v>2183</v>
      </c>
      <c r="G158" t="s">
        <v>2184</v>
      </c>
    </row>
    <row r="159" spans="1:7" x14ac:dyDescent="0.2">
      <c r="A159" t="s">
        <v>1530</v>
      </c>
      <c r="B159" t="s">
        <v>1711</v>
      </c>
      <c r="C159" t="s">
        <v>2185</v>
      </c>
      <c r="D159" t="s">
        <v>2186</v>
      </c>
      <c r="E159" t="s">
        <v>2187</v>
      </c>
      <c r="F159" t="s">
        <v>2188</v>
      </c>
      <c r="G159" t="s">
        <v>2189</v>
      </c>
    </row>
    <row r="160" spans="1:7" x14ac:dyDescent="0.2">
      <c r="A160" t="s">
        <v>1538</v>
      </c>
      <c r="B160" t="s">
        <v>1711</v>
      </c>
      <c r="C160" t="s">
        <v>1733</v>
      </c>
      <c r="D160" t="s">
        <v>1734</v>
      </c>
      <c r="E160" t="s">
        <v>1735</v>
      </c>
      <c r="F160" t="s">
        <v>1736</v>
      </c>
      <c r="G160" t="s">
        <v>969</v>
      </c>
    </row>
    <row r="161" spans="1:7" x14ac:dyDescent="0.2">
      <c r="A161" t="s">
        <v>1544</v>
      </c>
      <c r="B161" t="s">
        <v>1711</v>
      </c>
      <c r="C161" t="s">
        <v>1737</v>
      </c>
      <c r="D161" t="s">
        <v>1738</v>
      </c>
      <c r="E161" t="s">
        <v>1739</v>
      </c>
      <c r="F161" t="s">
        <v>1740</v>
      </c>
      <c r="G161" t="s">
        <v>979</v>
      </c>
    </row>
    <row r="162" spans="1:7" x14ac:dyDescent="0.2">
      <c r="A162" t="s">
        <v>1552</v>
      </c>
      <c r="B162" t="s">
        <v>1728</v>
      </c>
      <c r="C162" t="s">
        <v>2190</v>
      </c>
      <c r="D162" t="s">
        <v>2191</v>
      </c>
      <c r="E162" t="s">
        <v>2192</v>
      </c>
      <c r="F162" t="s">
        <v>2193</v>
      </c>
      <c r="G162" t="s">
        <v>2194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 enableFormatConditionsCalculation="0"/>
  <dimension ref="A1:J1014"/>
  <sheetViews>
    <sheetView tabSelected="1" workbookViewId="0">
      <selection activeCell="D38" sqref="D38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  <col min="8" max="8" width="89.1640625" customWidth="1"/>
  </cols>
  <sheetData>
    <row r="1" spans="1:9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</row>
    <row r="2" spans="1:9" hidden="1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  <c r="H2" t="s">
        <v>1566</v>
      </c>
      <c r="I2" t="s">
        <v>1671</v>
      </c>
    </row>
    <row r="3" spans="1:9" hidden="1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  <c r="H3" t="s">
        <v>1567</v>
      </c>
      <c r="I3" t="s">
        <v>1672</v>
      </c>
    </row>
    <row r="4" spans="1:9" hidden="1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  <c r="H4" t="s">
        <v>1568</v>
      </c>
      <c r="I4" t="s">
        <v>1673</v>
      </c>
    </row>
    <row r="5" spans="1:9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</row>
    <row r="6" spans="1:9" hidden="1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  <c r="H6" t="s">
        <v>1570</v>
      </c>
      <c r="I6" t="s">
        <v>1675</v>
      </c>
    </row>
    <row r="7" spans="1:9" hidden="1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  <c r="H7" t="s">
        <v>1571</v>
      </c>
      <c r="I7" t="s">
        <v>1676</v>
      </c>
    </row>
    <row r="8" spans="1:9" hidden="1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  <c r="H8" t="s">
        <v>1572</v>
      </c>
      <c r="I8" t="s">
        <v>1677</v>
      </c>
    </row>
    <row r="9" spans="1:9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</row>
    <row r="10" spans="1:9" hidden="1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  <c r="H10" t="s">
        <v>1571</v>
      </c>
      <c r="I10" t="s">
        <v>1679</v>
      </c>
    </row>
    <row r="11" spans="1:9" hidden="1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  <c r="H11" t="s">
        <v>1573</v>
      </c>
      <c r="I11" t="s">
        <v>1680</v>
      </c>
    </row>
    <row r="12" spans="1:9" hidden="1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  <c r="H12" t="s">
        <v>1574</v>
      </c>
      <c r="I12" t="s">
        <v>1681</v>
      </c>
    </row>
    <row r="13" spans="1:9" hidden="1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  <c r="H13" t="s">
        <v>1575</v>
      </c>
      <c r="I13" t="s">
        <v>1682</v>
      </c>
    </row>
    <row r="14" spans="1:9" hidden="1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  <c r="H14" t="s">
        <v>1576</v>
      </c>
      <c r="I14" t="s">
        <v>1683</v>
      </c>
    </row>
    <row r="15" spans="1:9" hidden="1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  <c r="H15" t="s">
        <v>1577</v>
      </c>
      <c r="I15" t="s">
        <v>1684</v>
      </c>
    </row>
    <row r="16" spans="1:9" hidden="1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  <c r="H16" t="s">
        <v>1578</v>
      </c>
      <c r="I16" t="s">
        <v>1685</v>
      </c>
    </row>
    <row r="17" spans="1:10" hidden="1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  <c r="H17" t="s">
        <v>1579</v>
      </c>
      <c r="I17" t="s">
        <v>1686</v>
      </c>
      <c r="J17" t="s">
        <v>1687</v>
      </c>
    </row>
    <row r="18" spans="1:10" hidden="1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  <c r="H18" t="s">
        <v>1580</v>
      </c>
      <c r="I18" t="s">
        <v>1688</v>
      </c>
    </row>
    <row r="19" spans="1:10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</row>
    <row r="20" spans="1:10" hidden="1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  <c r="H20" t="s">
        <v>1581</v>
      </c>
      <c r="I20" t="s">
        <v>1690</v>
      </c>
    </row>
    <row r="21" spans="1:10" hidden="1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  <c r="H21" t="s">
        <v>1582</v>
      </c>
      <c r="I21" t="s">
        <v>1691</v>
      </c>
    </row>
    <row r="22" spans="1:10" hidden="1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  <c r="H22" t="s">
        <v>1583</v>
      </c>
      <c r="I22" t="s">
        <v>1692</v>
      </c>
    </row>
    <row r="23" spans="1:10" hidden="1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  <c r="H23" t="s">
        <v>1580</v>
      </c>
      <c r="I23" t="s">
        <v>1693</v>
      </c>
    </row>
    <row r="24" spans="1:10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</row>
    <row r="25" spans="1:10" hidden="1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  <c r="H25" t="s">
        <v>1584</v>
      </c>
      <c r="I25" t="s">
        <v>1695</v>
      </c>
    </row>
    <row r="26" spans="1:10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</row>
    <row r="27" spans="1:10" hidden="1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  <c r="H27" t="s">
        <v>1585</v>
      </c>
    </row>
    <row r="28" spans="1:10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</row>
    <row r="29" spans="1:10" hidden="1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  <c r="H29" t="s">
        <v>1586</v>
      </c>
      <c r="I29" t="s">
        <v>1696</v>
      </c>
    </row>
    <row r="30" spans="1:10" hidden="1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  <c r="H30" t="s">
        <v>1587</v>
      </c>
      <c r="I30" t="s">
        <v>1697</v>
      </c>
    </row>
    <row r="31" spans="1:10" hidden="1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  <c r="H31" t="s">
        <v>1588</v>
      </c>
      <c r="I31" t="s">
        <v>1698</v>
      </c>
    </row>
    <row r="32" spans="1:10" hidden="1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  <c r="H32" t="s">
        <v>1589</v>
      </c>
      <c r="I32" t="s">
        <v>1699</v>
      </c>
    </row>
    <row r="33" spans="1:9" hidden="1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  <c r="H33" t="s">
        <v>1590</v>
      </c>
      <c r="I33" t="s">
        <v>1700</v>
      </c>
    </row>
    <row r="34" spans="1:9" hidden="1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  <c r="H34" t="s">
        <v>1591</v>
      </c>
      <c r="I34" t="s">
        <v>1701</v>
      </c>
    </row>
    <row r="35" spans="1:9" hidden="1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  <c r="H35" t="s">
        <v>1592</v>
      </c>
      <c r="I35" t="s">
        <v>1702</v>
      </c>
    </row>
    <row r="36" spans="1:9" hidden="1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  <c r="H36" t="s">
        <v>1593</v>
      </c>
      <c r="I36" t="s">
        <v>1705</v>
      </c>
    </row>
    <row r="37" spans="1:9" hidden="1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  <c r="H37" t="s">
        <v>1594</v>
      </c>
    </row>
    <row r="38" spans="1:9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</row>
    <row r="39" spans="1:9" hidden="1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  <c r="H39" t="s">
        <v>1595</v>
      </c>
    </row>
    <row r="40" spans="1:9" hidden="1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  <c r="H40" t="s">
        <v>1596</v>
      </c>
    </row>
    <row r="41" spans="1:9" hidden="1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  <c r="H41" t="s">
        <v>1597</v>
      </c>
    </row>
    <row r="42" spans="1:9" hidden="1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  <c r="H42" t="s">
        <v>1598</v>
      </c>
    </row>
    <row r="43" spans="1:9" hidden="1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  <c r="H43" t="s">
        <v>1599</v>
      </c>
    </row>
    <row r="44" spans="1:9" hidden="1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  <c r="H44" t="s">
        <v>1600</v>
      </c>
    </row>
    <row r="45" spans="1:9" hidden="1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  <c r="H45" t="s">
        <v>1601</v>
      </c>
    </row>
    <row r="46" spans="1:9" hidden="1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  <c r="H46" t="s">
        <v>1602</v>
      </c>
    </row>
    <row r="47" spans="1:9" hidden="1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  <c r="H47" t="s">
        <v>1593</v>
      </c>
    </row>
    <row r="48" spans="1:9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</row>
    <row r="49" spans="1:8" hidden="1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  <c r="H49" t="s">
        <v>1603</v>
      </c>
    </row>
    <row r="50" spans="1:8" hidden="1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  <c r="H50" t="s">
        <v>1604</v>
      </c>
    </row>
    <row r="51" spans="1:8" hidden="1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  <c r="H51" t="s">
        <v>1605</v>
      </c>
    </row>
    <row r="52" spans="1:8" hidden="1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  <c r="H52" t="s">
        <v>1606</v>
      </c>
    </row>
    <row r="53" spans="1:8" hidden="1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  <c r="H53" t="s">
        <v>1607</v>
      </c>
    </row>
    <row r="54" spans="1:8" hidden="1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  <c r="H54" t="s">
        <v>1608</v>
      </c>
    </row>
    <row r="55" spans="1:8" hidden="1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  <c r="H55" t="s">
        <v>1609</v>
      </c>
    </row>
    <row r="56" spans="1:8" hidden="1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  <c r="H56" t="s">
        <v>1602</v>
      </c>
    </row>
    <row r="57" spans="1:8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</row>
    <row r="58" spans="1:8" hidden="1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  <c r="H58" t="s">
        <v>1610</v>
      </c>
    </row>
    <row r="59" spans="1:8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</row>
    <row r="60" spans="1:8" hidden="1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  <c r="H60" t="s">
        <v>1611</v>
      </c>
    </row>
    <row r="61" spans="1:8" hidden="1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  <c r="H61" t="s">
        <v>1612</v>
      </c>
    </row>
    <row r="62" spans="1:8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</row>
    <row r="63" spans="1:8" hidden="1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  <c r="H63" t="s">
        <v>1613</v>
      </c>
    </row>
    <row r="64" spans="1:8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</row>
    <row r="65" spans="1:8" hidden="1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  <c r="H65" t="s">
        <v>1614</v>
      </c>
    </row>
    <row r="66" spans="1:8" hidden="1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  <c r="H66" t="s">
        <v>1615</v>
      </c>
    </row>
    <row r="67" spans="1:8" hidden="1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  <c r="H67" t="s">
        <v>1616</v>
      </c>
    </row>
    <row r="68" spans="1:8" hidden="1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  <c r="H68" t="s">
        <v>1617</v>
      </c>
    </row>
    <row r="69" spans="1:8" hidden="1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  <c r="H69" t="s">
        <v>1618</v>
      </c>
    </row>
    <row r="70" spans="1:8" hidden="1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  <c r="H70" t="s">
        <v>1619</v>
      </c>
    </row>
    <row r="71" spans="1:8" hidden="1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  <c r="H71" t="s">
        <v>1620</v>
      </c>
    </row>
    <row r="72" spans="1:8" hidden="1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  <c r="H72" t="s">
        <v>1621</v>
      </c>
    </row>
    <row r="73" spans="1:8" hidden="1" x14ac:dyDescent="0.2">
      <c r="A73" t="s">
        <v>73</v>
      </c>
      <c r="B73" t="str">
        <f t="shared" si="6"/>
        <v>Canadian Tire</v>
      </c>
      <c r="C73" t="str">
        <f t="shared" si="7"/>
        <v>45.3048483</v>
      </c>
      <c r="D73" t="str">
        <f t="shared" si="8"/>
        <v>-75.0842176</v>
      </c>
      <c r="E73" t="str">
        <f t="shared" si="9"/>
        <v>613-764-0401</v>
      </c>
      <c r="F73" t="str">
        <f t="shared" si="10"/>
        <v>K0A 1M0</v>
      </c>
      <c r="G73" t="str">
        <f t="shared" si="11"/>
        <v>[ "Canadian Tire", 45.3048483, -75.0842176, '613-764-0401', 'K0A 1M0'],</v>
      </c>
      <c r="H73" t="s">
        <v>1622</v>
      </c>
    </row>
    <row r="74" spans="1:8" hidden="1" x14ac:dyDescent="0.2">
      <c r="A74" t="s">
        <v>74</v>
      </c>
      <c r="B74" t="str">
        <f t="shared" si="6"/>
        <v>The Source</v>
      </c>
      <c r="C74" t="str">
        <f t="shared" si="7"/>
        <v>45.30585</v>
      </c>
      <c r="D74" t="str">
        <f t="shared" si="8"/>
        <v>-75.08342</v>
      </c>
      <c r="E74" t="str">
        <f t="shared" si="9"/>
        <v>613-764-2023</v>
      </c>
      <c r="F74" t="str">
        <f t="shared" si="10"/>
        <v>K0A 1M0</v>
      </c>
      <c r="G74" t="str">
        <f t="shared" si="11"/>
        <v>[ "The Source", 45.30585, -75.08342, '613-764-2023', 'K0A 1M0'],</v>
      </c>
      <c r="H74" t="s">
        <v>1619</v>
      </c>
    </row>
    <row r="75" spans="1:8" hidden="1" x14ac:dyDescent="0.2">
      <c r="A75" t="s">
        <v>75</v>
      </c>
      <c r="B75" t="str">
        <f t="shared" si="6"/>
        <v>Jean Coutu</v>
      </c>
      <c r="C75" t="str">
        <f t="shared" si="7"/>
        <v>45.32124</v>
      </c>
      <c r="D75" t="str">
        <f t="shared" si="8"/>
        <v>-75.10929</v>
      </c>
      <c r="E75" t="str">
        <f t="shared" si="9"/>
        <v>613-764-5455</v>
      </c>
      <c r="F75" t="str">
        <f t="shared" si="10"/>
        <v>K0A 1M0</v>
      </c>
      <c r="G75" t="str">
        <f t="shared" si="11"/>
        <v>[ "Jean Coutu", 45.32124, -75.10929, '613-764-5455', 'K0A 1M0'],</v>
      </c>
      <c r="H75" t="s">
        <v>1620</v>
      </c>
    </row>
    <row r="76" spans="1:8" hidden="1" x14ac:dyDescent="0.2">
      <c r="A76" t="s">
        <v>76</v>
      </c>
      <c r="B76" t="str">
        <f t="shared" si="6"/>
        <v>The Source</v>
      </c>
      <c r="C76" t="str">
        <f t="shared" si="7"/>
        <v>45.26869</v>
      </c>
      <c r="D76" t="str">
        <f t="shared" si="8"/>
        <v>-75.29589</v>
      </c>
      <c r="E76" t="str">
        <f t="shared" si="9"/>
        <v>613-443-5642</v>
      </c>
      <c r="F76" t="str">
        <f t="shared" si="10"/>
        <v>K0A 1W1</v>
      </c>
      <c r="G76" t="str">
        <f t="shared" si="11"/>
        <v>[ "The Source", 45.26869, -75.29589, '613-443-5642', 'K0A 1W1'],</v>
      </c>
      <c r="H76" t="s">
        <v>1623</v>
      </c>
    </row>
    <row r="77" spans="1:8" hidden="1" x14ac:dyDescent="0.2">
      <c r="A77" t="s">
        <v>77</v>
      </c>
      <c r="B77" t="str">
        <f t="shared" si="6"/>
        <v>Township of Russell</v>
      </c>
      <c r="C77" t="str">
        <f t="shared" si="7"/>
        <v>45.2672597504255</v>
      </c>
      <c r="D77" t="str">
        <f t="shared" si="8"/>
        <v>-75.3059172717022</v>
      </c>
      <c r="E77" t="str">
        <f t="shared" si="9"/>
        <v>613-443-3066</v>
      </c>
      <c r="F77" t="str">
        <f t="shared" si="10"/>
        <v>K0A 1W1</v>
      </c>
      <c r="G77" t="str">
        <f t="shared" si="11"/>
        <v>[ "Township of Russell", 45.2672597504255, -75.3059172717022, '613-443-3066', 'K0A 1W1'],</v>
      </c>
      <c r="H77" t="s">
        <v>1624</v>
      </c>
    </row>
    <row r="78" spans="1:8" hidden="1" x14ac:dyDescent="0.2">
      <c r="A78" t="s">
        <v>79</v>
      </c>
      <c r="B78" t="str">
        <f t="shared" si="6"/>
        <v>Christie and Walther</v>
      </c>
      <c r="C78" t="str">
        <f t="shared" si="7"/>
        <v>44.6217044</v>
      </c>
      <c r="D78" t="str">
        <f t="shared" si="8"/>
        <v>-75.7652559</v>
      </c>
      <c r="E78" t="str">
        <f t="shared" si="9"/>
        <v>613-342-6005</v>
      </c>
      <c r="F78" t="str">
        <f t="shared" si="10"/>
        <v>K6T 1A8</v>
      </c>
      <c r="G78" t="str">
        <f t="shared" si="11"/>
        <v>[ "Christie and Walther", 44.6217044, -75.7652559, '613-342-6005', 'K6T 1A8'],</v>
      </c>
      <c r="H78" t="s">
        <v>1625</v>
      </c>
    </row>
    <row r="79" spans="1:8" hidden="1" x14ac:dyDescent="0.2">
      <c r="A79" t="s">
        <v>80</v>
      </c>
      <c r="B79" t="str">
        <f t="shared" si="6"/>
        <v>RONA</v>
      </c>
      <c r="C79" t="str">
        <f t="shared" si="7"/>
        <v>44.6032662</v>
      </c>
      <c r="D79" t="str">
        <f t="shared" si="8"/>
        <v>-75.7139239</v>
      </c>
      <c r="E79" t="str">
        <f t="shared" si="9"/>
        <v>613-342-8714</v>
      </c>
      <c r="F79" t="str">
        <f t="shared" si="10"/>
        <v>K6V 7H2</v>
      </c>
      <c r="G79" t="str">
        <f t="shared" si="11"/>
        <v>[ "RONA", 44.6032662, -75.7139239, '613-342-8714', 'K6V 7H2'],</v>
      </c>
      <c r="H79" t="s">
        <v>1626</v>
      </c>
    </row>
    <row r="80" spans="1:8" hidden="1" x14ac:dyDescent="0.2">
      <c r="A80" t="s">
        <v>81</v>
      </c>
      <c r="B80" t="str">
        <f t="shared" si="6"/>
        <v>The Source</v>
      </c>
      <c r="C80" t="str">
        <f t="shared" si="7"/>
        <v>44.60479</v>
      </c>
      <c r="D80" t="str">
        <f t="shared" si="8"/>
        <v>-75.69913</v>
      </c>
      <c r="E80" t="str">
        <f t="shared" si="9"/>
        <v>613-342-8298</v>
      </c>
      <c r="F80" t="str">
        <f t="shared" si="10"/>
        <v>K6V 3G9</v>
      </c>
      <c r="G80" t="str">
        <f t="shared" si="11"/>
        <v>[ "The Source", 44.60479, -75.69913, '613-342-8298', 'K6V 3G9'],</v>
      </c>
      <c r="H80" t="s">
        <v>1623</v>
      </c>
    </row>
    <row r="81" spans="1:8" x14ac:dyDescent="0.2">
      <c r="A81" t="s">
        <v>82</v>
      </c>
      <c r="B81" t="str">
        <f t="shared" si="6"/>
        <v>Staples</v>
      </c>
      <c r="C81" t="str">
        <f t="shared" si="7"/>
        <v>44.6040935</v>
      </c>
      <c r="D81" t="str">
        <f t="shared" si="8"/>
        <v>-75.6989553</v>
      </c>
      <c r="E81" t="str">
        <f t="shared" si="9"/>
        <v>613-498-2616</v>
      </c>
      <c r="F81" t="str">
        <f t="shared" si="10"/>
        <v>K6V 3G9</v>
      </c>
      <c r="G81" t="str">
        <f t="shared" si="11"/>
        <v>[ "Staples", 44.6040935, -75.6989553, '613-498-2616', 'K6V 3G9'],</v>
      </c>
    </row>
    <row r="82" spans="1:8" hidden="1" x14ac:dyDescent="0.2">
      <c r="A82" t="s">
        <v>83</v>
      </c>
      <c r="B82" t="str">
        <f t="shared" si="6"/>
        <v>Home Depot</v>
      </c>
      <c r="C82" t="str">
        <f t="shared" si="7"/>
        <v>44.6107622222222</v>
      </c>
      <c r="D82" t="str">
        <f t="shared" si="8"/>
        <v>-75.690042962963</v>
      </c>
      <c r="E82" t="str">
        <f t="shared" si="9"/>
        <v>613-498-9600</v>
      </c>
      <c r="F82" t="str">
        <f t="shared" si="10"/>
        <v>K6V 5T2</v>
      </c>
      <c r="G82" t="str">
        <f t="shared" si="11"/>
        <v>[ "Home Depot", 44.6107622222222, -75.690042962963, '613-498-9600', 'K6V 5T2'],</v>
      </c>
      <c r="H82" t="s">
        <v>1623</v>
      </c>
    </row>
    <row r="83" spans="1:8" hidden="1" x14ac:dyDescent="0.2">
      <c r="A83" t="s">
        <v>84</v>
      </c>
      <c r="B83" t="str">
        <f t="shared" si="6"/>
        <v>ListenUp! Canada</v>
      </c>
      <c r="C83" t="str">
        <f t="shared" si="7"/>
        <v>44.59284</v>
      </c>
      <c r="D83" t="str">
        <f t="shared" si="8"/>
        <v>-75.68881</v>
      </c>
      <c r="E83" t="str">
        <f t="shared" si="9"/>
        <v>613-342-7821</v>
      </c>
      <c r="F83" t="str">
        <f t="shared" si="10"/>
        <v>K6V 4V5</v>
      </c>
      <c r="G83" t="str">
        <f t="shared" si="11"/>
        <v>[ "ListenUp! Canada", 44.59284, -75.68881, '613-342-7821', 'K6V 4V5'],</v>
      </c>
      <c r="H83" t="s">
        <v>1621</v>
      </c>
    </row>
    <row r="84" spans="1:8" hidden="1" x14ac:dyDescent="0.2">
      <c r="A84" t="s">
        <v>86</v>
      </c>
      <c r="B84" t="str">
        <f t="shared" si="6"/>
        <v>Kingston Area Recycling Centre</v>
      </c>
      <c r="C84" t="str">
        <f t="shared" si="7"/>
        <v>44.2641926530612</v>
      </c>
      <c r="D84" t="str">
        <f t="shared" si="8"/>
        <v>-76.5095706122449</v>
      </c>
      <c r="E84" t="str">
        <f t="shared" si="9"/>
        <v>613-546-4291</v>
      </c>
      <c r="F84" t="str">
        <f t="shared" si="10"/>
        <v>K7K 6Z4</v>
      </c>
      <c r="G84" t="str">
        <f t="shared" si="11"/>
        <v>[ "Kingston Area Recycling Centre", 44.2641926530612, -76.5095706122449, '613-546-4291', 'K7K 6Z4'],</v>
      </c>
      <c r="H84" t="s">
        <v>1627</v>
      </c>
    </row>
    <row r="85" spans="1:8" hidden="1" x14ac:dyDescent="0.2">
      <c r="A85" t="s">
        <v>87</v>
      </c>
      <c r="B85" t="str">
        <f t="shared" si="6"/>
        <v>Christie and Walther</v>
      </c>
      <c r="C85" t="str">
        <f t="shared" si="7"/>
        <v>44.2742812222652</v>
      </c>
      <c r="D85" t="str">
        <f t="shared" si="8"/>
        <v>-76.5654773740755</v>
      </c>
      <c r="E85" t="str">
        <f t="shared" si="9"/>
        <v>613-634-3636</v>
      </c>
      <c r="F85" t="str">
        <f t="shared" si="10"/>
        <v>K7P 2T4</v>
      </c>
      <c r="G85" t="str">
        <f t="shared" si="11"/>
        <v>[ "Christie and Walther", 44.2742812222652, -76.5654773740755, '613-634-3636', 'K7P 2T4'],</v>
      </c>
      <c r="H85" t="s">
        <v>1628</v>
      </c>
    </row>
    <row r="86" spans="1:8" hidden="1" x14ac:dyDescent="0.2">
      <c r="A86" t="s">
        <v>88</v>
      </c>
      <c r="B86" t="str">
        <f t="shared" si="6"/>
        <v>RONA</v>
      </c>
      <c r="C86" t="str">
        <f t="shared" si="7"/>
        <v>44.2581559259259</v>
      </c>
      <c r="D86" t="str">
        <f t="shared" si="8"/>
        <v>-76.5518459259259</v>
      </c>
      <c r="E86" t="str">
        <f t="shared" si="9"/>
        <v>613-531-6225</v>
      </c>
      <c r="F86" t="str">
        <f t="shared" si="10"/>
        <v>K7M 3G4</v>
      </c>
      <c r="G86" t="str">
        <f t="shared" si="11"/>
        <v>[ "RONA", 44.2581559259259, -76.5518459259259, '613-531-6225', 'K7M 3G4'],</v>
      </c>
      <c r="H86" t="s">
        <v>1629</v>
      </c>
    </row>
    <row r="87" spans="1:8" hidden="1" x14ac:dyDescent="0.2">
      <c r="A87" t="s">
        <v>89</v>
      </c>
      <c r="B87" t="str">
        <f t="shared" si="6"/>
        <v>Princess Auto</v>
      </c>
      <c r="C87" t="str">
        <f t="shared" si="7"/>
        <v>44.2617269559147</v>
      </c>
      <c r="D87" t="str">
        <f t="shared" si="8"/>
        <v>-76.559581905584</v>
      </c>
      <c r="E87" t="str">
        <f t="shared" si="9"/>
        <v>613-530-3790</v>
      </c>
      <c r="F87" t="str">
        <f t="shared" si="10"/>
        <v>K7P 2S5</v>
      </c>
      <c r="G87" t="str">
        <f t="shared" si="11"/>
        <v>[ "Princess Auto", 44.2617269559147, -76.559581905584, '613-530-3790', 'K7P 2S5'],</v>
      </c>
      <c r="H87" t="s">
        <v>1617</v>
      </c>
    </row>
    <row r="88" spans="1:8" x14ac:dyDescent="0.2">
      <c r="A88" t="s">
        <v>90</v>
      </c>
      <c r="B88" t="str">
        <f t="shared" si="6"/>
        <v>Staples</v>
      </c>
      <c r="C88" t="str">
        <f t="shared" si="7"/>
        <v>44.23259</v>
      </c>
      <c r="D88" t="str">
        <f t="shared" si="8"/>
        <v>-76.4832707142857</v>
      </c>
      <c r="E88" t="str">
        <f t="shared" si="9"/>
        <v>613-542-3585</v>
      </c>
      <c r="F88" t="str">
        <f t="shared" si="10"/>
        <v>K7K 1A5</v>
      </c>
      <c r="G88" t="str">
        <f t="shared" si="11"/>
        <v>[ "Staples", 44.23259, -76.4832707142857, '613-542-3585', 'K7K 1A5'],</v>
      </c>
    </row>
    <row r="89" spans="1:8" hidden="1" x14ac:dyDescent="0.2">
      <c r="A89" t="s">
        <v>91</v>
      </c>
      <c r="B89" t="str">
        <f t="shared" si="6"/>
        <v>Canadian Tire</v>
      </c>
      <c r="C89" t="str">
        <f t="shared" si="7"/>
        <v>44.337385</v>
      </c>
      <c r="D89" t="str">
        <f t="shared" si="8"/>
        <v>-76.1504239285714</v>
      </c>
      <c r="E89" t="str">
        <f t="shared" si="9"/>
        <v>613-382-3729</v>
      </c>
      <c r="F89" t="str">
        <f t="shared" si="10"/>
        <v>K7G 1H4</v>
      </c>
      <c r="G89" t="str">
        <f t="shared" si="11"/>
        <v>[ "Canadian Tire", 44.337385, -76.1504239285714, '613-382-3729', 'K7G 1H4'],</v>
      </c>
      <c r="H89" t="s">
        <v>1630</v>
      </c>
    </row>
    <row r="90" spans="1:8" hidden="1" x14ac:dyDescent="0.2">
      <c r="A90" t="s">
        <v>92</v>
      </c>
      <c r="B90" t="str">
        <f t="shared" si="6"/>
        <v>ListenUp! Canada</v>
      </c>
      <c r="C90" t="str">
        <f t="shared" si="7"/>
        <v>44.230993125</v>
      </c>
      <c r="D90" t="str">
        <f t="shared" si="8"/>
        <v>-76.485105</v>
      </c>
      <c r="E90" t="str">
        <f t="shared" si="9"/>
        <v>613-546-2250</v>
      </c>
      <c r="F90" t="str">
        <f t="shared" si="10"/>
        <v>K7L 2N7</v>
      </c>
      <c r="G90" t="str">
        <f t="shared" si="11"/>
        <v>[ "ListenUp! Canada", 44.230993125, -76.485105, '613-546-2250', 'K7L 2N7'],</v>
      </c>
      <c r="H90" t="s">
        <v>1631</v>
      </c>
    </row>
    <row r="91" spans="1:8" hidden="1" x14ac:dyDescent="0.2">
      <c r="A91" t="s">
        <v>93</v>
      </c>
      <c r="B91" t="str">
        <f t="shared" si="6"/>
        <v>Lowes</v>
      </c>
      <c r="C91" t="str">
        <f t="shared" si="7"/>
        <v>44.261456779661</v>
      </c>
      <c r="D91" t="str">
        <f t="shared" si="8"/>
        <v>-76.5688013559322</v>
      </c>
      <c r="E91" t="str">
        <f t="shared" si="9"/>
        <v>613-634-5410</v>
      </c>
      <c r="F91" t="str">
        <f t="shared" si="10"/>
        <v>K7P 0G1</v>
      </c>
      <c r="G91" t="str">
        <f t="shared" si="11"/>
        <v>[ "Lowes", 44.261456779661, -76.5688013559322, '613-634-5410', 'K7P 0G1'],</v>
      </c>
      <c r="H91" t="s">
        <v>1632</v>
      </c>
    </row>
    <row r="92" spans="1:8" hidden="1" x14ac:dyDescent="0.2">
      <c r="A92" t="s">
        <v>94</v>
      </c>
      <c r="B92" t="str">
        <f t="shared" si="6"/>
        <v>Fastenal</v>
      </c>
      <c r="C92" t="str">
        <f t="shared" si="7"/>
        <v>44.25836</v>
      </c>
      <c r="D92" t="str">
        <f t="shared" si="8"/>
        <v>-76.56869</v>
      </c>
      <c r="E92" t="str">
        <f t="shared" si="9"/>
        <v>613-389-3968</v>
      </c>
      <c r="F92" t="str">
        <f t="shared" si="10"/>
        <v>K7P 0G3</v>
      </c>
      <c r="G92" t="str">
        <f t="shared" si="11"/>
        <v>[ "Fastenal", 44.25836, -76.56869, '613-389-3968', 'K7P 0G3'],</v>
      </c>
      <c r="H92" t="s">
        <v>1633</v>
      </c>
    </row>
    <row r="93" spans="1:8" hidden="1" x14ac:dyDescent="0.2">
      <c r="A93" t="s">
        <v>95</v>
      </c>
      <c r="B93" t="str">
        <f t="shared" si="6"/>
        <v>The Source</v>
      </c>
      <c r="C93" t="str">
        <f t="shared" si="7"/>
        <v>44.2564347058824</v>
      </c>
      <c r="D93" t="str">
        <f t="shared" si="8"/>
        <v>-76.5687373529412</v>
      </c>
      <c r="E93" t="str">
        <f t="shared" si="9"/>
        <v>613-389-8201</v>
      </c>
      <c r="F93" t="str">
        <f t="shared" si="10"/>
        <v>K7M 7H4</v>
      </c>
      <c r="G93" t="str">
        <f t="shared" si="11"/>
        <v>[ "The Source", 44.2564347058824, -76.5687373529412, '613-389-8201', 'K7M 7H4'],</v>
      </c>
      <c r="H93" t="s">
        <v>1614</v>
      </c>
    </row>
    <row r="94" spans="1:8" hidden="1" x14ac:dyDescent="0.2">
      <c r="A94" t="s">
        <v>96</v>
      </c>
      <c r="B94" t="str">
        <f t="shared" si="6"/>
        <v>Hock Shop Canada</v>
      </c>
      <c r="C94" t="str">
        <f t="shared" si="7"/>
        <v>44.23799</v>
      </c>
      <c r="D94" t="str">
        <f t="shared" si="8"/>
        <v>-76.54389</v>
      </c>
      <c r="E94" t="str">
        <f t="shared" si="9"/>
        <v>613-766-1577</v>
      </c>
      <c r="F94" t="str">
        <f t="shared" si="10"/>
        <v>K7M 4X4</v>
      </c>
      <c r="G94" t="str">
        <f t="shared" si="11"/>
        <v>[ "Hock Shop Canada", 44.23799, -76.54389, '613-766-1577', 'K7M 4X4'],</v>
      </c>
      <c r="H94" t="s">
        <v>1634</v>
      </c>
    </row>
    <row r="95" spans="1:8" hidden="1" x14ac:dyDescent="0.2">
      <c r="A95" t="s">
        <v>97</v>
      </c>
      <c r="B95" t="str">
        <f t="shared" si="6"/>
        <v>ListenUp! Canada</v>
      </c>
      <c r="C95" t="str">
        <f t="shared" si="7"/>
        <v>44.2509278198464</v>
      </c>
      <c r="D95" t="str">
        <f t="shared" si="8"/>
        <v>-76.5710049038168</v>
      </c>
      <c r="E95" t="str">
        <f t="shared" si="9"/>
        <v>613-634-0304</v>
      </c>
      <c r="F95" t="str">
        <f t="shared" si="10"/>
        <v>K7P 2N7</v>
      </c>
      <c r="G95" t="str">
        <f t="shared" si="11"/>
        <v>[ "ListenUp! Canada", 44.2509278198464, -76.5710049038168, '613-634-0304', 'K7P 2N7'],</v>
      </c>
      <c r="H95" t="s">
        <v>1617</v>
      </c>
    </row>
    <row r="96" spans="1:8" x14ac:dyDescent="0.2">
      <c r="A96" t="s">
        <v>98</v>
      </c>
      <c r="B96" t="str">
        <f t="shared" si="6"/>
        <v>Staples</v>
      </c>
      <c r="C96" t="str">
        <f t="shared" si="7"/>
        <v>44.2426689227649</v>
      </c>
      <c r="D96" t="str">
        <f t="shared" si="8"/>
        <v>-76.5678108991268</v>
      </c>
      <c r="E96" t="str">
        <f t="shared" si="9"/>
        <v>613-634-2112</v>
      </c>
      <c r="F96" t="str">
        <f t="shared" si="10"/>
        <v>K7M 9B8</v>
      </c>
      <c r="G96" t="str">
        <f t="shared" si="11"/>
        <v>[ "Staples", 44.2426689227649, -76.5678108991268, '613-634-2112', 'K7M 9B8'],</v>
      </c>
    </row>
    <row r="97" spans="1:8" hidden="1" x14ac:dyDescent="0.2">
      <c r="A97" t="s">
        <v>99</v>
      </c>
      <c r="B97" t="str">
        <f t="shared" si="6"/>
        <v>Home Depot</v>
      </c>
      <c r="C97" t="str">
        <f t="shared" si="7"/>
        <v>44.2421917434511</v>
      </c>
      <c r="D97" t="str">
        <f t="shared" si="8"/>
        <v>-76.5677826218341</v>
      </c>
      <c r="E97" t="str">
        <f t="shared" si="9"/>
        <v>613-384-3511</v>
      </c>
      <c r="F97" t="str">
        <f t="shared" si="10"/>
        <v>K7M 3X9</v>
      </c>
      <c r="G97" t="str">
        <f t="shared" si="11"/>
        <v>[ "Home Depot", 44.2421917434511, -76.5677826218341, '613-384-3511', 'K7M 3X9'],</v>
      </c>
      <c r="H97" t="s">
        <v>1635</v>
      </c>
    </row>
    <row r="98" spans="1:8" hidden="1" x14ac:dyDescent="0.2">
      <c r="A98" t="s">
        <v>100</v>
      </c>
      <c r="B98" t="str">
        <f t="shared" si="6"/>
        <v>United Rentals</v>
      </c>
      <c r="C98" t="str">
        <f t="shared" si="7"/>
        <v>44.2416552182819</v>
      </c>
      <c r="D98" t="str">
        <f t="shared" si="8"/>
        <v>-76.5713681266807</v>
      </c>
      <c r="E98" t="str">
        <f t="shared" si="9"/>
        <v>613-389-5211</v>
      </c>
      <c r="F98" t="str">
        <f t="shared" si="10"/>
        <v>K7M 4W7</v>
      </c>
      <c r="G98" t="str">
        <f t="shared" si="11"/>
        <v>[ "United Rentals", 44.2416552182819, -76.5713681266807, '613-389-5211', 'K7M 4W7'],</v>
      </c>
      <c r="H98" t="s">
        <v>1636</v>
      </c>
    </row>
    <row r="99" spans="1:8" hidden="1" x14ac:dyDescent="0.2">
      <c r="A99" t="s">
        <v>102</v>
      </c>
      <c r="B99" t="str">
        <f t="shared" si="6"/>
        <v>ListenUp! Canada</v>
      </c>
      <c r="C99" t="str">
        <f t="shared" si="7"/>
        <v>44.24091</v>
      </c>
      <c r="D99" t="str">
        <f t="shared" si="8"/>
        <v>-76.96616</v>
      </c>
      <c r="E99" t="str">
        <f t="shared" si="9"/>
        <v>613-354-7000</v>
      </c>
      <c r="F99" t="str">
        <f t="shared" si="10"/>
        <v>K7R 3V3</v>
      </c>
      <c r="G99" t="str">
        <f t="shared" si="11"/>
        <v>[ "ListenUp! Canada", 44.24091, -76.96616, '613-354-7000', 'K7R 3V3'],</v>
      </c>
      <c r="H99" t="s">
        <v>1637</v>
      </c>
    </row>
    <row r="100" spans="1:8" hidden="1" x14ac:dyDescent="0.2">
      <c r="A100" t="s">
        <v>103</v>
      </c>
      <c r="B100" t="str">
        <f t="shared" si="6"/>
        <v>The Source</v>
      </c>
      <c r="C100" t="str">
        <f t="shared" si="7"/>
        <v>44.2594669387755</v>
      </c>
      <c r="D100" t="str">
        <f t="shared" si="8"/>
        <v>-76.9696418367347</v>
      </c>
      <c r="E100" t="str">
        <f t="shared" si="9"/>
        <v>613-354-6366</v>
      </c>
      <c r="F100" t="str">
        <f t="shared" si="10"/>
        <v>K7R 3L2</v>
      </c>
      <c r="G100" t="str">
        <f t="shared" si="11"/>
        <v>[ "The Source", 44.2594669387755, -76.9696418367347, '613-354-6366', 'K7R 3L2'],</v>
      </c>
      <c r="H100" t="s">
        <v>1638</v>
      </c>
    </row>
    <row r="101" spans="1:8" hidden="1" x14ac:dyDescent="0.2">
      <c r="A101" t="s">
        <v>104</v>
      </c>
      <c r="B101" t="str">
        <f t="shared" si="6"/>
        <v>Foxboro Fasteners</v>
      </c>
      <c r="C101" t="str">
        <f t="shared" si="7"/>
        <v>44.2076483867091</v>
      </c>
      <c r="D101" t="str">
        <f t="shared" si="8"/>
        <v>-77.3954193747183</v>
      </c>
      <c r="E101" t="str">
        <f t="shared" si="9"/>
        <v>613-969-1933</v>
      </c>
      <c r="F101" t="str">
        <f t="shared" si="10"/>
        <v>K8N 4Z5</v>
      </c>
      <c r="G101" t="str">
        <f t="shared" si="11"/>
        <v>[ "Foxboro Fasteners", 44.2076483867091, -77.3954193747183, '613-969-1933', 'K8N 4Z5'],</v>
      </c>
      <c r="H101" t="s">
        <v>1639</v>
      </c>
    </row>
    <row r="102" spans="1:8" hidden="1" x14ac:dyDescent="0.2">
      <c r="A102" t="s">
        <v>105</v>
      </c>
      <c r="B102" t="str">
        <f t="shared" si="6"/>
        <v>Pharmasave</v>
      </c>
      <c r="C102" t="str">
        <f t="shared" si="7"/>
        <v>44.1844877777778</v>
      </c>
      <c r="D102" t="str">
        <f t="shared" si="8"/>
        <v>-77.3944644444445</v>
      </c>
      <c r="E102" t="str">
        <f t="shared" si="9"/>
        <v>613-962-4576</v>
      </c>
      <c r="F102" t="str">
        <f t="shared" si="10"/>
        <v>K8P 3C3</v>
      </c>
      <c r="G102" t="str">
        <f t="shared" si="11"/>
        <v>[ "Pharmasave", 44.1844877777778, -77.3944644444445, '613-962-4576', 'K8P 3C3'],</v>
      </c>
      <c r="H102" t="s">
        <v>1640</v>
      </c>
    </row>
    <row r="103" spans="1:8" hidden="1" x14ac:dyDescent="0.2">
      <c r="A103" t="s">
        <v>106</v>
      </c>
      <c r="B103" t="str">
        <f t="shared" si="6"/>
        <v>Newburgh Pharmacy</v>
      </c>
      <c r="C103" t="str">
        <f t="shared" si="7"/>
        <v>44.41552</v>
      </c>
      <c r="D103" t="str">
        <f t="shared" si="8"/>
        <v>-76.98359</v>
      </c>
      <c r="E103" t="str">
        <f t="shared" si="9"/>
        <v>613-378-2220</v>
      </c>
      <c r="F103" t="str">
        <f t="shared" si="10"/>
        <v>K0K 2S0</v>
      </c>
      <c r="G103" t="str">
        <f t="shared" si="11"/>
        <v>[ "Newburgh Pharmacy", 44.41552, -76.98359, '613-378-2220', 'K0K 2S0'],</v>
      </c>
      <c r="H103" t="s">
        <v>1635</v>
      </c>
    </row>
    <row r="104" spans="1:8" hidden="1" x14ac:dyDescent="0.2">
      <c r="A104" t="s">
        <v>107</v>
      </c>
      <c r="B104" t="str">
        <f t="shared" si="6"/>
        <v>Lowes</v>
      </c>
      <c r="C104" t="str">
        <f t="shared" si="7"/>
        <v>44.1957464158726</v>
      </c>
      <c r="D104" t="str">
        <f t="shared" si="8"/>
        <v>-77.400609762801</v>
      </c>
      <c r="E104" t="str">
        <f t="shared" si="9"/>
        <v>613-771-2945</v>
      </c>
      <c r="F104" t="str">
        <f t="shared" si="10"/>
        <v>K8N 4Z5</v>
      </c>
      <c r="G104" t="str">
        <f t="shared" si="11"/>
        <v>[ "Lowes", 44.1957464158726, -77.400609762801, '613-771-2945', 'K8N 4Z5'],</v>
      </c>
      <c r="H104" t="s">
        <v>1641</v>
      </c>
    </row>
    <row r="105" spans="1:8" x14ac:dyDescent="0.2">
      <c r="A105" t="s">
        <v>108</v>
      </c>
      <c r="B105" t="str">
        <f t="shared" si="6"/>
        <v>Staples</v>
      </c>
      <c r="C105" t="str">
        <f t="shared" si="7"/>
        <v>44.18638</v>
      </c>
      <c r="D105" t="str">
        <f t="shared" si="8"/>
        <v>-77.4044</v>
      </c>
      <c r="E105" t="str">
        <f t="shared" si="9"/>
        <v>613-961-7399</v>
      </c>
      <c r="F105" t="str">
        <f t="shared" si="10"/>
        <v>K8P 5L2</v>
      </c>
      <c r="G105" t="str">
        <f t="shared" si="11"/>
        <v>[ "Staples", 44.18638, -77.4044, '613-961-7399', 'K8P 5L2'],</v>
      </c>
    </row>
    <row r="106" spans="1:8" hidden="1" x14ac:dyDescent="0.2">
      <c r="A106" t="s">
        <v>110</v>
      </c>
      <c r="B106" t="str">
        <f t="shared" si="6"/>
        <v>RONA</v>
      </c>
      <c r="C106" t="str">
        <f t="shared" si="7"/>
        <v>44.13611</v>
      </c>
      <c r="D106" t="str">
        <f t="shared" si="8"/>
        <v>-77.58462</v>
      </c>
      <c r="E106" t="str">
        <f t="shared" si="9"/>
        <v>613-394-3351</v>
      </c>
      <c r="F106" t="str">
        <f t="shared" si="10"/>
        <v>K8V 5W6</v>
      </c>
      <c r="G106" t="str">
        <f t="shared" si="11"/>
        <v>[ "RONA", 44.13611, -77.58462, '613-394-3351', 'K8V 5W6'],</v>
      </c>
      <c r="H106" t="s">
        <v>1642</v>
      </c>
    </row>
    <row r="107" spans="1:8" hidden="1" x14ac:dyDescent="0.2">
      <c r="A107" t="s">
        <v>111</v>
      </c>
      <c r="B107" t="str">
        <f t="shared" si="6"/>
        <v>The Source</v>
      </c>
      <c r="C107" t="str">
        <f t="shared" si="7"/>
        <v>44.104645</v>
      </c>
      <c r="D107" t="str">
        <f t="shared" si="8"/>
        <v>-77.55904375</v>
      </c>
      <c r="E107" t="str">
        <f t="shared" si="9"/>
        <v>613-394-4253</v>
      </c>
      <c r="F107" t="str">
        <f t="shared" si="10"/>
        <v>K8V 5Z9</v>
      </c>
      <c r="G107" t="str">
        <f t="shared" si="11"/>
        <v>[ "The Source", 44.104645, -77.55904375, '613-394-4253', 'K8V 5Z9'],</v>
      </c>
      <c r="H107" t="s">
        <v>1643</v>
      </c>
    </row>
    <row r="108" spans="1:8" hidden="1" x14ac:dyDescent="0.2">
      <c r="A108" t="s">
        <v>112</v>
      </c>
      <c r="B108" t="str">
        <f t="shared" si="6"/>
        <v>RONA Campbellford</v>
      </c>
      <c r="C108" t="str">
        <f t="shared" si="7"/>
        <v>44.2890461052992</v>
      </c>
      <c r="D108" t="str">
        <f t="shared" si="8"/>
        <v>-77.8092744786324</v>
      </c>
      <c r="E108" t="str">
        <f t="shared" si="9"/>
        <v>705-653-1440</v>
      </c>
      <c r="F108" t="str">
        <f t="shared" si="10"/>
        <v>K0L 1L0</v>
      </c>
      <c r="G108" t="str">
        <f t="shared" si="11"/>
        <v>[ "RONA Campbellford", 44.2890461052992, -77.8092744786324, '705-653-1440', 'K0L 1L0'],</v>
      </c>
      <c r="H108" t="s">
        <v>1644</v>
      </c>
    </row>
    <row r="109" spans="1:8" hidden="1" x14ac:dyDescent="0.2">
      <c r="A109" t="s">
        <v>113</v>
      </c>
      <c r="B109" t="str">
        <f t="shared" si="6"/>
        <v>RONA</v>
      </c>
      <c r="C109" t="str">
        <f t="shared" si="7"/>
        <v>44.2918933333333</v>
      </c>
      <c r="D109" t="str">
        <f t="shared" si="8"/>
        <v>-77.5647533333333</v>
      </c>
      <c r="E109" t="str">
        <f t="shared" si="9"/>
        <v>613-395-3361</v>
      </c>
      <c r="F109" t="str">
        <f t="shared" si="10"/>
        <v>K0K 3E0</v>
      </c>
      <c r="G109" t="str">
        <f t="shared" si="11"/>
        <v>[ "RONA", 44.2918933333333, -77.5647533333333, '613-395-3361', 'K0K 3E0'],</v>
      </c>
      <c r="H109" t="s">
        <v>1645</v>
      </c>
    </row>
    <row r="110" spans="1:8" hidden="1" x14ac:dyDescent="0.2">
      <c r="A110" t="s">
        <v>114</v>
      </c>
      <c r="B110" t="str">
        <f t="shared" si="6"/>
        <v>ListenUp! Canada</v>
      </c>
      <c r="C110" t="str">
        <f t="shared" si="7"/>
        <v>43.96331</v>
      </c>
      <c r="D110" t="str">
        <f t="shared" si="8"/>
        <v>-78.29078</v>
      </c>
      <c r="E110" t="str">
        <f t="shared" si="9"/>
        <v>905-885-0759</v>
      </c>
      <c r="F110" t="str">
        <f t="shared" si="10"/>
        <v>L1A 3Y9</v>
      </c>
      <c r="G110" t="str">
        <f t="shared" si="11"/>
        <v>[ "ListenUp! Canada", 43.96331, -78.29078, '905-885-0759', 'L1A 3Y9'],</v>
      </c>
      <c r="H110" t="s">
        <v>1646</v>
      </c>
    </row>
    <row r="111" spans="1:8" hidden="1" x14ac:dyDescent="0.2">
      <c r="A111" t="s">
        <v>115</v>
      </c>
      <c r="B111" t="str">
        <f t="shared" si="6"/>
        <v>RONA</v>
      </c>
      <c r="C111" t="str">
        <f t="shared" si="7"/>
        <v>43.9076045270157</v>
      </c>
      <c r="D111" t="str">
        <f t="shared" si="8"/>
        <v>-78.5910229561934</v>
      </c>
      <c r="E111" t="str">
        <f t="shared" si="9"/>
        <v>905-987-4560</v>
      </c>
      <c r="F111" t="str">
        <f t="shared" si="10"/>
        <v>L1B 1C2</v>
      </c>
      <c r="G111" t="str">
        <f t="shared" si="11"/>
        <v>[ "RONA", 43.9076045270157, -78.5910229561934, '905-987-4560', 'L1B 1C2'],</v>
      </c>
      <c r="H111" t="s">
        <v>1647</v>
      </c>
    </row>
    <row r="112" spans="1:8" hidden="1" x14ac:dyDescent="0.2">
      <c r="A112" t="s">
        <v>116</v>
      </c>
      <c r="B112" t="str">
        <f t="shared" si="6"/>
        <v>Home Depot</v>
      </c>
      <c r="C112" t="str">
        <f t="shared" si="7"/>
        <v>43.9763283741377</v>
      </c>
      <c r="D112" t="str">
        <f t="shared" si="8"/>
        <v>-78.2001281293115</v>
      </c>
      <c r="E112" t="str">
        <f t="shared" si="9"/>
        <v>905-377-7600</v>
      </c>
      <c r="F112" t="str">
        <f t="shared" si="10"/>
        <v>K9A 0A8</v>
      </c>
      <c r="G112" t="str">
        <f t="shared" si="11"/>
        <v>[ "Home Depot", 43.9763283741377, -78.2001281293115, '905-377-7600', 'K9A 0A8'],</v>
      </c>
      <c r="H112" t="s">
        <v>1647</v>
      </c>
    </row>
    <row r="113" spans="1:8" hidden="1" x14ac:dyDescent="0.2">
      <c r="A113" t="s">
        <v>117</v>
      </c>
      <c r="B113" t="str">
        <f t="shared" si="6"/>
        <v>The Source</v>
      </c>
      <c r="C113" t="str">
        <f t="shared" si="7"/>
        <v>43.9711534146341</v>
      </c>
      <c r="D113" t="str">
        <f t="shared" si="8"/>
        <v>-78.2002748780488</v>
      </c>
      <c r="E113" t="str">
        <f t="shared" si="9"/>
        <v>905-377-9845</v>
      </c>
      <c r="F113" t="str">
        <f t="shared" si="10"/>
        <v>K9A 5H7</v>
      </c>
      <c r="G113" t="str">
        <f t="shared" si="11"/>
        <v>[ "The Source", 43.9711534146341, -78.2002748780488, '905-377-9845', 'K9A 5H7'],</v>
      </c>
      <c r="H113" t="s">
        <v>1648</v>
      </c>
    </row>
    <row r="114" spans="1:8" x14ac:dyDescent="0.2">
      <c r="A114" t="s">
        <v>118</v>
      </c>
      <c r="B114" t="str">
        <f t="shared" si="6"/>
        <v>Staples</v>
      </c>
      <c r="C114" t="str">
        <f t="shared" si="7"/>
        <v>43.97172</v>
      </c>
      <c r="D114" t="str">
        <f t="shared" si="8"/>
        <v>-78.19779</v>
      </c>
      <c r="E114" t="str">
        <f t="shared" si="9"/>
        <v>905-377-0458</v>
      </c>
      <c r="F114" t="str">
        <f t="shared" si="10"/>
        <v>K9A 5W4</v>
      </c>
      <c r="G114" t="str">
        <f t="shared" si="11"/>
        <v>[ "Staples", 43.97172, -78.19779, '905-377-0458', 'K9A 5W4'],</v>
      </c>
    </row>
    <row r="115" spans="1:8" x14ac:dyDescent="0.2">
      <c r="A115" t="s">
        <v>119</v>
      </c>
      <c r="B115" t="str">
        <f t="shared" si="6"/>
        <v>Staples</v>
      </c>
      <c r="C115" t="str">
        <f t="shared" si="7"/>
        <v>43.91057</v>
      </c>
      <c r="D115" t="str">
        <f t="shared" si="8"/>
        <v>-78.68024</v>
      </c>
      <c r="E115" t="str">
        <f t="shared" si="9"/>
        <v>905-623-1700</v>
      </c>
      <c r="F115" t="str">
        <f t="shared" si="10"/>
        <v>L1C 1P2</v>
      </c>
      <c r="G115" t="str">
        <f t="shared" si="11"/>
        <v>[ "Staples", 43.91057, -78.68024, '905-623-1700', 'L1C 1P2'],</v>
      </c>
    </row>
    <row r="116" spans="1:8" hidden="1" x14ac:dyDescent="0.2">
      <c r="A116" t="s">
        <v>121</v>
      </c>
      <c r="B116" t="str">
        <f t="shared" si="6"/>
        <v>Home Depot</v>
      </c>
      <c r="C116" t="str">
        <f t="shared" si="7"/>
        <v>43.920755913993</v>
      </c>
      <c r="D116" t="str">
        <f t="shared" si="8"/>
        <v>-78.9489120086596</v>
      </c>
      <c r="E116" t="str">
        <f t="shared" si="9"/>
        <v>905-655-2905</v>
      </c>
      <c r="F116" t="str">
        <f t="shared" si="10"/>
        <v>L1R 3K5</v>
      </c>
      <c r="G116" t="str">
        <f t="shared" si="11"/>
        <v>[ "Home Depot", 43.920755913993, -78.9489120086596, '905-655-2905', 'L1R 3K5'],</v>
      </c>
      <c r="H116" t="s">
        <v>1649</v>
      </c>
    </row>
    <row r="117" spans="1:8" x14ac:dyDescent="0.2">
      <c r="A117" t="s">
        <v>122</v>
      </c>
      <c r="B117" t="str">
        <f t="shared" si="6"/>
        <v>Staples</v>
      </c>
      <c r="C117" t="str">
        <f t="shared" si="7"/>
        <v>43.9184340778853</v>
      </c>
      <c r="D117" t="str">
        <f t="shared" si="8"/>
        <v>-78.9437186560068</v>
      </c>
      <c r="E117" t="str">
        <f t="shared" si="9"/>
        <v>--</v>
      </c>
      <c r="F117" t="str">
        <f t="shared" si="10"/>
        <v>L1R 0H4</v>
      </c>
      <c r="G117" t="str">
        <f t="shared" si="11"/>
        <v>[ "Staples", 43.9184340778853, -78.9437186560068, '--', 'L1R 0H4'],</v>
      </c>
    </row>
    <row r="118" spans="1:8" hidden="1" x14ac:dyDescent="0.2">
      <c r="A118" t="s">
        <v>123</v>
      </c>
      <c r="B118" t="str">
        <f t="shared" si="6"/>
        <v>Canadian Tire</v>
      </c>
      <c r="C118" t="str">
        <f t="shared" si="7"/>
        <v>43.9191693112809</v>
      </c>
      <c r="D118" t="str">
        <f t="shared" si="8"/>
        <v>-78.9481985068482</v>
      </c>
      <c r="E118" t="str">
        <f t="shared" si="9"/>
        <v>905-430-4962</v>
      </c>
      <c r="F118" t="str">
        <f t="shared" si="10"/>
        <v>L1R 3K5</v>
      </c>
      <c r="G118" t="str">
        <f t="shared" si="11"/>
        <v>[ "Canadian Tire", 43.9191693112809, -78.9481985068482, '905-430-4962', 'L1R 3K5'],</v>
      </c>
      <c r="H118" t="s">
        <v>1650</v>
      </c>
    </row>
    <row r="119" spans="1:8" hidden="1" x14ac:dyDescent="0.2">
      <c r="A119" t="s">
        <v>124</v>
      </c>
      <c r="B119" t="str">
        <f t="shared" si="6"/>
        <v>Canadian Tire</v>
      </c>
      <c r="C119" t="str">
        <f t="shared" si="7"/>
        <v>43.9363815152165</v>
      </c>
      <c r="D119" t="str">
        <f t="shared" si="8"/>
        <v>-78.8589058995898</v>
      </c>
      <c r="E119" t="str">
        <f t="shared" si="9"/>
        <v>905-433-5575</v>
      </c>
      <c r="F119" t="str">
        <f t="shared" si="10"/>
        <v>L1K 2B8</v>
      </c>
      <c r="G119" t="str">
        <f t="shared" si="11"/>
        <v>[ "Canadian Tire", 43.9363815152165, -78.8589058995898, '905-433-5575', 'L1K 2B8'],</v>
      </c>
      <c r="H119" t="s">
        <v>1651</v>
      </c>
    </row>
    <row r="120" spans="1:8" hidden="1" x14ac:dyDescent="0.2">
      <c r="A120" t="s">
        <v>125</v>
      </c>
      <c r="B120" t="str">
        <f t="shared" si="6"/>
        <v>Home Depot</v>
      </c>
      <c r="C120" t="str">
        <f t="shared" si="7"/>
        <v>43.942966</v>
      </c>
      <c r="D120" t="str">
        <f t="shared" si="8"/>
        <v>-78.850946</v>
      </c>
      <c r="E120" t="str">
        <f t="shared" si="9"/>
        <v>905-743-5600</v>
      </c>
      <c r="F120" t="str">
        <f t="shared" si="10"/>
        <v>L1H 7K5</v>
      </c>
      <c r="G120" t="str">
        <f t="shared" si="11"/>
        <v>[ "Home Depot", 43.942966, -78.850946, '905-743-5600', 'L1H 7K5'],</v>
      </c>
      <c r="H120" t="s">
        <v>1652</v>
      </c>
    </row>
    <row r="121" spans="1:8" hidden="1" x14ac:dyDescent="0.2">
      <c r="A121" t="s">
        <v>126</v>
      </c>
      <c r="B121" t="str">
        <f t="shared" si="6"/>
        <v>MOHLTC - EHSB - Oshawa CACC</v>
      </c>
      <c r="C121" t="str">
        <f t="shared" si="7"/>
        <v>43.899208284362</v>
      </c>
      <c r="D121" t="str">
        <f t="shared" si="8"/>
        <v>-78.9427566576219</v>
      </c>
      <c r="E121" t="str">
        <f t="shared" si="9"/>
        <v>905-430-5542</v>
      </c>
      <c r="F121" t="str">
        <f t="shared" si="10"/>
        <v>L1N 9G5</v>
      </c>
      <c r="G121" t="str">
        <f t="shared" si="11"/>
        <v>[ "MOHLTC - EHSB - Oshawa CACC", 43.899208284362, -78.9427566576219, '905-430-5542', 'L1N 9G5'],</v>
      </c>
      <c r="H121" t="s">
        <v>1653</v>
      </c>
    </row>
    <row r="122" spans="1:8" hidden="1" x14ac:dyDescent="0.2">
      <c r="A122" t="s">
        <v>127</v>
      </c>
      <c r="B122" t="str">
        <f t="shared" si="6"/>
        <v>The Source</v>
      </c>
      <c r="C122" t="str">
        <f t="shared" si="7"/>
        <v>43.9411300455574</v>
      </c>
      <c r="D122" t="str">
        <f t="shared" si="8"/>
        <v>-78.8423105538002</v>
      </c>
      <c r="E122" t="str">
        <f t="shared" si="9"/>
        <v>905-723-3407</v>
      </c>
      <c r="F122" t="str">
        <f t="shared" si="10"/>
        <v>L1H 7K5</v>
      </c>
      <c r="G122" t="str">
        <f t="shared" si="11"/>
        <v>[ "The Source", 43.9411300455574, -78.8423105538002, '905-723-3407', 'L1H 7K5'],</v>
      </c>
      <c r="H122" t="s">
        <v>1654</v>
      </c>
    </row>
    <row r="123" spans="1:8" hidden="1" x14ac:dyDescent="0.2">
      <c r="A123" t="s">
        <v>128</v>
      </c>
      <c r="B123" t="str">
        <f t="shared" si="6"/>
        <v>ListenUp! Canada</v>
      </c>
      <c r="C123" t="str">
        <f t="shared" si="7"/>
        <v>43.8889624</v>
      </c>
      <c r="D123" t="str">
        <f t="shared" si="8"/>
        <v>-78.9352684</v>
      </c>
      <c r="E123" t="str">
        <f t="shared" si="9"/>
        <v>905-668-5440</v>
      </c>
      <c r="F123" t="str">
        <f t="shared" si="10"/>
        <v>L1N 7B3</v>
      </c>
      <c r="G123" t="str">
        <f t="shared" si="11"/>
        <v>[ "ListenUp! Canada", 43.8889624, -78.9352684, '905-668-5440', 'L1N 7B3'],</v>
      </c>
      <c r="H123" t="s">
        <v>1655</v>
      </c>
    </row>
    <row r="124" spans="1:8" hidden="1" x14ac:dyDescent="0.2">
      <c r="A124" t="s">
        <v>129</v>
      </c>
      <c r="B124" t="str">
        <f t="shared" si="6"/>
        <v>ListenUp! Canada</v>
      </c>
      <c r="C124" t="str">
        <f t="shared" si="7"/>
        <v>43.8935839199709</v>
      </c>
      <c r="D124" t="str">
        <f t="shared" si="8"/>
        <v>-78.8812031841397</v>
      </c>
      <c r="E124" t="str">
        <f t="shared" si="9"/>
        <v>905-438-7997</v>
      </c>
      <c r="F124" t="str">
        <f t="shared" si="10"/>
        <v>L1J 2K9</v>
      </c>
      <c r="G124" t="str">
        <f t="shared" si="11"/>
        <v>[ "ListenUp! Canada", 43.8935839199709, -78.8812031841397, '905-438-7997', 'L1J 2K9'],</v>
      </c>
      <c r="H124" t="s">
        <v>1656</v>
      </c>
    </row>
    <row r="125" spans="1:8" x14ac:dyDescent="0.2">
      <c r="A125" t="s">
        <v>130</v>
      </c>
      <c r="B125" t="str">
        <f t="shared" si="6"/>
        <v>Staples</v>
      </c>
      <c r="C125" t="str">
        <f t="shared" si="7"/>
        <v>43.88695</v>
      </c>
      <c r="D125" t="str">
        <f t="shared" si="8"/>
        <v>-78.87582125</v>
      </c>
      <c r="E125" t="str">
        <f t="shared" si="9"/>
        <v>905-434-1947</v>
      </c>
      <c r="F125" t="str">
        <f t="shared" si="10"/>
        <v>L1J 2K5</v>
      </c>
      <c r="G125" t="str">
        <f t="shared" si="11"/>
        <v>[ "Staples", 43.88695, -78.87582125, '905-434-1947', 'L1J 2K5'],</v>
      </c>
    </row>
    <row r="126" spans="1:8" hidden="1" x14ac:dyDescent="0.2">
      <c r="A126" t="s">
        <v>131</v>
      </c>
      <c r="B126" t="str">
        <f t="shared" si="6"/>
        <v>Lowes</v>
      </c>
      <c r="C126" t="str">
        <f t="shared" si="7"/>
        <v>43.8791536206897</v>
      </c>
      <c r="D126" t="str">
        <f t="shared" si="8"/>
        <v>-78.882005862069</v>
      </c>
      <c r="E126" t="str">
        <f t="shared" si="9"/>
        <v>905-436-4940</v>
      </c>
      <c r="F126" t="str">
        <f t="shared" si="10"/>
        <v>L1J 0B6</v>
      </c>
      <c r="G126" t="str">
        <f t="shared" si="11"/>
        <v>[ "Lowes", 43.8791536206897, -78.882005862069, '905-436-4940', 'L1J 0B6'],</v>
      </c>
      <c r="H126" t="s">
        <v>1658</v>
      </c>
    </row>
    <row r="127" spans="1:8" hidden="1" x14ac:dyDescent="0.2">
      <c r="A127" t="s">
        <v>132</v>
      </c>
      <c r="B127" t="str">
        <f t="shared" si="6"/>
        <v>Home Depot</v>
      </c>
      <c r="C127" t="str">
        <f t="shared" si="7"/>
        <v>43.8669056517861</v>
      </c>
      <c r="D127" t="str">
        <f t="shared" si="8"/>
        <v>-78.9008313585739</v>
      </c>
      <c r="E127" t="str">
        <f t="shared" si="9"/>
        <v>905-571-5900</v>
      </c>
      <c r="F127" t="str">
        <f t="shared" si="10"/>
        <v>L1N 9K6</v>
      </c>
      <c r="G127" t="str">
        <f t="shared" si="11"/>
        <v>[ "Home Depot", 43.8669056517861, -78.9008313585739, '905-571-5900', 'L1N 9K6'],</v>
      </c>
      <c r="H127" t="s">
        <v>1657</v>
      </c>
    </row>
    <row r="128" spans="1:8" hidden="1" x14ac:dyDescent="0.2">
      <c r="A128" t="s">
        <v>133</v>
      </c>
      <c r="B128" t="str">
        <f t="shared" si="6"/>
        <v>Princess Auto</v>
      </c>
      <c r="C128" t="str">
        <f t="shared" si="7"/>
        <v>43.8656465070742</v>
      </c>
      <c r="D128" t="str">
        <f t="shared" si="8"/>
        <v>-78.9044570195808</v>
      </c>
      <c r="E128" t="str">
        <f t="shared" si="9"/>
        <v>905-665-8581</v>
      </c>
      <c r="F128" t="str">
        <f t="shared" si="10"/>
        <v>L1N 9W7</v>
      </c>
      <c r="G128" t="str">
        <f t="shared" si="11"/>
        <v>[ "Princess Auto", 43.8656465070742, -78.9044570195808, '905-665-8581', 'L1N 9W7'],</v>
      </c>
      <c r="H128" t="s">
        <v>1658</v>
      </c>
    </row>
    <row r="129" spans="1:8" hidden="1" x14ac:dyDescent="0.2">
      <c r="A129" t="s">
        <v>134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Fastenal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43.8596828812545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-78.896106598816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905-723-3500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L1N 8M2</v>
      </c>
      <c r="G129" t="str">
        <f t="shared" ref="G129:G192" si="17">"[ "&amp;CHAR(34)&amp;B129&amp;CHAR(34)&amp;", "&amp;C129&amp;", "&amp;D129&amp;", '"&amp;E129&amp;"', '"&amp;F129&amp;"'],"</f>
        <v>[ "Fastenal", 43.8596828812545, -78.896106598816, '905-723-3500', 'L1N 8M2'],</v>
      </c>
      <c r="H129" t="s">
        <v>1659</v>
      </c>
    </row>
    <row r="130" spans="1:8" hidden="1" x14ac:dyDescent="0.2">
      <c r="A130" t="s">
        <v>135</v>
      </c>
      <c r="B130" t="str">
        <f t="shared" si="12"/>
        <v>Home Depot</v>
      </c>
      <c r="C130" t="str">
        <f t="shared" si="13"/>
        <v>43.8646801818182</v>
      </c>
      <c r="D130" t="str">
        <f t="shared" si="14"/>
        <v>-79.0104941818182</v>
      </c>
      <c r="E130" t="str">
        <f t="shared" si="15"/>
        <v>905-428-7939</v>
      </c>
      <c r="F130" t="str">
        <f t="shared" si="16"/>
        <v>L1Z 1G1</v>
      </c>
      <c r="G130" t="str">
        <f t="shared" si="17"/>
        <v>[ "Home Depot", 43.8646801818182, -79.0104941818182, '905-428-7939', 'L1Z 1G1'],</v>
      </c>
      <c r="H130" t="s">
        <v>1660</v>
      </c>
    </row>
    <row r="131" spans="1:8" hidden="1" x14ac:dyDescent="0.2">
      <c r="A131" t="s">
        <v>136</v>
      </c>
      <c r="B131" t="str">
        <f t="shared" si="12"/>
        <v>The Source</v>
      </c>
      <c r="C131" t="str">
        <f t="shared" si="13"/>
        <v>43.8638147</v>
      </c>
      <c r="D131" t="str">
        <f t="shared" si="14"/>
        <v>-79.0254152</v>
      </c>
      <c r="E131" t="str">
        <f t="shared" si="15"/>
        <v>905-427-8617</v>
      </c>
      <c r="F131" t="str">
        <f t="shared" si="16"/>
        <v>L1Z 1E8</v>
      </c>
      <c r="G131" t="str">
        <f t="shared" si="17"/>
        <v>[ "The Source", 43.8638147, -79.0254152, '905-427-8617', 'L1Z 1E8'],</v>
      </c>
      <c r="H131" t="s">
        <v>1660</v>
      </c>
    </row>
    <row r="132" spans="1:8" x14ac:dyDescent="0.2">
      <c r="A132" t="s">
        <v>137</v>
      </c>
      <c r="B132" t="str">
        <f t="shared" si="12"/>
        <v>Staples</v>
      </c>
      <c r="C132" t="str">
        <f t="shared" si="13"/>
        <v>43.859581</v>
      </c>
      <c r="D132" t="str">
        <f t="shared" si="14"/>
        <v>-79.026064</v>
      </c>
      <c r="E132" t="str">
        <f t="shared" si="15"/>
        <v>905-686-1422</v>
      </c>
      <c r="F132" t="str">
        <f t="shared" si="16"/>
        <v>L1S 7L8</v>
      </c>
      <c r="G132" t="str">
        <f t="shared" si="17"/>
        <v>[ "Staples", 43.859581, -79.026064, '905-686-1422', 'L1S 7L8'],</v>
      </c>
    </row>
    <row r="133" spans="1:8" hidden="1" x14ac:dyDescent="0.2">
      <c r="A133" t="s">
        <v>138</v>
      </c>
      <c r="B133" t="str">
        <f t="shared" si="12"/>
        <v>Lowes</v>
      </c>
      <c r="C133" t="str">
        <f t="shared" si="13"/>
        <v>43.84796</v>
      </c>
      <c r="D133" t="str">
        <f t="shared" si="14"/>
        <v>-79.07391</v>
      </c>
      <c r="E133" t="str">
        <f t="shared" si="15"/>
        <v>905-619-7530</v>
      </c>
      <c r="F133" t="str">
        <f t="shared" si="16"/>
        <v>L1V 4H7</v>
      </c>
      <c r="G133" t="str">
        <f t="shared" si="17"/>
        <v>[ "Lowes", 43.84796, -79.07391, '905-619-7530', 'L1V 4H7'],</v>
      </c>
      <c r="H133" t="s">
        <v>1661</v>
      </c>
    </row>
    <row r="134" spans="1:8" x14ac:dyDescent="0.2">
      <c r="A134" t="s">
        <v>139</v>
      </c>
      <c r="B134" t="str">
        <f t="shared" si="12"/>
        <v>Staples</v>
      </c>
      <c r="C134" t="str">
        <f t="shared" si="13"/>
        <v>43.84316</v>
      </c>
      <c r="D134" t="str">
        <f t="shared" si="14"/>
        <v>-79.06844</v>
      </c>
      <c r="E134" t="str">
        <f t="shared" si="15"/>
        <v>905-683-4620</v>
      </c>
      <c r="F134" t="str">
        <f t="shared" si="16"/>
        <v>L1V 6K5</v>
      </c>
      <c r="G134" t="str">
        <f t="shared" si="17"/>
        <v>[ "Staples", 43.84316, -79.06844, '905-683-4620', 'L1V 6K5'],</v>
      </c>
    </row>
    <row r="135" spans="1:8" hidden="1" x14ac:dyDescent="0.2">
      <c r="A135" t="s">
        <v>140</v>
      </c>
      <c r="B135" t="str">
        <f t="shared" si="12"/>
        <v>Canadian Tire</v>
      </c>
      <c r="C135" t="str">
        <f t="shared" si="13"/>
        <v>43.8434917861008</v>
      </c>
      <c r="D135" t="str">
        <f t="shared" si="14"/>
        <v>-79.0698554505003</v>
      </c>
      <c r="E135" t="str">
        <f t="shared" si="15"/>
        <v>905-686-2308</v>
      </c>
      <c r="F135" t="str">
        <f t="shared" si="16"/>
        <v>L1V 7C7</v>
      </c>
      <c r="G135" t="str">
        <f t="shared" si="17"/>
        <v>[ "Canadian Tire", 43.8434917861008, -79.0698554505003, '905-686-2308', 'L1V 7C7'],</v>
      </c>
      <c r="H135" t="s">
        <v>1663</v>
      </c>
    </row>
    <row r="136" spans="1:8" hidden="1" x14ac:dyDescent="0.2">
      <c r="A136" t="s">
        <v>141</v>
      </c>
      <c r="B136" t="str">
        <f t="shared" si="12"/>
        <v>Canadian Tire</v>
      </c>
      <c r="C136" t="str">
        <f t="shared" si="13"/>
        <v>43.90952</v>
      </c>
      <c r="D136" t="str">
        <f t="shared" si="14"/>
        <v>-78.71215</v>
      </c>
      <c r="E136" t="str">
        <f t="shared" si="15"/>
        <v>905-623-5000</v>
      </c>
      <c r="F136" t="str">
        <f t="shared" si="16"/>
        <v>L1C 0K5</v>
      </c>
      <c r="G136" t="str">
        <f t="shared" si="17"/>
        <v>[ "Canadian Tire", 43.90952, -78.71215, '905-623-5000', 'L1C 0K5'],</v>
      </c>
      <c r="H136" t="s">
        <v>1663</v>
      </c>
    </row>
    <row r="137" spans="1:8" hidden="1" x14ac:dyDescent="0.2">
      <c r="A137" t="s">
        <v>142</v>
      </c>
      <c r="B137" t="str">
        <f t="shared" si="12"/>
        <v>Batteries Expert</v>
      </c>
      <c r="C137" t="str">
        <f t="shared" si="13"/>
        <v>43.8345991836735</v>
      </c>
      <c r="D137" t="str">
        <f t="shared" si="14"/>
        <v>-79.0699165306122</v>
      </c>
      <c r="E137" t="str">
        <f t="shared" si="15"/>
        <v>905-831-5068</v>
      </c>
      <c r="F137" t="str">
        <f t="shared" si="16"/>
        <v>L1W 3S1</v>
      </c>
      <c r="G137" t="str">
        <f t="shared" si="17"/>
        <v>[ "Batteries Expert", 43.8345991836735, -79.0699165306122, '905-831-5068', 'L1W 3S1'],</v>
      </c>
      <c r="H137" t="s">
        <v>1662</v>
      </c>
    </row>
    <row r="138" spans="1:8" hidden="1" x14ac:dyDescent="0.2">
      <c r="A138" t="s">
        <v>143</v>
      </c>
      <c r="B138" t="str">
        <f t="shared" si="12"/>
        <v>Home Depot</v>
      </c>
      <c r="C138" t="str">
        <f t="shared" si="13"/>
        <v>43.91096</v>
      </c>
      <c r="D138" t="str">
        <f t="shared" si="14"/>
        <v>-78.70816</v>
      </c>
      <c r="E138" t="str">
        <f t="shared" si="15"/>
        <v>905-697-5170</v>
      </c>
      <c r="F138" t="str">
        <f t="shared" si="16"/>
        <v>L1C 0C3</v>
      </c>
      <c r="G138" t="str">
        <f t="shared" si="17"/>
        <v>[ "Home Depot", 43.91096, -78.70816, '905-697-5170', 'L1C 0C3'],</v>
      </c>
      <c r="H138" t="s">
        <v>1664</v>
      </c>
    </row>
    <row r="139" spans="1:8" hidden="1" x14ac:dyDescent="0.2">
      <c r="A139" t="s">
        <v>144</v>
      </c>
      <c r="B139" t="str">
        <f t="shared" si="12"/>
        <v>The Source</v>
      </c>
      <c r="C139" t="str">
        <f t="shared" si="13"/>
        <v>43.8381477777778</v>
      </c>
      <c r="D139" t="str">
        <f t="shared" si="14"/>
        <v>-79.0872377777778</v>
      </c>
      <c r="E139" t="str">
        <f t="shared" si="15"/>
        <v>905-839-3568</v>
      </c>
      <c r="F139" t="str">
        <f t="shared" si="16"/>
        <v>L1V 1B8</v>
      </c>
      <c r="G139" t="str">
        <f t="shared" si="17"/>
        <v>[ "The Source", 43.8381477777778, -79.0872377777778, '905-839-3568', 'L1V 1B8'],</v>
      </c>
      <c r="H139" t="s">
        <v>1664</v>
      </c>
    </row>
    <row r="140" spans="1:8" hidden="1" x14ac:dyDescent="0.2">
      <c r="A140" t="s">
        <v>145</v>
      </c>
      <c r="B140" t="str">
        <f t="shared" si="12"/>
        <v>Home Depot</v>
      </c>
      <c r="C140" t="str">
        <f t="shared" si="13"/>
        <v>43.829046715547</v>
      </c>
      <c r="D140" t="str">
        <f t="shared" si="14"/>
        <v>-79.0984834069593</v>
      </c>
      <c r="E140" t="str">
        <f t="shared" si="15"/>
        <v>905-421-2000</v>
      </c>
      <c r="F140" t="str">
        <f t="shared" si="16"/>
        <v>L1V 1B5</v>
      </c>
      <c r="G140" t="str">
        <f t="shared" si="17"/>
        <v>[ "Home Depot", 43.829046715547, -79.0984834069593, '905-421-2000', 'L1V 1B5'],</v>
      </c>
      <c r="H140" t="s">
        <v>1664</v>
      </c>
    </row>
    <row r="141" spans="1:8" x14ac:dyDescent="0.2">
      <c r="A141" t="s">
        <v>146</v>
      </c>
      <c r="B141" t="str">
        <f t="shared" si="12"/>
        <v>Staples</v>
      </c>
      <c r="C141" t="str">
        <f t="shared" si="13"/>
        <v>43.91057</v>
      </c>
      <c r="D141" t="str">
        <f t="shared" si="14"/>
        <v>-78.68024</v>
      </c>
      <c r="E141" t="str">
        <f t="shared" si="15"/>
        <v>905-623-1700</v>
      </c>
      <c r="F141" t="str">
        <f t="shared" si="16"/>
        <v>L1C 1P2</v>
      </c>
      <c r="G141" t="str">
        <f t="shared" si="17"/>
        <v>[ "Staples", 43.91057, -78.68024, '905-623-1700', 'L1C 1P2'],</v>
      </c>
    </row>
    <row r="142" spans="1:8" x14ac:dyDescent="0.2">
      <c r="A142" t="s">
        <v>147</v>
      </c>
      <c r="B142" t="str">
        <f t="shared" si="12"/>
        <v>Staples</v>
      </c>
      <c r="C142" t="str">
        <f t="shared" si="13"/>
        <v>44.09409625</v>
      </c>
      <c r="D142" t="str">
        <f t="shared" si="14"/>
        <v>-79.1307016666667</v>
      </c>
      <c r="E142" t="str">
        <f t="shared" si="15"/>
        <v>905-862-2614</v>
      </c>
      <c r="F142" t="str">
        <f t="shared" si="16"/>
        <v>L9P 1S9</v>
      </c>
      <c r="G142" t="str">
        <f t="shared" si="17"/>
        <v>[ "Staples", 44.09409625, -79.1307016666667, '905-862-2614', 'L9P 1S9'],</v>
      </c>
    </row>
    <row r="143" spans="1:8" x14ac:dyDescent="0.2">
      <c r="A143" t="s">
        <v>148</v>
      </c>
      <c r="B143" t="str">
        <f t="shared" si="12"/>
        <v>Best Buy</v>
      </c>
      <c r="C143" t="str">
        <f t="shared" si="13"/>
        <v>43.80644</v>
      </c>
      <c r="D143" t="str">
        <f t="shared" si="14"/>
        <v>-79.13402</v>
      </c>
      <c r="E143" t="str">
        <f t="shared" si="15"/>
        <v>--</v>
      </c>
      <c r="F143" t="str">
        <f t="shared" si="16"/>
        <v>L1V 1B8</v>
      </c>
      <c r="G143" t="str">
        <f t="shared" si="17"/>
        <v>[ "Best Buy", 43.80644, -79.13402, '--', 'L1V 1B8'],</v>
      </c>
    </row>
    <row r="144" spans="1:8" hidden="1" x14ac:dyDescent="0.2">
      <c r="A144" t="s">
        <v>149</v>
      </c>
      <c r="B144" t="str">
        <f t="shared" si="12"/>
        <v>ListenUp! Canada</v>
      </c>
      <c r="C144" t="str">
        <f t="shared" si="13"/>
        <v>44.1077506739765</v>
      </c>
      <c r="D144" t="str">
        <f t="shared" si="14"/>
        <v>-79.1229455265324</v>
      </c>
      <c r="E144" t="str">
        <f t="shared" si="15"/>
        <v>905-852-5933</v>
      </c>
      <c r="F144" t="str">
        <f t="shared" si="16"/>
        <v>L9P 1V9</v>
      </c>
      <c r="G144" t="str">
        <f t="shared" si="17"/>
        <v>[ "ListenUp! Canada", 44.1077506739765, -79.1229455265324, '905-852-5933', 'L9P 1V9'],</v>
      </c>
      <c r="H144" t="s">
        <v>1665</v>
      </c>
    </row>
    <row r="145" spans="1:8" hidden="1" x14ac:dyDescent="0.2">
      <c r="A145" t="s">
        <v>151</v>
      </c>
      <c r="B145" t="str">
        <f t="shared" si="12"/>
        <v>ListenUp! Canada</v>
      </c>
      <c r="C145" t="str">
        <f t="shared" si="13"/>
        <v>43.8652224</v>
      </c>
      <c r="D145" t="str">
        <f t="shared" si="14"/>
        <v>-79.2924453</v>
      </c>
      <c r="E145" t="str">
        <f t="shared" si="15"/>
        <v>905-479-6886</v>
      </c>
      <c r="F145" t="str">
        <f t="shared" si="16"/>
        <v>L3R 1N1</v>
      </c>
      <c r="G145" t="str">
        <f t="shared" si="17"/>
        <v>[ "ListenUp! Canada", 43.8652224, -79.2924453, '905-479-6886', 'L3R 1N1'],</v>
      </c>
      <c r="H145" t="s">
        <v>1574</v>
      </c>
    </row>
    <row r="146" spans="1:8" x14ac:dyDescent="0.2">
      <c r="A146" t="s">
        <v>152</v>
      </c>
      <c r="B146" t="str">
        <f t="shared" si="12"/>
        <v>Best Buy</v>
      </c>
      <c r="C146" t="str">
        <f t="shared" si="13"/>
        <v>43.8655657142857</v>
      </c>
      <c r="D146" t="str">
        <f t="shared" si="14"/>
        <v>-79.2913528571429</v>
      </c>
      <c r="E146" t="str">
        <f t="shared" si="15"/>
        <v>--</v>
      </c>
      <c r="F146" t="str">
        <f t="shared" si="16"/>
        <v>L3R 4M9</v>
      </c>
      <c r="G146" t="str">
        <f t="shared" si="17"/>
        <v>[ "Best Buy", 43.8655657142857, -79.2913528571429, '--', 'L3R 4M9'],</v>
      </c>
    </row>
    <row r="147" spans="1:8" x14ac:dyDescent="0.2">
      <c r="A147" t="s">
        <v>153</v>
      </c>
      <c r="B147" t="str">
        <f t="shared" si="12"/>
        <v>Staples</v>
      </c>
      <c r="C147" t="str">
        <f t="shared" si="13"/>
        <v>43.8511025</v>
      </c>
      <c r="D147" t="str">
        <f t="shared" si="14"/>
        <v>-79.3522558333333</v>
      </c>
      <c r="E147" t="str">
        <f t="shared" si="15"/>
        <v>905-479-3101</v>
      </c>
      <c r="F147" t="str">
        <f t="shared" si="16"/>
        <v>L3R 0J5</v>
      </c>
      <c r="G147" t="str">
        <f t="shared" si="17"/>
        <v>[ "Staples", 43.8511025, -79.3522558333333, '905-479-3101', 'L3R 0J5'],</v>
      </c>
    </row>
    <row r="148" spans="1:8" hidden="1" x14ac:dyDescent="0.2">
      <c r="A148" t="s">
        <v>154</v>
      </c>
      <c r="B148" t="str">
        <f t="shared" si="12"/>
        <v>Home Depot</v>
      </c>
      <c r="C148" t="str">
        <f t="shared" si="13"/>
        <v>43.850865</v>
      </c>
      <c r="D148" t="str">
        <f t="shared" si="14"/>
        <v>-79.353385</v>
      </c>
      <c r="E148" t="str">
        <f t="shared" si="15"/>
        <v>905-940-5900</v>
      </c>
      <c r="F148" t="str">
        <f t="shared" si="16"/>
        <v>L3R 0J6</v>
      </c>
      <c r="G148" t="str">
        <f t="shared" si="17"/>
        <v>[ "Home Depot", 43.850865, -79.353385, '905-940-5900', 'L3R 0J6'],</v>
      </c>
      <c r="H148" t="s">
        <v>1568</v>
      </c>
    </row>
    <row r="149" spans="1:8" hidden="1" x14ac:dyDescent="0.2">
      <c r="A149" t="s">
        <v>155</v>
      </c>
      <c r="B149" t="str">
        <f t="shared" si="12"/>
        <v>Princess Auto</v>
      </c>
      <c r="C149" t="str">
        <f t="shared" si="13"/>
        <v>43.8497606481056</v>
      </c>
      <c r="D149" t="str">
        <f t="shared" si="14"/>
        <v>-79.3580154079469</v>
      </c>
      <c r="E149" t="str">
        <f t="shared" si="15"/>
        <v>905-944-9696</v>
      </c>
      <c r="F149" t="str">
        <f t="shared" si="16"/>
        <v>L3R 4X7</v>
      </c>
      <c r="G149" t="str">
        <f t="shared" si="17"/>
        <v>[ "Princess Auto", 43.8497606481056, -79.3580154079469, '905-944-9696', 'L3R 4X7'],</v>
      </c>
      <c r="H149" t="s">
        <v>1569</v>
      </c>
    </row>
    <row r="150" spans="1:8" hidden="1" x14ac:dyDescent="0.2">
      <c r="A150" t="s">
        <v>156</v>
      </c>
      <c r="B150" t="str">
        <f t="shared" si="12"/>
        <v>Go Wireless Inc Canada (Parent)</v>
      </c>
      <c r="C150" t="str">
        <f t="shared" si="13"/>
        <v>43.8410172451317</v>
      </c>
      <c r="D150" t="str">
        <f t="shared" si="14"/>
        <v>-79.3261101042016</v>
      </c>
      <c r="E150" t="str">
        <f t="shared" si="15"/>
        <v>905-940-8750</v>
      </c>
      <c r="F150" t="str">
        <f t="shared" si="16"/>
        <v>L3R 9X5</v>
      </c>
      <c r="G150" t="str">
        <f t="shared" si="17"/>
        <v>[ "Go Wireless Inc Canada (Parent)", 43.8410172451317, -79.3261101042016, '905-940-8750', 'L3R 9X5'],</v>
      </c>
      <c r="H150" t="s">
        <v>1570</v>
      </c>
    </row>
    <row r="151" spans="1:8" hidden="1" x14ac:dyDescent="0.2">
      <c r="A151" t="s">
        <v>157</v>
      </c>
      <c r="B151" t="str">
        <f t="shared" si="12"/>
        <v>Go Wireless Canada</v>
      </c>
      <c r="C151" t="str">
        <f t="shared" si="13"/>
        <v>43.8401537747984</v>
      </c>
      <c r="D151" t="str">
        <f t="shared" si="14"/>
        <v>-79.3284351589818</v>
      </c>
      <c r="E151" t="str">
        <f t="shared" si="15"/>
        <v>905-432-3665</v>
      </c>
      <c r="F151" t="str">
        <f t="shared" si="16"/>
        <v>L3R 9X5</v>
      </c>
      <c r="G151" t="str">
        <f t="shared" si="17"/>
        <v>[ "Go Wireless Canada", 43.8401537747984, -79.3284351589818, '905-432-3665', 'L3R 9X5'],</v>
      </c>
      <c r="H151" t="s">
        <v>1571</v>
      </c>
    </row>
    <row r="152" spans="1:8" hidden="1" x14ac:dyDescent="0.2">
      <c r="A152" t="s">
        <v>158</v>
      </c>
      <c r="B152" t="str">
        <f t="shared" si="12"/>
        <v>Pinnacle Hobby</v>
      </c>
      <c r="C152" t="str">
        <f t="shared" si="13"/>
        <v>43.8912729740915</v>
      </c>
      <c r="D152" t="str">
        <f t="shared" si="14"/>
        <v>-79.2658992414536</v>
      </c>
      <c r="E152" t="str">
        <f t="shared" si="15"/>
        <v>905-471-9634</v>
      </c>
      <c r="F152" t="str">
        <f t="shared" si="16"/>
        <v>L3P 7R1</v>
      </c>
      <c r="G152" t="str">
        <f t="shared" si="17"/>
        <v>[ "Pinnacle Hobby", 43.8912729740915, -79.2658992414536, '905-471-9634', 'L3P 7R1'],</v>
      </c>
      <c r="H152" t="s">
        <v>1572</v>
      </c>
    </row>
    <row r="153" spans="1:8" hidden="1" x14ac:dyDescent="0.2">
      <c r="A153" t="s">
        <v>159</v>
      </c>
      <c r="B153" t="str">
        <f t="shared" si="12"/>
        <v>Home Depot</v>
      </c>
      <c r="C153" t="str">
        <f t="shared" si="13"/>
        <v>43.90374</v>
      </c>
      <c r="D153" t="str">
        <f t="shared" si="14"/>
        <v>-79.26985</v>
      </c>
      <c r="E153" t="str">
        <f t="shared" si="15"/>
        <v>905-201-5500</v>
      </c>
      <c r="F153" t="str">
        <f t="shared" si="16"/>
        <v>L6E 0G5</v>
      </c>
      <c r="G153" t="str">
        <f t="shared" si="17"/>
        <v>[ "Home Depot", 43.90374, -79.26985, '905-201-5500', 'L6E 0G5'],</v>
      </c>
      <c r="H153" t="s">
        <v>1666</v>
      </c>
    </row>
    <row r="154" spans="1:8" hidden="1" x14ac:dyDescent="0.2">
      <c r="A154" t="s">
        <v>160</v>
      </c>
      <c r="B154" t="str">
        <f t="shared" si="12"/>
        <v>Home Depot</v>
      </c>
      <c r="C154" t="str">
        <f t="shared" si="13"/>
        <v>43.899563</v>
      </c>
      <c r="D154" t="str">
        <f t="shared" si="14"/>
        <v>-79.391825</v>
      </c>
      <c r="E154" t="str">
        <f t="shared" si="15"/>
        <v>905-787-7200</v>
      </c>
      <c r="F154" t="str">
        <f t="shared" si="16"/>
        <v>L4S 1M6</v>
      </c>
      <c r="G154" t="str">
        <f t="shared" si="17"/>
        <v>[ "Home Depot", 43.899563, -79.391825, '905-787-7200', 'L4S 1M6'],</v>
      </c>
      <c r="H154" t="s">
        <v>1666</v>
      </c>
    </row>
    <row r="155" spans="1:8" x14ac:dyDescent="0.2">
      <c r="A155" t="s">
        <v>161</v>
      </c>
      <c r="B155" t="str">
        <f t="shared" si="12"/>
        <v>Staples</v>
      </c>
      <c r="C155" t="str">
        <f t="shared" si="13"/>
        <v>43.89947</v>
      </c>
      <c r="D155" t="str">
        <f t="shared" si="14"/>
        <v>-79.39223</v>
      </c>
      <c r="E155" t="str">
        <f t="shared" si="15"/>
        <v>905-770-1600</v>
      </c>
      <c r="F155" t="str">
        <f t="shared" si="16"/>
        <v>L4S 0B2</v>
      </c>
      <c r="G155" t="str">
        <f t="shared" si="17"/>
        <v>[ "Staples", 43.89947, -79.39223, '905-770-1600', 'L4S 0B2'],</v>
      </c>
    </row>
    <row r="156" spans="1:8" hidden="1" x14ac:dyDescent="0.2">
      <c r="A156" t="s">
        <v>162</v>
      </c>
      <c r="B156" t="str">
        <f t="shared" si="12"/>
        <v>Home Depot</v>
      </c>
      <c r="C156" t="str">
        <f t="shared" si="13"/>
        <v>43.8516</v>
      </c>
      <c r="D156" t="str">
        <f t="shared" si="14"/>
        <v>-79.25286</v>
      </c>
      <c r="E156" t="str">
        <f t="shared" si="15"/>
        <v>905-201-2590</v>
      </c>
      <c r="F156" t="str">
        <f t="shared" si="16"/>
        <v>L3S 4K7</v>
      </c>
      <c r="G156" t="str">
        <f t="shared" si="17"/>
        <v>[ "Home Depot", 43.8516, -79.25286, '905-201-2590', 'L3S 4K7'],</v>
      </c>
      <c r="H156" t="s">
        <v>1667</v>
      </c>
    </row>
    <row r="157" spans="1:8" hidden="1" x14ac:dyDescent="0.2">
      <c r="A157" t="s">
        <v>163</v>
      </c>
      <c r="B157" t="str">
        <f t="shared" si="12"/>
        <v>ListenUp! Canada</v>
      </c>
      <c r="C157" t="str">
        <f t="shared" si="13"/>
        <v>43.8504080701754</v>
      </c>
      <c r="D157" t="str">
        <f t="shared" si="14"/>
        <v>-79.4092054385965</v>
      </c>
      <c r="E157" t="str">
        <f t="shared" si="15"/>
        <v>905-889-2199</v>
      </c>
      <c r="F157" t="str">
        <f t="shared" si="16"/>
        <v>L4B 3M6</v>
      </c>
      <c r="G157" t="str">
        <f t="shared" si="17"/>
        <v>[ "ListenUp! Canada", 43.8504080701754, -79.4092054385965, '905-889-2199', 'L4B 3M6'],</v>
      </c>
      <c r="H157" t="s">
        <v>1668</v>
      </c>
    </row>
    <row r="158" spans="1:8" hidden="1" x14ac:dyDescent="0.2">
      <c r="A158" t="s">
        <v>164</v>
      </c>
      <c r="B158" t="str">
        <f t="shared" si="12"/>
        <v>RONA</v>
      </c>
      <c r="C158" t="str">
        <f t="shared" si="13"/>
        <v>43.8146</v>
      </c>
      <c r="D158" t="str">
        <f t="shared" si="14"/>
        <v>-79.29221</v>
      </c>
      <c r="E158" t="str">
        <f t="shared" si="15"/>
        <v>416-396-3453</v>
      </c>
      <c r="F158" t="str">
        <f t="shared" si="16"/>
        <v>M1V 4V3</v>
      </c>
      <c r="G158" t="str">
        <f t="shared" si="17"/>
        <v>[ "RONA", 43.8146, -79.29221, '416-396-3453', 'M1V 4V3'],</v>
      </c>
      <c r="H158" t="s">
        <v>1669</v>
      </c>
    </row>
    <row r="159" spans="1:8" hidden="1" x14ac:dyDescent="0.2">
      <c r="A159" t="s">
        <v>165</v>
      </c>
      <c r="B159" t="str">
        <f t="shared" si="12"/>
        <v>Lowes</v>
      </c>
      <c r="C159" t="str">
        <f t="shared" si="13"/>
        <v>43.8340925</v>
      </c>
      <c r="D159" t="str">
        <f t="shared" si="14"/>
        <v>-79.2526589</v>
      </c>
      <c r="E159" t="str">
        <f t="shared" si="15"/>
        <v>416-940-4827</v>
      </c>
      <c r="F159" t="str">
        <f t="shared" si="16"/>
        <v>M1V 5P7</v>
      </c>
      <c r="G159" t="str">
        <f t="shared" si="17"/>
        <v>[ "Lowes", 43.8340925, -79.2526589, '416-940-4827', 'M1V 5P7'],</v>
      </c>
      <c r="H159" t="s">
        <v>1571</v>
      </c>
    </row>
    <row r="160" spans="1:8" hidden="1" x14ac:dyDescent="0.2">
      <c r="A160" t="s">
        <v>166</v>
      </c>
      <c r="B160" t="str">
        <f t="shared" si="12"/>
        <v>Home Depot</v>
      </c>
      <c r="C160" t="str">
        <f t="shared" si="13"/>
        <v>43.8414159822526</v>
      </c>
      <c r="D160" t="str">
        <f t="shared" si="14"/>
        <v>-79.4228972184826</v>
      </c>
      <c r="E160" t="str">
        <f t="shared" si="15"/>
        <v>905-763-2311</v>
      </c>
      <c r="F160" t="str">
        <f t="shared" si="16"/>
        <v>L4B 4K1</v>
      </c>
      <c r="G160" t="str">
        <f t="shared" si="17"/>
        <v>[ "Home Depot", 43.8414159822526, -79.4228972184826, '905-763-2311', 'L4B 4K1'],</v>
      </c>
      <c r="H160" t="s">
        <v>1572</v>
      </c>
    </row>
    <row r="161" spans="1:8" x14ac:dyDescent="0.2">
      <c r="A161" t="s">
        <v>167</v>
      </c>
      <c r="B161" t="str">
        <f t="shared" si="12"/>
        <v>Staples Canada/Business Depot</v>
      </c>
      <c r="C161" t="str">
        <f t="shared" si="13"/>
        <v>43.8410902360863</v>
      </c>
      <c r="D161" t="str">
        <f t="shared" si="14"/>
        <v>-79.4226223429902</v>
      </c>
      <c r="E161" t="str">
        <f t="shared" si="15"/>
        <v>905-882-6995</v>
      </c>
      <c r="F161" t="str">
        <f t="shared" si="16"/>
        <v>L4B 4M6</v>
      </c>
      <c r="G161" t="str">
        <f t="shared" si="17"/>
        <v>[ "Staples Canada/Business Depot", 43.8410902360863, -79.4226223429902, '905-882-6995', 'L4B 4M6'],</v>
      </c>
    </row>
    <row r="162" spans="1:8" hidden="1" x14ac:dyDescent="0.2">
      <c r="A162" t="s">
        <v>168</v>
      </c>
      <c r="B162" t="str">
        <f t="shared" si="12"/>
        <v>ListenUp! Canada</v>
      </c>
      <c r="C162" t="str">
        <f t="shared" si="13"/>
        <v>43.8003307</v>
      </c>
      <c r="D162" t="str">
        <f t="shared" si="14"/>
        <v>-79.3004262</v>
      </c>
      <c r="E162" t="str">
        <f t="shared" si="15"/>
        <v>416-494-6901</v>
      </c>
      <c r="F162" t="str">
        <f t="shared" si="16"/>
        <v>M1T 3T6</v>
      </c>
      <c r="G162" t="str">
        <f t="shared" si="17"/>
        <v>[ "ListenUp! Canada", 43.8003307, -79.3004262, '416-494-6901', 'M1T 3T6'],</v>
      </c>
    </row>
    <row r="163" spans="1:8" hidden="1" x14ac:dyDescent="0.2">
      <c r="A163" t="s">
        <v>169</v>
      </c>
      <c r="B163" t="str">
        <f t="shared" si="12"/>
        <v>Federal Wireless Communication Inc.</v>
      </c>
      <c r="C163" t="str">
        <f t="shared" si="13"/>
        <v>43.8106164</v>
      </c>
      <c r="D163" t="str">
        <f t="shared" si="14"/>
        <v>-79.2528031</v>
      </c>
      <c r="E163" t="str">
        <f t="shared" si="15"/>
        <v>416-321-6606</v>
      </c>
      <c r="F163" t="str">
        <f t="shared" si="16"/>
        <v>M1S 5A5</v>
      </c>
      <c r="G163" t="str">
        <f t="shared" si="17"/>
        <v>[ "Federal Wireless Communication Inc.", 43.8106164, -79.2528031, '416-321-6606', 'M1S 5A5'],</v>
      </c>
      <c r="H163" t="s">
        <v>1670</v>
      </c>
    </row>
    <row r="164" spans="1:8" hidden="1" x14ac:dyDescent="0.2">
      <c r="A164" t="s">
        <v>170</v>
      </c>
      <c r="B164" t="str">
        <f t="shared" si="12"/>
        <v>Canadian Tire</v>
      </c>
      <c r="C164" t="str">
        <f t="shared" si="13"/>
        <v>43.9568185393775</v>
      </c>
      <c r="D164" t="str">
        <f t="shared" si="14"/>
        <v>-79.2786247921156</v>
      </c>
      <c r="E164" t="str">
        <f t="shared" si="15"/>
        <v>905-640-5800</v>
      </c>
      <c r="F164" t="str">
        <f t="shared" si="16"/>
        <v>L4A 0K2</v>
      </c>
      <c r="G164" t="str">
        <f t="shared" si="17"/>
        <v>[ "Canadian Tire", 43.9568185393775, -79.2786247921156, '905-640-5800', 'L4A 0K2'],</v>
      </c>
      <c r="H164" t="s">
        <v>1671</v>
      </c>
    </row>
    <row r="165" spans="1:8" x14ac:dyDescent="0.2">
      <c r="A165" t="s">
        <v>171</v>
      </c>
      <c r="B165" t="str">
        <f t="shared" si="12"/>
        <v>Staples</v>
      </c>
      <c r="C165" t="str">
        <f t="shared" si="13"/>
        <v>43.9582946871189</v>
      </c>
      <c r="D165" t="str">
        <f t="shared" si="14"/>
        <v>-79.2718495160064</v>
      </c>
      <c r="E165" t="str">
        <f t="shared" si="15"/>
        <v>905-642-6800</v>
      </c>
      <c r="F165" t="str">
        <f t="shared" si="16"/>
        <v>L4A 0K2</v>
      </c>
      <c r="G165" t="str">
        <f t="shared" si="17"/>
        <v>[ "Staples", 43.9582946871189, -79.2718495160064, '905-642-6800', 'L4A 0K2'],</v>
      </c>
    </row>
    <row r="166" spans="1:8" hidden="1" x14ac:dyDescent="0.2">
      <c r="A166" t="s">
        <v>172</v>
      </c>
      <c r="B166" t="str">
        <f t="shared" si="12"/>
        <v>Fastenal</v>
      </c>
      <c r="C166" t="str">
        <f t="shared" si="13"/>
        <v>43.8093601645066</v>
      </c>
      <c r="D166" t="str">
        <f t="shared" si="14"/>
        <v>-79.2435452702725</v>
      </c>
      <c r="E166" t="str">
        <f t="shared" si="15"/>
        <v>416-646-1681</v>
      </c>
      <c r="F166" t="str">
        <f t="shared" si="16"/>
        <v>M1B 2W4</v>
      </c>
      <c r="G166" t="str">
        <f t="shared" si="17"/>
        <v>[ "Fastenal", 43.8093601645066, -79.2435452702725, '416-646-1681', 'M1B 2W4'],</v>
      </c>
      <c r="H166" t="s">
        <v>1673</v>
      </c>
    </row>
    <row r="167" spans="1:8" hidden="1" x14ac:dyDescent="0.2">
      <c r="A167" t="s">
        <v>173</v>
      </c>
      <c r="B167" t="str">
        <f t="shared" si="12"/>
        <v>The Source</v>
      </c>
      <c r="C167" t="str">
        <f t="shared" si="13"/>
        <v>43.9649619587629</v>
      </c>
      <c r="D167" t="str">
        <f t="shared" si="14"/>
        <v>-79.2758659793814</v>
      </c>
      <c r="E167" t="str">
        <f t="shared" si="15"/>
        <v>905-642-4776</v>
      </c>
      <c r="F167" t="str">
        <f t="shared" si="16"/>
        <v>L4A 1H3</v>
      </c>
      <c r="G167" t="str">
        <f t="shared" si="17"/>
        <v>[ "The Source", 43.9649619587629, -79.2758659793814, '905-642-4776', 'L4A 1H3'],</v>
      </c>
      <c r="H167" t="s">
        <v>1674</v>
      </c>
    </row>
    <row r="168" spans="1:8" hidden="1" x14ac:dyDescent="0.2">
      <c r="A168" t="s">
        <v>174</v>
      </c>
      <c r="B168" t="str">
        <f t="shared" si="12"/>
        <v>Canadian Tire</v>
      </c>
      <c r="C168" t="str">
        <f t="shared" si="13"/>
        <v>43.7899618</v>
      </c>
      <c r="D168" t="str">
        <f t="shared" si="14"/>
        <v>-79.2610837</v>
      </c>
      <c r="E168" t="str">
        <f t="shared" si="15"/>
        <v>416-298-0000</v>
      </c>
      <c r="F168" t="str">
        <f t="shared" si="16"/>
        <v>M1S 3V5</v>
      </c>
      <c r="G168" t="str">
        <f t="shared" si="17"/>
        <v>[ "Canadian Tire", 43.7899618, -79.2610837, '416-298-0000', 'M1S 3V5'],</v>
      </c>
      <c r="H168" t="s">
        <v>1675</v>
      </c>
    </row>
    <row r="169" spans="1:8" hidden="1" x14ac:dyDescent="0.2">
      <c r="A169" t="s">
        <v>175</v>
      </c>
      <c r="B169" t="str">
        <f t="shared" si="12"/>
        <v>ListenUp! Canada</v>
      </c>
      <c r="C169" t="str">
        <f t="shared" si="13"/>
        <v>43.8091281818182</v>
      </c>
      <c r="D169" t="str">
        <f t="shared" si="14"/>
        <v>-79.2214209090909</v>
      </c>
      <c r="E169" t="str">
        <f t="shared" si="15"/>
        <v>416-282-5574</v>
      </c>
      <c r="F169" t="str">
        <f t="shared" si="16"/>
        <v>M1B 4Z8</v>
      </c>
      <c r="G169" t="str">
        <f t="shared" si="17"/>
        <v>[ "ListenUp! Canada", 43.8091281818182, -79.2214209090909, '416-282-5574', 'M1B 4Z8'],</v>
      </c>
      <c r="H169" t="s">
        <v>1676</v>
      </c>
    </row>
    <row r="170" spans="1:8" hidden="1" x14ac:dyDescent="0.2">
      <c r="A170" t="s">
        <v>176</v>
      </c>
      <c r="B170" t="str">
        <f t="shared" si="12"/>
        <v>Franklin Empire</v>
      </c>
      <c r="C170" t="str">
        <f t="shared" si="13"/>
        <v>43.785577392966</v>
      </c>
      <c r="D170" t="str">
        <f t="shared" si="14"/>
        <v>-79.2556527454995</v>
      </c>
      <c r="E170" t="str">
        <f t="shared" si="15"/>
        <v>416-299-4443</v>
      </c>
      <c r="F170" t="str">
        <f t="shared" si="16"/>
        <v>M1S 3P8</v>
      </c>
      <c r="G170" t="str">
        <f t="shared" si="17"/>
        <v>[ "Franklin Empire", 43.785577392966, -79.2556527454995, '416-299-4443', 'M1S 3P8'],</v>
      </c>
      <c r="H170" t="s">
        <v>1677</v>
      </c>
    </row>
    <row r="171" spans="1:8" hidden="1" x14ac:dyDescent="0.2">
      <c r="A171" t="s">
        <v>177</v>
      </c>
      <c r="B171" t="str">
        <f t="shared" si="12"/>
        <v>The Source</v>
      </c>
      <c r="C171" t="str">
        <f t="shared" si="13"/>
        <v>43.7958802857143</v>
      </c>
      <c r="D171" t="str">
        <f t="shared" si="14"/>
        <v>-79.4195102857143</v>
      </c>
      <c r="E171" t="str">
        <f t="shared" si="15"/>
        <v>416-223-1943</v>
      </c>
      <c r="F171" t="str">
        <f t="shared" si="16"/>
        <v>M2M 3X4</v>
      </c>
      <c r="G171" t="str">
        <f t="shared" si="17"/>
        <v>[ "The Source", 43.7958802857143, -79.4195102857143, '416-223-1943', 'M2M 3X4'],</v>
      </c>
      <c r="H171" t="s">
        <v>1678</v>
      </c>
    </row>
    <row r="172" spans="1:8" hidden="1" x14ac:dyDescent="0.2">
      <c r="A172" t="s">
        <v>178</v>
      </c>
      <c r="B172" t="str">
        <f t="shared" si="12"/>
        <v>Canadian Tire</v>
      </c>
      <c r="C172" t="str">
        <f t="shared" si="13"/>
        <v>43.7957925</v>
      </c>
      <c r="D172" t="str">
        <f t="shared" si="14"/>
        <v>-79.41948875</v>
      </c>
      <c r="E172" t="str">
        <f t="shared" si="15"/>
        <v>416-222-2511</v>
      </c>
      <c r="F172" t="str">
        <f t="shared" si="16"/>
        <v>M2M 3X4</v>
      </c>
      <c r="G172" t="str">
        <f t="shared" si="17"/>
        <v>[ "Canadian Tire", 43.7957925, -79.41948875, '416-222-2511', 'M2M 3X4'],</v>
      </c>
      <c r="H172" t="s">
        <v>1679</v>
      </c>
    </row>
    <row r="173" spans="1:8" hidden="1" x14ac:dyDescent="0.2">
      <c r="A173" t="s">
        <v>179</v>
      </c>
      <c r="B173" t="str">
        <f t="shared" si="12"/>
        <v>Princess Auto</v>
      </c>
      <c r="C173" t="str">
        <f t="shared" si="13"/>
        <v>43.78416</v>
      </c>
      <c r="D173" t="str">
        <f t="shared" si="14"/>
        <v>-79.25592</v>
      </c>
      <c r="E173" t="str">
        <f t="shared" si="15"/>
        <v>647-253-5600</v>
      </c>
      <c r="F173" t="str">
        <f t="shared" si="16"/>
        <v>M1S 5K7</v>
      </c>
      <c r="G173" t="str">
        <f t="shared" si="17"/>
        <v>[ "Princess Auto", 43.78416, -79.25592, '647-253-5600', 'M1S 5K7'],</v>
      </c>
      <c r="H173" t="s">
        <v>1680</v>
      </c>
    </row>
    <row r="174" spans="1:8" hidden="1" x14ac:dyDescent="0.2">
      <c r="A174" t="s">
        <v>180</v>
      </c>
      <c r="B174" t="str">
        <f t="shared" si="12"/>
        <v>Canadian College of Naturopathic Medicine</v>
      </c>
      <c r="C174" t="str">
        <f t="shared" si="13"/>
        <v>43.7707414</v>
      </c>
      <c r="D174" t="str">
        <f t="shared" si="14"/>
        <v>-79.3658736</v>
      </c>
      <c r="E174" t="str">
        <f t="shared" si="15"/>
        <v>416-498-1255</v>
      </c>
      <c r="F174" t="str">
        <f t="shared" si="16"/>
        <v>M2K 1E2</v>
      </c>
      <c r="G174" t="str">
        <f t="shared" si="17"/>
        <v>[ "Canadian College of Naturopathic Medicine", 43.7707414, -79.3658736, '416-498-1255', 'M2K 1E2'],</v>
      </c>
      <c r="H174" t="s">
        <v>1681</v>
      </c>
    </row>
    <row r="175" spans="1:8" x14ac:dyDescent="0.2">
      <c r="A175" t="s">
        <v>181</v>
      </c>
      <c r="B175" t="str">
        <f t="shared" si="12"/>
        <v>Best Buy</v>
      </c>
      <c r="C175" t="str">
        <f t="shared" si="13"/>
        <v>43.775466</v>
      </c>
      <c r="D175" t="str">
        <f t="shared" si="14"/>
        <v>-79.25395</v>
      </c>
      <c r="E175" t="str">
        <f t="shared" si="15"/>
        <v>--</v>
      </c>
      <c r="F175" t="str">
        <f t="shared" si="16"/>
        <v>M1P 4P5</v>
      </c>
      <c r="G175" t="str">
        <f t="shared" si="17"/>
        <v>[ "Best Buy", 43.775466, -79.25395, '--', 'M1P 4P5'],</v>
      </c>
    </row>
    <row r="176" spans="1:8" hidden="1" x14ac:dyDescent="0.2">
      <c r="A176" t="s">
        <v>182</v>
      </c>
      <c r="B176" t="str">
        <f t="shared" si="12"/>
        <v>The Source</v>
      </c>
      <c r="C176" t="str">
        <f t="shared" si="13"/>
        <v>43.8082546569289</v>
      </c>
      <c r="D176" t="str">
        <f t="shared" si="14"/>
        <v>-79.4543521119226</v>
      </c>
      <c r="E176" t="str">
        <f t="shared" si="15"/>
        <v>905-889-0074</v>
      </c>
      <c r="F176" t="str">
        <f t="shared" si="16"/>
        <v>L4J 4P8</v>
      </c>
      <c r="G176" t="str">
        <f t="shared" si="17"/>
        <v>[ "The Source", 43.8082546569289, -79.4543521119226, '905-889-0074', 'L4J 4P8'],</v>
      </c>
      <c r="H176" t="s">
        <v>1683</v>
      </c>
    </row>
    <row r="177" spans="1:9" x14ac:dyDescent="0.2">
      <c r="A177" t="s">
        <v>183</v>
      </c>
      <c r="B177" t="str">
        <f t="shared" si="12"/>
        <v>Best Buy</v>
      </c>
      <c r="C177" t="str">
        <f t="shared" si="13"/>
        <v>43.77976</v>
      </c>
      <c r="D177" t="str">
        <f t="shared" si="14"/>
        <v>-79.41556</v>
      </c>
      <c r="E177" t="str">
        <f t="shared" si="15"/>
        <v>--</v>
      </c>
      <c r="F177" t="str">
        <f t="shared" si="16"/>
        <v>M2M 3X4</v>
      </c>
      <c r="G177" t="str">
        <f t="shared" si="17"/>
        <v>[ "Best Buy", 43.77976, -79.41556, '--', 'M2M 3X4'],</v>
      </c>
    </row>
    <row r="178" spans="1:9" hidden="1" x14ac:dyDescent="0.2">
      <c r="A178" t="s">
        <v>184</v>
      </c>
      <c r="B178" t="str">
        <f t="shared" si="12"/>
        <v>Home Depot</v>
      </c>
      <c r="C178" t="str">
        <f t="shared" si="13"/>
        <v>43.76262</v>
      </c>
      <c r="D178" t="str">
        <f t="shared" si="14"/>
        <v>-79.29468</v>
      </c>
      <c r="E178" t="str">
        <f t="shared" si="15"/>
        <v>416-609-1800</v>
      </c>
      <c r="F178" t="str">
        <f t="shared" si="16"/>
        <v>M1R 4E6</v>
      </c>
      <c r="G178" t="str">
        <f t="shared" si="17"/>
        <v>[ "Home Depot", 43.76262, -79.29468, '416-609-1800', 'M1R 4E6'],</v>
      </c>
      <c r="H178" t="s">
        <v>1685</v>
      </c>
    </row>
    <row r="179" spans="1:9" x14ac:dyDescent="0.2">
      <c r="A179" t="s">
        <v>185</v>
      </c>
      <c r="B179" t="str">
        <f t="shared" si="12"/>
        <v>Staples</v>
      </c>
      <c r="C179" t="str">
        <f t="shared" si="13"/>
        <v>43.75861</v>
      </c>
      <c r="D179" t="str">
        <f t="shared" si="14"/>
        <v>-79.31211</v>
      </c>
      <c r="E179" t="str">
        <f t="shared" si="15"/>
        <v>416-444-5237</v>
      </c>
      <c r="F179" t="str">
        <f t="shared" si="16"/>
        <v>M1R 4B7</v>
      </c>
      <c r="G179" t="str">
        <f t="shared" si="17"/>
        <v>[ "Staples", 43.75861, -79.31211, '416-444-5237', 'M1R 4B7'],</v>
      </c>
      <c r="I179" t="s">
        <v>1687</v>
      </c>
    </row>
    <row r="180" spans="1:9" x14ac:dyDescent="0.2">
      <c r="A180" t="s">
        <v>186</v>
      </c>
      <c r="B180" t="str">
        <f t="shared" si="12"/>
        <v>Staples</v>
      </c>
      <c r="C180" t="str">
        <f t="shared" si="13"/>
        <v>43.79976</v>
      </c>
      <c r="D180" t="str">
        <f t="shared" si="14"/>
        <v>-79.19677</v>
      </c>
      <c r="E180" t="str">
        <f t="shared" si="15"/>
        <v>416-208-7728</v>
      </c>
      <c r="F180" t="str">
        <f t="shared" si="16"/>
        <v>M1V 1K4</v>
      </c>
      <c r="G180" t="str">
        <f t="shared" si="17"/>
        <v>[ "Staples", 43.79976, -79.19677, '416-208-7728', 'M1V 1K4'],</v>
      </c>
    </row>
    <row r="181" spans="1:9" hidden="1" x14ac:dyDescent="0.2">
      <c r="A181" t="s">
        <v>187</v>
      </c>
      <c r="B181" t="str">
        <f t="shared" si="12"/>
        <v>Home Depot</v>
      </c>
      <c r="C181" t="str">
        <f t="shared" si="13"/>
        <v>43.8014078156504</v>
      </c>
      <c r="D181" t="str">
        <f t="shared" si="14"/>
        <v>-79.1945958807861</v>
      </c>
      <c r="E181" t="str">
        <f t="shared" si="15"/>
        <v>416-283-3166</v>
      </c>
      <c r="F181" t="str">
        <f t="shared" si="16"/>
        <v>M1B 5N6</v>
      </c>
      <c r="G181" t="str">
        <f t="shared" si="17"/>
        <v>[ "Home Depot", 43.8014078156504, -79.1945958807861, '416-283-3166', 'M1B 5N6'],</v>
      </c>
      <c r="H181" t="s">
        <v>1689</v>
      </c>
    </row>
    <row r="182" spans="1:9" hidden="1" x14ac:dyDescent="0.2">
      <c r="A182" t="s">
        <v>188</v>
      </c>
      <c r="B182" t="str">
        <f t="shared" si="12"/>
        <v>RONA</v>
      </c>
      <c r="C182" t="str">
        <f t="shared" si="13"/>
        <v>43.7644127</v>
      </c>
      <c r="D182" t="str">
        <f t="shared" si="14"/>
        <v>-79.3993942</v>
      </c>
      <c r="E182" t="str">
        <f t="shared" si="15"/>
        <v>416-225-7726</v>
      </c>
      <c r="F182" t="str">
        <f t="shared" si="16"/>
        <v>M2N 3B1</v>
      </c>
      <c r="G182" t="str">
        <f t="shared" si="17"/>
        <v>[ "RONA", 43.7644127, -79.3993942, '416-225-7726', 'M2N 3B1'],</v>
      </c>
      <c r="H182" t="s">
        <v>1690</v>
      </c>
    </row>
    <row r="183" spans="1:9" hidden="1" x14ac:dyDescent="0.2">
      <c r="A183" t="s">
        <v>189</v>
      </c>
      <c r="B183" t="str">
        <f t="shared" si="12"/>
        <v>Canadian Tire</v>
      </c>
      <c r="C183" t="str">
        <f t="shared" si="13"/>
        <v>43.81358</v>
      </c>
      <c r="D183" t="str">
        <f t="shared" si="14"/>
        <v>-79.47625</v>
      </c>
      <c r="E183" t="str">
        <f t="shared" si="15"/>
        <v>905-889-7455</v>
      </c>
      <c r="F183" t="str">
        <f t="shared" si="16"/>
        <v>L4J 8R9</v>
      </c>
      <c r="G183" t="str">
        <f t="shared" si="17"/>
        <v>[ "Canadian Tire", 43.81358, -79.47625, '905-889-7455', 'L4J 8R9'],</v>
      </c>
      <c r="H183" t="s">
        <v>1691</v>
      </c>
    </row>
    <row r="184" spans="1:9" x14ac:dyDescent="0.2">
      <c r="A184" t="s">
        <v>190</v>
      </c>
      <c r="B184" t="str">
        <f t="shared" si="12"/>
        <v>Best Buy Canada</v>
      </c>
      <c r="C184" t="str">
        <f t="shared" si="13"/>
        <v>43.768118</v>
      </c>
      <c r="D184" t="str">
        <f t="shared" si="14"/>
        <v>-79.412616</v>
      </c>
      <c r="E184" t="str">
        <f t="shared" si="15"/>
        <v>416-642-7980</v>
      </c>
      <c r="F184" t="str">
        <f t="shared" si="16"/>
        <v>M2N 6Z4</v>
      </c>
      <c r="G184" t="str">
        <f t="shared" si="17"/>
        <v>[ "Best Buy Canada", 43.768118, -79.412616, '416-642-7980', 'M2N 6Z4'],</v>
      </c>
    </row>
    <row r="185" spans="1:9" hidden="1" x14ac:dyDescent="0.2">
      <c r="A185" t="s">
        <v>191</v>
      </c>
      <c r="B185" t="str">
        <f t="shared" si="12"/>
        <v>Kelcom</v>
      </c>
      <c r="C185" t="str">
        <f t="shared" si="13"/>
        <v>43.817102051282</v>
      </c>
      <c r="D185" t="str">
        <f t="shared" si="14"/>
        <v>-79.4836097435897</v>
      </c>
      <c r="E185" t="str">
        <f t="shared" si="15"/>
        <v>905-761-6070</v>
      </c>
      <c r="F185" t="str">
        <f t="shared" si="16"/>
        <v>L4K 3N6</v>
      </c>
      <c r="G185" t="str">
        <f t="shared" si="17"/>
        <v>[ "Kelcom", 43.817102051282, -79.4836097435897, '905-761-6070', 'L4K 3N6'],</v>
      </c>
      <c r="H185" t="s">
        <v>1693</v>
      </c>
    </row>
    <row r="186" spans="1:9" hidden="1" x14ac:dyDescent="0.2">
      <c r="A186" t="s">
        <v>192</v>
      </c>
      <c r="B186" t="str">
        <f t="shared" si="12"/>
        <v>ListenUp! Canada</v>
      </c>
      <c r="C186" t="str">
        <f t="shared" si="13"/>
        <v>43.78216</v>
      </c>
      <c r="D186" t="str">
        <f t="shared" si="14"/>
        <v>-79.207</v>
      </c>
      <c r="E186" t="str">
        <f t="shared" si="15"/>
        <v>416-283-1940</v>
      </c>
      <c r="F186" t="str">
        <f t="shared" si="16"/>
        <v>M1E 5E9</v>
      </c>
      <c r="G186" t="str">
        <f t="shared" si="17"/>
        <v>[ "ListenUp! Canada", 43.78216, -79.207, '416-283-1940', 'M1E 5E9'],</v>
      </c>
      <c r="H186" t="s">
        <v>1694</v>
      </c>
    </row>
    <row r="187" spans="1:9" x14ac:dyDescent="0.2">
      <c r="A187" t="s">
        <v>193</v>
      </c>
      <c r="B187" t="str">
        <f t="shared" si="12"/>
        <v>Staples</v>
      </c>
      <c r="C187" t="str">
        <f t="shared" si="13"/>
        <v>43.7984506</v>
      </c>
      <c r="D187" t="str">
        <f t="shared" si="14"/>
        <v>-79.4709573</v>
      </c>
      <c r="E187" t="str">
        <f t="shared" si="15"/>
        <v>905-669-5096</v>
      </c>
      <c r="F187" t="str">
        <f t="shared" si="16"/>
        <v>L4J 7R5</v>
      </c>
      <c r="G187" t="str">
        <f t="shared" si="17"/>
        <v>[ "Staples", 43.7984506, -79.4709573, '905-669-5096', 'L4J 7R5'],</v>
      </c>
    </row>
    <row r="188" spans="1:9" hidden="1" x14ac:dyDescent="0.2">
      <c r="A188" t="s">
        <v>194</v>
      </c>
      <c r="B188" t="str">
        <f t="shared" si="12"/>
        <v>Trion Power Tools Services Inc.</v>
      </c>
      <c r="C188" t="str">
        <f t="shared" si="13"/>
        <v>43.811413837805</v>
      </c>
      <c r="D188" t="str">
        <f t="shared" si="14"/>
        <v>-79.4880696655048</v>
      </c>
      <c r="E188" t="str">
        <f t="shared" si="15"/>
        <v>905-738-5060</v>
      </c>
      <c r="F188" t="str">
        <f t="shared" si="16"/>
        <v>L4K 3M7</v>
      </c>
      <c r="G188" t="str">
        <f t="shared" si="17"/>
        <v>[ "Trion Power Tools Services Inc.", 43.811413837805, -79.4880696655048, '905-738-5060', 'L4K 3M7'],</v>
      </c>
    </row>
    <row r="189" spans="1:9" hidden="1" x14ac:dyDescent="0.2">
      <c r="A189" t="s">
        <v>195</v>
      </c>
      <c r="B189" t="str">
        <f t="shared" si="12"/>
        <v>ListenUp! Canada</v>
      </c>
      <c r="C189" t="str">
        <f t="shared" si="13"/>
        <v>43.7441644444444</v>
      </c>
      <c r="D189" t="str">
        <f t="shared" si="14"/>
        <v>-79.3454033333333</v>
      </c>
      <c r="E189" t="str">
        <f t="shared" si="15"/>
        <v>416-441-3251</v>
      </c>
      <c r="F189" t="str">
        <f t="shared" si="16"/>
        <v>M3B 2W7</v>
      </c>
      <c r="G189" t="str">
        <f t="shared" si="17"/>
        <v>[ "ListenUp! Canada", 43.7441644444444, -79.3454033333333, '416-441-3251', 'M3B 2W7'],</v>
      </c>
    </row>
    <row r="190" spans="1:9" hidden="1" x14ac:dyDescent="0.2">
      <c r="A190" t="s">
        <v>196</v>
      </c>
      <c r="B190" t="str">
        <f t="shared" si="12"/>
        <v>ListenUp! Canada</v>
      </c>
      <c r="C190" t="str">
        <f t="shared" si="13"/>
        <v>43.74771</v>
      </c>
      <c r="D190" t="str">
        <f t="shared" si="14"/>
        <v>-79.3856283333333</v>
      </c>
      <c r="E190" t="str">
        <f t="shared" si="15"/>
        <v>416-510-2705</v>
      </c>
      <c r="F190" t="str">
        <f t="shared" si="16"/>
        <v>M2L 2Y5</v>
      </c>
      <c r="G190" t="str">
        <f t="shared" si="17"/>
        <v>[ "ListenUp! Canada", 43.74771, -79.3856283333333, '416-510-2705', 'M2L 2Y5'],</v>
      </c>
    </row>
    <row r="191" spans="1:9" hidden="1" x14ac:dyDescent="0.2">
      <c r="A191" t="s">
        <v>197</v>
      </c>
      <c r="B191" t="str">
        <f t="shared" si="12"/>
        <v>ListenUp! Canada</v>
      </c>
      <c r="C191" t="str">
        <f t="shared" si="13"/>
        <v>43.7601748</v>
      </c>
      <c r="D191" t="str">
        <f t="shared" si="14"/>
        <v>-79.2284333</v>
      </c>
      <c r="E191" t="str">
        <f t="shared" si="15"/>
        <v>416-439-7888</v>
      </c>
      <c r="F191" t="str">
        <f t="shared" si="16"/>
        <v>M1H 1A9</v>
      </c>
      <c r="G191" t="str">
        <f t="shared" si="17"/>
        <v>[ "ListenUp! Canada", 43.7601748, -79.2284333, '416-439-7888', 'M1H 1A9'],</v>
      </c>
      <c r="H191" t="s">
        <v>1696</v>
      </c>
    </row>
    <row r="192" spans="1:9" hidden="1" x14ac:dyDescent="0.2">
      <c r="A192" t="s">
        <v>198</v>
      </c>
      <c r="B192" t="str">
        <f t="shared" si="12"/>
        <v>Home Depot</v>
      </c>
      <c r="C192" t="str">
        <f t="shared" si="13"/>
        <v>43.7846456</v>
      </c>
      <c r="D192" t="str">
        <f t="shared" si="14"/>
        <v>-79.4809113</v>
      </c>
      <c r="E192" t="str">
        <f t="shared" si="15"/>
        <v>416-664-9800</v>
      </c>
      <c r="F192" t="str">
        <f t="shared" si="16"/>
        <v>M3J 3A8</v>
      </c>
      <c r="G192" t="str">
        <f t="shared" si="17"/>
        <v>[ "Home Depot", 43.7846456, -79.4809113, '416-664-9800', 'M3J 3A8'],</v>
      </c>
      <c r="H192" t="s">
        <v>1697</v>
      </c>
    </row>
    <row r="193" spans="1:8" hidden="1" x14ac:dyDescent="0.2">
      <c r="A193" t="s">
        <v>199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ListenUp! Canada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43.7665105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-79.1926905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416-724-9600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M1E 2S2</v>
      </c>
      <c r="G193" t="str">
        <f t="shared" ref="G193:G256" si="23">"[ "&amp;CHAR(34)&amp;B193&amp;CHAR(34)&amp;", "&amp;C193&amp;", "&amp;D193&amp;", '"&amp;E193&amp;"', '"&amp;F193&amp;"'],"</f>
        <v>[ "ListenUp! Canada", 43.7665105, -79.1926905, '416-724-9600', 'M1E 2S2'],</v>
      </c>
      <c r="H193" t="s">
        <v>1698</v>
      </c>
    </row>
    <row r="194" spans="1:8" hidden="1" x14ac:dyDescent="0.2">
      <c r="A194" t="s">
        <v>200</v>
      </c>
      <c r="B194" t="str">
        <f t="shared" si="18"/>
        <v>Canadian Tire</v>
      </c>
      <c r="C194" t="str">
        <f t="shared" si="19"/>
        <v>43.7976226086956</v>
      </c>
      <c r="D194" t="str">
        <f t="shared" si="20"/>
        <v>-79.1538730434783</v>
      </c>
      <c r="E194" t="str">
        <f t="shared" si="21"/>
        <v>416-283-7707</v>
      </c>
      <c r="F194" t="str">
        <f t="shared" si="22"/>
        <v>M1B 4X3</v>
      </c>
      <c r="G194" t="str">
        <f t="shared" si="23"/>
        <v>[ "Canadian Tire", 43.7976226086956, -79.1538730434783, '416-283-7707', 'M1B 4X3'],</v>
      </c>
      <c r="H194" t="s">
        <v>1699</v>
      </c>
    </row>
    <row r="195" spans="1:8" x14ac:dyDescent="0.2">
      <c r="A195" t="s">
        <v>201</v>
      </c>
      <c r="B195" t="str">
        <f t="shared" si="18"/>
        <v>Best Buy</v>
      </c>
      <c r="C195" t="str">
        <f t="shared" si="19"/>
        <v>43.7205099</v>
      </c>
      <c r="D195" t="str">
        <f t="shared" si="20"/>
        <v>-79.6000779</v>
      </c>
      <c r="E195" t="str">
        <f t="shared" si="21"/>
        <v>--</v>
      </c>
      <c r="F195" t="str">
        <f t="shared" si="22"/>
        <v>M9W 6K5</v>
      </c>
      <c r="G195" t="str">
        <f t="shared" si="23"/>
        <v>[ "Best Buy", 43.7205099, -79.6000779, '--', 'M9W 6K5'],</v>
      </c>
    </row>
    <row r="196" spans="1:8" hidden="1" x14ac:dyDescent="0.2">
      <c r="A196" t="s">
        <v>202</v>
      </c>
      <c r="B196" t="str">
        <f t="shared" si="18"/>
        <v>Home Depot</v>
      </c>
      <c r="C196" t="str">
        <f t="shared" si="19"/>
        <v>43.70865</v>
      </c>
      <c r="D196" t="str">
        <f t="shared" si="20"/>
        <v>-79.565265</v>
      </c>
      <c r="E196" t="str">
        <f t="shared" si="21"/>
        <v>416-746-1357</v>
      </c>
      <c r="F196" t="str">
        <f t="shared" si="22"/>
        <v>M9W 4J4</v>
      </c>
      <c r="G196" t="str">
        <f t="shared" si="23"/>
        <v>[ "Home Depot", 43.70865, -79.565265, '416-746-1357', 'M9W 4J4'],</v>
      </c>
      <c r="H196" t="s">
        <v>1701</v>
      </c>
    </row>
    <row r="197" spans="1:8" hidden="1" x14ac:dyDescent="0.2">
      <c r="A197" t="s">
        <v>203</v>
      </c>
      <c r="B197" t="str">
        <f t="shared" si="18"/>
        <v>Franklin Empire</v>
      </c>
      <c r="C197" t="str">
        <f t="shared" si="19"/>
        <v>43.69355</v>
      </c>
      <c r="D197" t="str">
        <f t="shared" si="20"/>
        <v>-79.59861</v>
      </c>
      <c r="E197" t="str">
        <f t="shared" si="21"/>
        <v>416-248-0176</v>
      </c>
      <c r="F197" t="str">
        <f t="shared" si="22"/>
        <v>M9W 5G6</v>
      </c>
      <c r="G197" t="str">
        <f t="shared" si="23"/>
        <v>[ "Franklin Empire", 43.69355, -79.59861, '416-248-0176', 'M9W 5G6'],</v>
      </c>
      <c r="H197" t="s">
        <v>1702</v>
      </c>
    </row>
    <row r="198" spans="1:8" hidden="1" x14ac:dyDescent="0.2">
      <c r="A198" t="s">
        <v>204</v>
      </c>
      <c r="B198" t="str">
        <f t="shared" si="18"/>
        <v>La Source</v>
      </c>
      <c r="C198" t="str">
        <f t="shared" si="19"/>
        <v>43.68765</v>
      </c>
      <c r="D198" t="str">
        <f t="shared" si="20"/>
        <v>-79.62194</v>
      </c>
      <c r="E198" t="str">
        <f t="shared" si="21"/>
        <v>905-672-6301</v>
      </c>
      <c r="F198" t="str">
        <f t="shared" si="22"/>
        <v>L5P 1B2</v>
      </c>
      <c r="G198" t="str">
        <f t="shared" si="23"/>
        <v>[ "La Source", 43.68765, -79.62194, '905-672-6301', 'L5P 1B2'],</v>
      </c>
      <c r="H198" t="s">
        <v>1703</v>
      </c>
    </row>
    <row r="199" spans="1:8" hidden="1" x14ac:dyDescent="0.2">
      <c r="A199" t="s">
        <v>205</v>
      </c>
      <c r="B199" t="str">
        <f t="shared" si="18"/>
        <v>Lakeshore Communications</v>
      </c>
      <c r="C199" t="str">
        <f t="shared" si="19"/>
        <v>43.6811083333333</v>
      </c>
      <c r="D199" t="str">
        <f t="shared" si="20"/>
        <v>-79.5916170833333</v>
      </c>
      <c r="E199" t="str">
        <f t="shared" si="21"/>
        <v>416-675-2929</v>
      </c>
      <c r="F199" t="str">
        <f t="shared" si="22"/>
        <v>M9W 1A4</v>
      </c>
      <c r="G199" t="str">
        <f t="shared" si="23"/>
        <v>[ "Lakeshore Communications", 43.6811083333333, -79.5916170833333, '416-675-2929', 'M9W 1A4'],</v>
      </c>
    </row>
    <row r="200" spans="1:8" hidden="1" x14ac:dyDescent="0.2">
      <c r="A200" t="s">
        <v>206</v>
      </c>
      <c r="B200" t="str">
        <f t="shared" si="18"/>
        <v>ListenUp! Canada</v>
      </c>
      <c r="C200" t="str">
        <f t="shared" si="19"/>
        <v>43.7824005</v>
      </c>
      <c r="D200" t="str">
        <f t="shared" si="20"/>
        <v>-79.5814143</v>
      </c>
      <c r="E200" t="str">
        <f t="shared" si="21"/>
        <v>905-850-8065</v>
      </c>
      <c r="F200" t="str">
        <f t="shared" si="22"/>
        <v>L4H 0P6</v>
      </c>
      <c r="G200" t="str">
        <f t="shared" si="23"/>
        <v>[ "ListenUp! Canada", 43.7824005, -79.5814143, '905-850-8065', 'L4H 0P6'],</v>
      </c>
    </row>
    <row r="201" spans="1:8" hidden="1" x14ac:dyDescent="0.2">
      <c r="A201" t="s">
        <v>207</v>
      </c>
      <c r="B201" t="str">
        <f t="shared" si="18"/>
        <v>Vaughan Public Libraries</v>
      </c>
      <c r="C201" t="str">
        <f t="shared" si="19"/>
        <v>43.7847275</v>
      </c>
      <c r="D201" t="str">
        <f t="shared" si="20"/>
        <v>-79.593464375</v>
      </c>
      <c r="E201" t="str">
        <f t="shared" si="21"/>
        <v>905-653-7323</v>
      </c>
      <c r="F201" t="str">
        <f t="shared" si="22"/>
        <v>L4L 2S7</v>
      </c>
      <c r="G201" t="str">
        <f t="shared" si="23"/>
        <v>[ "Vaughan Public Libraries", 43.7847275, -79.593464375, '905-653-7323', 'L4L 2S7'],</v>
      </c>
    </row>
    <row r="202" spans="1:8" hidden="1" x14ac:dyDescent="0.2">
      <c r="A202" t="s">
        <v>208</v>
      </c>
      <c r="B202" t="str">
        <f t="shared" si="18"/>
        <v>Advantech Communication Systems</v>
      </c>
      <c r="C202" t="str">
        <f t="shared" si="19"/>
        <v>43.7867956637033</v>
      </c>
      <c r="D202" t="str">
        <f t="shared" si="20"/>
        <v>-79.5535294998399</v>
      </c>
      <c r="E202" t="str">
        <f t="shared" si="21"/>
        <v>905-266-1901</v>
      </c>
      <c r="F202" t="str">
        <f t="shared" si="22"/>
        <v>L4L 6A9</v>
      </c>
      <c r="G202" t="str">
        <f t="shared" si="23"/>
        <v>[ "Advantech Communication Systems", 43.7867956637033, -79.5535294998399, '905-266-1901', 'L4L 6A9'],</v>
      </c>
    </row>
    <row r="203" spans="1:8" hidden="1" x14ac:dyDescent="0.2">
      <c r="A203" t="s">
        <v>209</v>
      </c>
      <c r="B203" t="str">
        <f t="shared" si="18"/>
        <v>Canadian Tire</v>
      </c>
      <c r="C203" t="str">
        <f t="shared" si="19"/>
        <v>43.7887668115942</v>
      </c>
      <c r="D203" t="str">
        <f t="shared" si="20"/>
        <v>-79.5506539130435</v>
      </c>
      <c r="E203" t="str">
        <f t="shared" si="21"/>
        <v>905-851-3214</v>
      </c>
      <c r="F203" t="str">
        <f t="shared" si="22"/>
        <v>L4L 9C3</v>
      </c>
      <c r="G203" t="str">
        <f t="shared" si="23"/>
        <v>[ "Canadian Tire", 43.7887668115942, -79.5506539130435, '905-851-3214', 'L4L 9C3'],</v>
      </c>
    </row>
    <row r="204" spans="1:8" x14ac:dyDescent="0.2">
      <c r="A204" t="s">
        <v>210</v>
      </c>
      <c r="B204" t="str">
        <f t="shared" si="18"/>
        <v>Staples</v>
      </c>
      <c r="C204" t="str">
        <f t="shared" si="19"/>
        <v>43.7854118</v>
      </c>
      <c r="D204" t="str">
        <f t="shared" si="20"/>
        <v>-79.5413764</v>
      </c>
      <c r="E204" t="str">
        <f t="shared" si="21"/>
        <v>905-856-6588</v>
      </c>
      <c r="F204" t="str">
        <f t="shared" si="22"/>
        <v>L4L 9J8</v>
      </c>
      <c r="G204" t="str">
        <f t="shared" si="23"/>
        <v>[ "Staples", 43.7854118, -79.5413764, '905-856-6588', 'L4L 9J8'],</v>
      </c>
    </row>
    <row r="205" spans="1:8" hidden="1" x14ac:dyDescent="0.2">
      <c r="A205" t="s">
        <v>211</v>
      </c>
      <c r="B205" t="str">
        <f t="shared" si="18"/>
        <v>Home Depot</v>
      </c>
      <c r="C205" t="str">
        <f t="shared" si="19"/>
        <v>43.7920975864228</v>
      </c>
      <c r="D205" t="str">
        <f t="shared" si="20"/>
        <v>-79.5438865267616</v>
      </c>
      <c r="E205" t="str">
        <f t="shared" si="21"/>
        <v>905-851-1800</v>
      </c>
      <c r="F205" t="str">
        <f t="shared" si="22"/>
        <v>L4L 8T2</v>
      </c>
      <c r="G205" t="str">
        <f t="shared" si="23"/>
        <v>[ "Home Depot", 43.7920975864228, -79.5438865267616, '905-851-1800', 'L4L 8T2'],</v>
      </c>
    </row>
    <row r="206" spans="1:8" hidden="1" x14ac:dyDescent="0.2">
      <c r="A206" t="s">
        <v>212</v>
      </c>
      <c r="B206" t="str">
        <f t="shared" si="18"/>
        <v>Ricoh Canada</v>
      </c>
      <c r="C206" t="str">
        <f t="shared" si="19"/>
        <v>43.6612163079398</v>
      </c>
      <c r="D206" t="str">
        <f t="shared" si="20"/>
        <v>-79.6085778031673</v>
      </c>
      <c r="E206" t="str">
        <f t="shared" si="21"/>
        <v>905-795-7926</v>
      </c>
      <c r="F206" t="str">
        <f t="shared" si="22"/>
        <v>L4W 5L1</v>
      </c>
      <c r="G206" t="str">
        <f t="shared" si="23"/>
        <v>[ "Ricoh Canada", 43.6612163079398, -79.6085778031673, '905-795-7926', 'L4W 5L1'],</v>
      </c>
    </row>
    <row r="207" spans="1:8" hidden="1" x14ac:dyDescent="0.2">
      <c r="A207" t="s">
        <v>213</v>
      </c>
      <c r="B207" t="str">
        <f t="shared" si="18"/>
        <v>Transcontinental Printing</v>
      </c>
      <c r="C207" t="str">
        <f t="shared" si="19"/>
        <v>43.7111904510481</v>
      </c>
      <c r="D207" t="str">
        <f t="shared" si="20"/>
        <v>-79.6904347644193</v>
      </c>
      <c r="E207" t="str">
        <f t="shared" si="21"/>
        <v>905-458-4777</v>
      </c>
      <c r="F207" t="str">
        <f t="shared" si="22"/>
        <v>L6T 1C1</v>
      </c>
      <c r="G207" t="str">
        <f t="shared" si="23"/>
        <v>[ "Transcontinental Printing", 43.7111904510481, -79.6904347644193, '905-458-4777', 'L6T 1C1'],</v>
      </c>
    </row>
    <row r="208" spans="1:8" x14ac:dyDescent="0.2">
      <c r="A208" t="s">
        <v>214</v>
      </c>
      <c r="B208" t="str">
        <f t="shared" si="18"/>
        <v>Staples Canada</v>
      </c>
      <c r="C208" t="str">
        <f t="shared" si="19"/>
        <v>43.6680095533643</v>
      </c>
      <c r="D208" t="str">
        <f t="shared" si="20"/>
        <v>-79.6452371511541</v>
      </c>
      <c r="E208" t="str">
        <f t="shared" si="21"/>
        <v>905-565-2545</v>
      </c>
      <c r="F208" t="str">
        <f t="shared" si="22"/>
        <v>L5T 1G6</v>
      </c>
      <c r="G208" t="str">
        <f t="shared" si="23"/>
        <v>[ "Staples Canada", 43.6680095533643, -79.6452371511541, '905-565-2545', 'L5T 1G6'],</v>
      </c>
    </row>
    <row r="209" spans="1:7" x14ac:dyDescent="0.2">
      <c r="A209" t="s">
        <v>215</v>
      </c>
      <c r="B209" t="str">
        <f t="shared" si="18"/>
        <v>Staples</v>
      </c>
      <c r="C209" t="str">
        <f t="shared" si="19"/>
        <v>43.7422160823042</v>
      </c>
      <c r="D209" t="str">
        <f t="shared" si="20"/>
        <v>-79.6973981517214</v>
      </c>
      <c r="E209" t="str">
        <f t="shared" si="21"/>
        <v>905-791-4522</v>
      </c>
      <c r="F209" t="str">
        <f t="shared" si="22"/>
        <v>L6T 5J1</v>
      </c>
      <c r="G209" t="str">
        <f t="shared" si="23"/>
        <v>[ "Staples", 43.7422160823042, -79.6973981517214, '905-791-4522', 'L6T 5J1'],</v>
      </c>
    </row>
    <row r="210" spans="1:7" hidden="1" x14ac:dyDescent="0.2">
      <c r="A210" t="s">
        <v>216</v>
      </c>
      <c r="B210" t="str">
        <f t="shared" si="18"/>
        <v>Home Depot</v>
      </c>
      <c r="C210" t="str">
        <f t="shared" si="19"/>
        <v>43.7463925195484</v>
      </c>
      <c r="D210" t="str">
        <f t="shared" si="20"/>
        <v>-79.6994949174633</v>
      </c>
      <c r="E210" t="str">
        <f t="shared" si="21"/>
        <v>905-494-2200</v>
      </c>
      <c r="F210" t="str">
        <f t="shared" si="22"/>
        <v>L6S 0B8</v>
      </c>
      <c r="G210" t="str">
        <f t="shared" si="23"/>
        <v>[ "Home Depot", 43.7463925195484, -79.6994949174633, '905-494-2200', 'L6S 0B8'],</v>
      </c>
    </row>
    <row r="211" spans="1:7" hidden="1" x14ac:dyDescent="0.2">
      <c r="A211" t="s">
        <v>217</v>
      </c>
      <c r="B211" t="str">
        <f t="shared" si="18"/>
        <v>Lowes</v>
      </c>
      <c r="C211" t="str">
        <f t="shared" si="19"/>
        <v>43.79482</v>
      </c>
      <c r="D211" t="str">
        <f t="shared" si="20"/>
        <v>-79.53192</v>
      </c>
      <c r="E211" t="str">
        <f t="shared" si="21"/>
        <v>905-532-5630</v>
      </c>
      <c r="F211" t="str">
        <f t="shared" si="22"/>
        <v>L4K 3Y8</v>
      </c>
      <c r="G211" t="str">
        <f t="shared" si="23"/>
        <v>[ "Lowes", 43.79482, -79.53192, '905-532-5630', 'L4K 3Y8'],</v>
      </c>
    </row>
    <row r="212" spans="1:7" hidden="1" x14ac:dyDescent="0.2">
      <c r="A212" t="s">
        <v>218</v>
      </c>
      <c r="B212" t="str">
        <f t="shared" si="18"/>
        <v>Princess Auto</v>
      </c>
      <c r="C212" t="str">
        <f t="shared" si="19"/>
        <v>43.6680075233941</v>
      </c>
      <c r="D212" t="str">
        <f t="shared" si="20"/>
        <v>-79.664780667741</v>
      </c>
      <c r="E212" t="str">
        <f t="shared" si="21"/>
        <v>905-564-1011</v>
      </c>
      <c r="F212" t="str">
        <f t="shared" si="22"/>
        <v>L5T 2Z9</v>
      </c>
      <c r="G212" t="str">
        <f t="shared" si="23"/>
        <v>[ "Princess Auto", 43.6680075233941, -79.664780667741, '905-564-1011', 'L5T 2Z9'],</v>
      </c>
    </row>
    <row r="213" spans="1:7" hidden="1" x14ac:dyDescent="0.2">
      <c r="A213" t="s">
        <v>219</v>
      </c>
      <c r="B213" t="str">
        <f t="shared" si="18"/>
        <v>Fastenal</v>
      </c>
      <c r="C213" t="str">
        <f t="shared" si="19"/>
        <v>43.7807858</v>
      </c>
      <c r="D213" t="str">
        <f t="shared" si="20"/>
        <v>-79.4973294</v>
      </c>
      <c r="E213" t="str">
        <f t="shared" si="21"/>
        <v>416-646-1681</v>
      </c>
      <c r="F213" t="str">
        <f t="shared" si="22"/>
        <v>M2M 3Y1</v>
      </c>
      <c r="G213" t="str">
        <f t="shared" si="23"/>
        <v>[ "Fastenal", 43.7807858, -79.4973294, '416-646-1681', 'M2M 3Y1'],</v>
      </c>
    </row>
    <row r="214" spans="1:7" x14ac:dyDescent="0.2">
      <c r="A214" t="s">
        <v>220</v>
      </c>
      <c r="B214" t="str">
        <f t="shared" si="18"/>
        <v>Staples Canada</v>
      </c>
      <c r="C214" t="str">
        <f t="shared" si="19"/>
        <v>43.6598001549726</v>
      </c>
      <c r="D214" t="str">
        <f t="shared" si="20"/>
        <v>-79.6637084686646</v>
      </c>
      <c r="E214" t="str">
        <f t="shared" si="21"/>
        <v>289-562-2532</v>
      </c>
      <c r="F214" t="str">
        <f t="shared" si="22"/>
        <v>L5T 1W8</v>
      </c>
      <c r="G214" t="str">
        <f t="shared" si="23"/>
        <v>[ "Staples Canada", 43.6598001549726, -79.6637084686646, '289-562-2532', 'L5T 1W8'],</v>
      </c>
    </row>
    <row r="215" spans="1:7" hidden="1" x14ac:dyDescent="0.2">
      <c r="A215" t="s">
        <v>221</v>
      </c>
      <c r="B215" t="str">
        <f t="shared" si="18"/>
        <v>RONA</v>
      </c>
      <c r="C215" t="str">
        <f t="shared" si="19"/>
        <v>43.6605323529412</v>
      </c>
      <c r="D215" t="str">
        <f t="shared" si="20"/>
        <v>-79.5107564705882</v>
      </c>
      <c r="E215" t="str">
        <f t="shared" si="21"/>
        <v>416-232-1460</v>
      </c>
      <c r="F215" t="str">
        <f t="shared" si="22"/>
        <v>M8X 1Y6</v>
      </c>
      <c r="G215" t="str">
        <f t="shared" si="23"/>
        <v>[ "RONA", 43.6605323529412, -79.5107564705882, '416-232-1460', 'M8X 1Y6'],</v>
      </c>
    </row>
    <row r="216" spans="1:7" x14ac:dyDescent="0.2">
      <c r="A216" t="s">
        <v>222</v>
      </c>
      <c r="B216" t="str">
        <f t="shared" si="18"/>
        <v>Staples</v>
      </c>
      <c r="C216" t="str">
        <f t="shared" si="19"/>
        <v>43.63927</v>
      </c>
      <c r="D216" t="str">
        <f t="shared" si="20"/>
        <v>-79.62362</v>
      </c>
      <c r="E216" t="str">
        <f t="shared" si="21"/>
        <v>905-602-5889</v>
      </c>
      <c r="F216" t="str">
        <f t="shared" si="22"/>
        <v>L4W 5K1</v>
      </c>
      <c r="G216" t="str">
        <f t="shared" si="23"/>
        <v>[ "Staples", 43.63927, -79.62362, '905-602-5889', 'L4W 5K1'],</v>
      </c>
    </row>
    <row r="217" spans="1:7" hidden="1" x14ac:dyDescent="0.2">
      <c r="A217" t="s">
        <v>223</v>
      </c>
      <c r="B217" t="str">
        <f t="shared" si="18"/>
        <v>Home Depot</v>
      </c>
      <c r="C217" t="str">
        <f t="shared" si="19"/>
        <v>43.7846456</v>
      </c>
      <c r="D217" t="str">
        <f t="shared" si="20"/>
        <v>-79.4809113</v>
      </c>
      <c r="E217" t="str">
        <f t="shared" si="21"/>
        <v>416-664-9800</v>
      </c>
      <c r="F217" t="str">
        <f t="shared" si="22"/>
        <v>M3J 3A8</v>
      </c>
      <c r="G217" t="str">
        <f t="shared" si="23"/>
        <v>[ "Home Depot", 43.7846456, -79.4809113, '416-664-9800', 'M3J 3A8'],</v>
      </c>
    </row>
    <row r="218" spans="1:7" hidden="1" x14ac:dyDescent="0.2">
      <c r="A218" t="s">
        <v>224</v>
      </c>
      <c r="B218" t="str">
        <f t="shared" si="18"/>
        <v>Home Depot</v>
      </c>
      <c r="C218" t="str">
        <f t="shared" si="19"/>
        <v>43.7012625</v>
      </c>
      <c r="D218" t="str">
        <f t="shared" si="20"/>
        <v>-79.4641591666667</v>
      </c>
      <c r="E218" t="str">
        <f t="shared" si="21"/>
        <v>416-780-4730</v>
      </c>
      <c r="F218" t="str">
        <f t="shared" si="22"/>
        <v>M6B 3X8</v>
      </c>
      <c r="G218" t="str">
        <f t="shared" si="23"/>
        <v>[ "Home Depot", 43.7012625, -79.4641591666667, '416-780-4730', 'M6B 3X8'],</v>
      </c>
    </row>
    <row r="219" spans="1:7" hidden="1" x14ac:dyDescent="0.2">
      <c r="A219" t="s">
        <v>225</v>
      </c>
      <c r="B219" t="str">
        <f t="shared" si="18"/>
        <v>Home Depot</v>
      </c>
      <c r="C219" t="str">
        <f t="shared" si="19"/>
        <v>43.67934</v>
      </c>
      <c r="D219" t="str">
        <f t="shared" si="20"/>
        <v>-79.71553</v>
      </c>
      <c r="E219" t="str">
        <f t="shared" si="21"/>
        <v>905-457-1800</v>
      </c>
      <c r="F219" t="str">
        <f t="shared" si="22"/>
        <v>L6W 4R8</v>
      </c>
      <c r="G219" t="str">
        <f t="shared" si="23"/>
        <v>[ "Home Depot", 43.67934, -79.71553, '905-457-1800', 'L6W 4R8'],</v>
      </c>
    </row>
    <row r="220" spans="1:7" hidden="1" x14ac:dyDescent="0.2">
      <c r="A220" t="s">
        <v>226</v>
      </c>
      <c r="B220" t="str">
        <f t="shared" si="18"/>
        <v>Home Depot</v>
      </c>
      <c r="C220" t="str">
        <f t="shared" si="19"/>
        <v>43.7298423415831</v>
      </c>
      <c r="D220" t="str">
        <f t="shared" si="20"/>
        <v>-79.4540872039017</v>
      </c>
      <c r="E220" t="str">
        <f t="shared" si="21"/>
        <v>416-373-6000</v>
      </c>
      <c r="F220" t="str">
        <f t="shared" si="22"/>
        <v>M3K 2C8</v>
      </c>
      <c r="G220" t="str">
        <f t="shared" si="23"/>
        <v>[ "Home Depot", 43.7298423415831, -79.4540872039017, '416-373-6000', 'M3K 2C8'],</v>
      </c>
    </row>
    <row r="221" spans="1:7" hidden="1" x14ac:dyDescent="0.2">
      <c r="A221" t="s">
        <v>227</v>
      </c>
      <c r="B221" t="str">
        <f t="shared" si="18"/>
        <v>ListenUp! Canada</v>
      </c>
      <c r="C221" t="str">
        <f t="shared" si="19"/>
        <v>43.749713093676</v>
      </c>
      <c r="D221" t="str">
        <f t="shared" si="20"/>
        <v>-79.7391703430019</v>
      </c>
      <c r="E221" t="str">
        <f t="shared" si="21"/>
        <v>905-595-2844</v>
      </c>
      <c r="F221" t="str">
        <f t="shared" si="22"/>
        <v>L6R 0W3</v>
      </c>
      <c r="G221" t="str">
        <f t="shared" si="23"/>
        <v>[ "ListenUp! Canada", 43.749713093676, -79.7391703430019, '905-595-2844', 'L6R 0W3'],</v>
      </c>
    </row>
    <row r="222" spans="1:7" hidden="1" x14ac:dyDescent="0.2">
      <c r="A222" t="s">
        <v>228</v>
      </c>
      <c r="B222" t="str">
        <f t="shared" si="18"/>
        <v>RONA</v>
      </c>
      <c r="C222" t="str">
        <f t="shared" si="19"/>
        <v>43.6254612467473</v>
      </c>
      <c r="D222" t="str">
        <f t="shared" si="20"/>
        <v>-79.6065350291245</v>
      </c>
      <c r="E222" t="str">
        <f t="shared" si="21"/>
        <v>905-602-0795</v>
      </c>
      <c r="F222" t="str">
        <f t="shared" si="22"/>
        <v>L4W 1V5</v>
      </c>
      <c r="G222" t="str">
        <f t="shared" si="23"/>
        <v>[ "RONA", 43.6254612467473, -79.6065350291245, '905-602-0795', 'L4W 1V5'],</v>
      </c>
    </row>
    <row r="223" spans="1:7" hidden="1" x14ac:dyDescent="0.2">
      <c r="A223" t="s">
        <v>229</v>
      </c>
      <c r="B223" t="str">
        <f t="shared" si="18"/>
        <v>Canadian Tire</v>
      </c>
      <c r="C223" t="str">
        <f t="shared" si="19"/>
        <v>43.8297258263448</v>
      </c>
      <c r="D223" t="str">
        <f t="shared" si="20"/>
        <v>-79.5372892772554</v>
      </c>
      <c r="E223" t="str">
        <f t="shared" si="21"/>
        <v>905-417-0125</v>
      </c>
      <c r="F223" t="str">
        <f t="shared" si="22"/>
        <v>L4K 5R3</v>
      </c>
      <c r="G223" t="str">
        <f t="shared" si="23"/>
        <v>[ "Canadian Tire", 43.8297258263448, -79.5372892772554, '905-417-0125', 'L4K 5R3'],</v>
      </c>
    </row>
    <row r="224" spans="1:7" x14ac:dyDescent="0.2">
      <c r="A224" t="s">
        <v>230</v>
      </c>
      <c r="B224" t="str">
        <f t="shared" si="18"/>
        <v>Best Buy</v>
      </c>
      <c r="C224" t="str">
        <f t="shared" si="19"/>
        <v>43.62993</v>
      </c>
      <c r="D224" t="str">
        <f t="shared" si="20"/>
        <v>-79.55195</v>
      </c>
      <c r="E224" t="str">
        <f t="shared" si="21"/>
        <v>--</v>
      </c>
      <c r="F224" t="str">
        <f t="shared" si="22"/>
        <v>M9B 3Y8</v>
      </c>
      <c r="G224" t="str">
        <f t="shared" si="23"/>
        <v>[ "Best Buy", 43.62993, -79.55195, '--', 'M9B 3Y8'],</v>
      </c>
    </row>
    <row r="225" spans="1:7" hidden="1" x14ac:dyDescent="0.2">
      <c r="A225" t="s">
        <v>231</v>
      </c>
      <c r="B225" t="str">
        <f t="shared" si="18"/>
        <v>uBreakiFix</v>
      </c>
      <c r="C225" t="str">
        <f t="shared" si="19"/>
        <v>43.6265720048875</v>
      </c>
      <c r="D225" t="str">
        <f t="shared" si="20"/>
        <v>-79.5650736806528</v>
      </c>
      <c r="E225" t="str">
        <f t="shared" si="21"/>
        <v>905-232-0365</v>
      </c>
      <c r="F225" t="str">
        <f t="shared" si="22"/>
        <v>L4X 1L9</v>
      </c>
      <c r="G225" t="str">
        <f t="shared" si="23"/>
        <v>[ "uBreakiFix", 43.6265720048875, -79.5650736806528, '905-232-0365', 'L4X 1L9'],</v>
      </c>
    </row>
    <row r="226" spans="1:7" hidden="1" x14ac:dyDescent="0.2">
      <c r="A226" t="s">
        <v>232</v>
      </c>
      <c r="B226" t="str">
        <f t="shared" si="18"/>
        <v>Lowes</v>
      </c>
      <c r="C226" t="str">
        <f t="shared" si="19"/>
        <v>43.67655</v>
      </c>
      <c r="D226" t="str">
        <f t="shared" si="20"/>
        <v>-79.72394</v>
      </c>
      <c r="E226" t="str">
        <f t="shared" si="21"/>
        <v>905-874-5000</v>
      </c>
      <c r="F226" t="str">
        <f t="shared" si="22"/>
        <v>L6W 4V2</v>
      </c>
      <c r="G226" t="str">
        <f t="shared" si="23"/>
        <v>[ "Lowes", 43.67655, -79.72394, '905-874-5000', 'L6W 4V2'],</v>
      </c>
    </row>
    <row r="227" spans="1:7" hidden="1" x14ac:dyDescent="0.2">
      <c r="A227" t="s">
        <v>233</v>
      </c>
      <c r="B227" t="str">
        <f t="shared" si="18"/>
        <v>ListenUp! Canada</v>
      </c>
      <c r="C227" t="str">
        <f t="shared" si="19"/>
        <v>43.7019</v>
      </c>
      <c r="D227" t="str">
        <f t="shared" si="20"/>
        <v>-79.452005</v>
      </c>
      <c r="E227" t="str">
        <f t="shared" si="21"/>
        <v>416-630-5111</v>
      </c>
      <c r="F227" t="str">
        <f t="shared" si="22"/>
        <v>M6B 4J3</v>
      </c>
      <c r="G227" t="str">
        <f t="shared" si="23"/>
        <v>[ "ListenUp! Canada", 43.7019, -79.452005, '416-630-5111', 'M6B 4J3'],</v>
      </c>
    </row>
    <row r="228" spans="1:7" hidden="1" x14ac:dyDescent="0.2">
      <c r="A228" t="s">
        <v>234</v>
      </c>
      <c r="B228" t="str">
        <f t="shared" si="18"/>
        <v>Canadian Tire</v>
      </c>
      <c r="C228" t="str">
        <f t="shared" si="19"/>
        <v>43.6708312</v>
      </c>
      <c r="D228" t="str">
        <f t="shared" si="20"/>
        <v>-79.471975</v>
      </c>
      <c r="E228" t="str">
        <f t="shared" si="21"/>
        <v>416-766-8141</v>
      </c>
      <c r="F228" t="str">
        <f t="shared" si="22"/>
        <v>M6N 5B4</v>
      </c>
      <c r="G228" t="str">
        <f t="shared" si="23"/>
        <v>[ "Canadian Tire", 43.6708312, -79.471975, '416-766-8141', 'M6N 5B4'],</v>
      </c>
    </row>
    <row r="229" spans="1:7" hidden="1" x14ac:dyDescent="0.2">
      <c r="A229" t="s">
        <v>235</v>
      </c>
      <c r="B229" t="str">
        <f t="shared" si="18"/>
        <v>Canadian Tire</v>
      </c>
      <c r="C229" t="str">
        <f t="shared" si="19"/>
        <v>43.7166569</v>
      </c>
      <c r="D229" t="str">
        <f t="shared" si="20"/>
        <v>-79.4472576</v>
      </c>
      <c r="E229" t="str">
        <f t="shared" si="21"/>
        <v>416-787-1203</v>
      </c>
      <c r="F229" t="str">
        <f t="shared" si="22"/>
        <v>M6A 1B6</v>
      </c>
      <c r="G229" t="str">
        <f t="shared" si="23"/>
        <v>[ "Canadian Tire", 43.7166569, -79.4472576, '416-787-1203', 'M6A 1B6'],</v>
      </c>
    </row>
    <row r="230" spans="1:7" hidden="1" x14ac:dyDescent="0.2">
      <c r="A230" t="s">
        <v>236</v>
      </c>
      <c r="B230" t="str">
        <f t="shared" si="18"/>
        <v>Home Depot</v>
      </c>
      <c r="C230" t="str">
        <f t="shared" si="19"/>
        <v>43.6717588</v>
      </c>
      <c r="D230" t="str">
        <f t="shared" si="20"/>
        <v>-79.470253</v>
      </c>
      <c r="E230" t="str">
        <f t="shared" si="21"/>
        <v>416-766-2800</v>
      </c>
      <c r="F230" t="str">
        <f t="shared" si="22"/>
        <v>M6N 5A8</v>
      </c>
      <c r="G230" t="str">
        <f t="shared" si="23"/>
        <v>[ "Home Depot", 43.6717588, -79.470253, '416-766-2800', 'M6N 5A8'],</v>
      </c>
    </row>
    <row r="231" spans="1:7" x14ac:dyDescent="0.2">
      <c r="A231" t="s">
        <v>237</v>
      </c>
      <c r="B231" t="str">
        <f t="shared" si="18"/>
        <v>Best Buy Canada</v>
      </c>
      <c r="C231" t="str">
        <f t="shared" si="19"/>
        <v>43.6694475</v>
      </c>
      <c r="D231" t="str">
        <f t="shared" si="20"/>
        <v>-79.4700725</v>
      </c>
      <c r="E231" t="str">
        <f t="shared" si="21"/>
        <v>416-766-1577</v>
      </c>
      <c r="F231" t="str">
        <f t="shared" si="22"/>
        <v>M6N 5G8</v>
      </c>
      <c r="G231" t="str">
        <f t="shared" si="23"/>
        <v>[ "Best Buy Canada", 43.6694475, -79.4700725, '416-766-1577', 'M6N 5G8'],</v>
      </c>
    </row>
    <row r="232" spans="1:7" hidden="1" x14ac:dyDescent="0.2">
      <c r="A232" t="s">
        <v>238</v>
      </c>
      <c r="B232" t="str">
        <f t="shared" si="18"/>
        <v>RONA</v>
      </c>
      <c r="C232" t="str">
        <f t="shared" si="19"/>
        <v>43.66924</v>
      </c>
      <c r="D232" t="str">
        <f t="shared" si="20"/>
        <v>-79.46998</v>
      </c>
      <c r="E232" t="str">
        <f t="shared" si="21"/>
        <v>416-766-9393</v>
      </c>
      <c r="F232" t="str">
        <f t="shared" si="22"/>
        <v>M6N 5B7</v>
      </c>
      <c r="G232" t="str">
        <f t="shared" si="23"/>
        <v>[ "RONA", 43.66924, -79.46998, '416-766-9393', 'M6N 5B7'],</v>
      </c>
    </row>
    <row r="233" spans="1:7" x14ac:dyDescent="0.2">
      <c r="A233" t="s">
        <v>239</v>
      </c>
      <c r="B233" t="str">
        <f t="shared" si="18"/>
        <v>Staples</v>
      </c>
      <c r="C233" t="str">
        <f t="shared" si="19"/>
        <v>43.6230371052632</v>
      </c>
      <c r="D233" t="str">
        <f t="shared" si="20"/>
        <v>-79.5691739473684</v>
      </c>
      <c r="E233" t="str">
        <f t="shared" si="21"/>
        <v>905-279-4392</v>
      </c>
      <c r="F233" t="str">
        <f t="shared" si="22"/>
        <v>L4X 2X8</v>
      </c>
      <c r="G233" t="str">
        <f t="shared" si="23"/>
        <v>[ "Staples", 43.6230371052632, -79.5691739473684, '905-279-4392', 'L4X 2X8'],</v>
      </c>
    </row>
    <row r="234" spans="1:7" hidden="1" x14ac:dyDescent="0.2">
      <c r="A234" t="s">
        <v>240</v>
      </c>
      <c r="B234" t="str">
        <f t="shared" si="18"/>
        <v>Trion Power Tools Services Inc.</v>
      </c>
      <c r="C234" t="str">
        <f t="shared" si="19"/>
        <v>43.811413837805</v>
      </c>
      <c r="D234" t="str">
        <f t="shared" si="20"/>
        <v>-79.4880696655048</v>
      </c>
      <c r="E234" t="str">
        <f t="shared" si="21"/>
        <v>905-738-5060</v>
      </c>
      <c r="F234" t="str">
        <f t="shared" si="22"/>
        <v>L4K 3M7</v>
      </c>
      <c r="G234" t="str">
        <f t="shared" si="23"/>
        <v>[ "Trion Power Tools Services Inc.", 43.811413837805, -79.4880696655048, '905-738-5060', 'L4K 3M7'],</v>
      </c>
    </row>
    <row r="235" spans="1:7" x14ac:dyDescent="0.2">
      <c r="A235" t="s">
        <v>241</v>
      </c>
      <c r="B235" t="str">
        <f t="shared" si="18"/>
        <v>Staples</v>
      </c>
      <c r="C235" t="str">
        <f t="shared" si="19"/>
        <v>43.6700824</v>
      </c>
      <c r="D235" t="str">
        <f t="shared" si="20"/>
        <v>-79.4664952</v>
      </c>
      <c r="E235" t="str">
        <f t="shared" si="21"/>
        <v>416-762-2816</v>
      </c>
      <c r="F235" t="str">
        <f t="shared" si="22"/>
        <v>M6N 3E2</v>
      </c>
      <c r="G235" t="str">
        <f t="shared" si="23"/>
        <v>[ "Staples", 43.6700824, -79.4664952, '416-762-2816', 'M6N 3E2'],</v>
      </c>
    </row>
    <row r="236" spans="1:7" x14ac:dyDescent="0.2">
      <c r="A236" t="s">
        <v>242</v>
      </c>
      <c r="B236" t="str">
        <f t="shared" si="18"/>
        <v>Staples</v>
      </c>
      <c r="C236" t="str">
        <f t="shared" si="19"/>
        <v>43.7984506</v>
      </c>
      <c r="D236" t="str">
        <f t="shared" si="20"/>
        <v>-79.4709573</v>
      </c>
      <c r="E236" t="str">
        <f t="shared" si="21"/>
        <v>905-669-5096</v>
      </c>
      <c r="F236" t="str">
        <f t="shared" si="22"/>
        <v>L4J 7R5</v>
      </c>
      <c r="G236" t="str">
        <f t="shared" si="23"/>
        <v>[ "Staples", 43.7984506, -79.4709573, '905-669-5096', 'L4J 7R5'],</v>
      </c>
    </row>
    <row r="237" spans="1:7" hidden="1" x14ac:dyDescent="0.2">
      <c r="A237" t="s">
        <v>243</v>
      </c>
      <c r="B237" t="str">
        <f t="shared" si="18"/>
        <v>ListenUp! Canada</v>
      </c>
      <c r="C237" t="str">
        <f t="shared" si="19"/>
        <v>43.8358008333333</v>
      </c>
      <c r="D237" t="str">
        <f t="shared" si="20"/>
        <v>-79.5337363888889</v>
      </c>
      <c r="E237" t="str">
        <f t="shared" si="21"/>
        <v>905-303-2224</v>
      </c>
      <c r="F237" t="str">
        <f t="shared" si="22"/>
        <v>M6B 4H8</v>
      </c>
      <c r="G237" t="str">
        <f t="shared" si="23"/>
        <v>[ "ListenUp! Canada", 43.8358008333333, -79.5337363888889, '905-303-2224', 'M6B 4H8'],</v>
      </c>
    </row>
    <row r="238" spans="1:7" hidden="1" x14ac:dyDescent="0.2">
      <c r="A238" t="s">
        <v>244</v>
      </c>
      <c r="B238" t="str">
        <f t="shared" si="18"/>
        <v>The Source</v>
      </c>
      <c r="C238" t="str">
        <f t="shared" si="19"/>
        <v>43.6438509859155</v>
      </c>
      <c r="D238" t="str">
        <f t="shared" si="20"/>
        <v>-79.6964157746479</v>
      </c>
      <c r="E238" t="str">
        <f t="shared" si="21"/>
        <v>905-673-0140</v>
      </c>
      <c r="F238" t="str">
        <f t="shared" si="22"/>
        <v>L5T 2L6</v>
      </c>
      <c r="G238" t="str">
        <f t="shared" si="23"/>
        <v>[ "The Source", 43.6438509859155, -79.6964157746479, '905-673-0140', 'L5T 2L6'],</v>
      </c>
    </row>
    <row r="239" spans="1:7" hidden="1" x14ac:dyDescent="0.2">
      <c r="A239" t="s">
        <v>245</v>
      </c>
      <c r="B239" t="str">
        <f t="shared" si="18"/>
        <v>ListenUp! Canada</v>
      </c>
      <c r="C239" t="str">
        <f t="shared" si="19"/>
        <v>43.649745</v>
      </c>
      <c r="D239" t="str">
        <f t="shared" si="20"/>
        <v>-79.482619375</v>
      </c>
      <c r="E239" t="str">
        <f t="shared" si="21"/>
        <v>416-767-7523</v>
      </c>
      <c r="F239" t="str">
        <f t="shared" si="22"/>
        <v>M6S 1P5</v>
      </c>
      <c r="G239" t="str">
        <f t="shared" si="23"/>
        <v>[ "ListenUp! Canada", 43.649745, -79.482619375, '416-767-7523', 'M6S 1P5'],</v>
      </c>
    </row>
    <row r="240" spans="1:7" hidden="1" x14ac:dyDescent="0.2">
      <c r="A240" t="s">
        <v>246</v>
      </c>
      <c r="B240" t="str">
        <f t="shared" si="18"/>
        <v>RONA</v>
      </c>
      <c r="C240" t="str">
        <f t="shared" si="19"/>
        <v>43.629895</v>
      </c>
      <c r="D240" t="str">
        <f t="shared" si="20"/>
        <v>-79.5173525</v>
      </c>
      <c r="E240" t="str">
        <f t="shared" si="21"/>
        <v>416-503-2469</v>
      </c>
      <c r="F240" t="str">
        <f t="shared" si="22"/>
        <v>M8Z 4P8</v>
      </c>
      <c r="G240" t="str">
        <f t="shared" si="23"/>
        <v>[ "RONA", 43.629895, -79.5173525, '416-503-2469', 'M8Z 4P8'],</v>
      </c>
    </row>
    <row r="241" spans="1:7" hidden="1" x14ac:dyDescent="0.2">
      <c r="A241" t="s">
        <v>247</v>
      </c>
      <c r="B241" t="str">
        <f t="shared" si="18"/>
        <v>Kelcom</v>
      </c>
      <c r="C241" t="str">
        <f t="shared" si="19"/>
        <v>43.817102051282</v>
      </c>
      <c r="D241" t="str">
        <f t="shared" si="20"/>
        <v>-79.4836097435897</v>
      </c>
      <c r="E241" t="str">
        <f t="shared" si="21"/>
        <v>905-761-6070</v>
      </c>
      <c r="F241" t="str">
        <f t="shared" si="22"/>
        <v>L4K 3N6</v>
      </c>
      <c r="G241" t="str">
        <f t="shared" si="23"/>
        <v>[ "Kelcom", 43.817102051282, -79.4836097435897, '905-761-6070', 'L4K 3N6'],</v>
      </c>
    </row>
    <row r="242" spans="1:7" hidden="1" x14ac:dyDescent="0.2">
      <c r="A242" t="s">
        <v>248</v>
      </c>
      <c r="B242" t="str">
        <f t="shared" si="18"/>
        <v>Canadian Tire</v>
      </c>
      <c r="C242" t="str">
        <f t="shared" si="19"/>
        <v>43.81358</v>
      </c>
      <c r="D242" t="str">
        <f t="shared" si="20"/>
        <v>-79.47625</v>
      </c>
      <c r="E242" t="str">
        <f t="shared" si="21"/>
        <v>905-889-7455</v>
      </c>
      <c r="F242" t="str">
        <f t="shared" si="22"/>
        <v>L4J 8R9</v>
      </c>
      <c r="G242" t="str">
        <f t="shared" si="23"/>
        <v>[ "Canadian Tire", 43.81358, -79.47625, '905-889-7455', 'L4J 8R9'],</v>
      </c>
    </row>
    <row r="243" spans="1:7" hidden="1" x14ac:dyDescent="0.2">
      <c r="A243" t="s">
        <v>249</v>
      </c>
      <c r="B243" t="str">
        <f t="shared" si="18"/>
        <v>Home Depot</v>
      </c>
      <c r="C243" t="str">
        <f t="shared" si="19"/>
        <v>43.6160075925926</v>
      </c>
      <c r="D243" t="str">
        <f t="shared" si="20"/>
        <v>-79.5569162037037</v>
      </c>
      <c r="E243" t="str">
        <f t="shared" si="21"/>
        <v>416-626-9800</v>
      </c>
      <c r="F243" t="str">
        <f t="shared" si="22"/>
        <v>M9C 1A7</v>
      </c>
      <c r="G243" t="str">
        <f t="shared" si="23"/>
        <v>[ "Home Depot", 43.6160075925926, -79.5569162037037, '416-626-9800', 'M9C 1A7'],</v>
      </c>
    </row>
    <row r="244" spans="1:7" hidden="1" x14ac:dyDescent="0.2">
      <c r="A244" t="s">
        <v>250</v>
      </c>
      <c r="B244" t="str">
        <f t="shared" si="18"/>
        <v>Home Depot</v>
      </c>
      <c r="C244" t="str">
        <f t="shared" si="19"/>
        <v>43.8471519298622</v>
      </c>
      <c r="D244" t="str">
        <f t="shared" si="20"/>
        <v>-79.5541409777682</v>
      </c>
      <c r="E244" t="str">
        <f t="shared" si="21"/>
        <v>905-303-2323</v>
      </c>
      <c r="F244" t="str">
        <f t="shared" si="22"/>
        <v>L4H 4E8</v>
      </c>
      <c r="G244" t="str">
        <f t="shared" si="23"/>
        <v>[ "Home Depot", 43.8471519298622, -79.5541409777682, '905-303-2323', 'L4H 4E8'],</v>
      </c>
    </row>
    <row r="245" spans="1:7" hidden="1" x14ac:dyDescent="0.2">
      <c r="A245" t="s">
        <v>251</v>
      </c>
      <c r="B245" t="str">
        <f t="shared" si="18"/>
        <v>Canadian Tire</v>
      </c>
      <c r="C245" t="str">
        <f t="shared" si="19"/>
        <v>43.65879</v>
      </c>
      <c r="D245" t="str">
        <f t="shared" si="20"/>
        <v>-79.3289</v>
      </c>
      <c r="E245" t="str">
        <f t="shared" si="21"/>
        <v>416-778-0102</v>
      </c>
      <c r="F245" t="str">
        <f t="shared" si="22"/>
        <v>M4M 1B4</v>
      </c>
      <c r="G245" t="str">
        <f t="shared" si="23"/>
        <v>[ "Canadian Tire", 43.65879, -79.3289, '416-778-0102', 'M4M 1B4'],</v>
      </c>
    </row>
    <row r="246" spans="1:7" x14ac:dyDescent="0.2">
      <c r="A246" t="s">
        <v>252</v>
      </c>
      <c r="B246" t="str">
        <f t="shared" si="18"/>
        <v>Staples</v>
      </c>
      <c r="C246" t="str">
        <f t="shared" si="19"/>
        <v>43.65126</v>
      </c>
      <c r="D246" t="str">
        <f t="shared" si="20"/>
        <v>-79.36401</v>
      </c>
      <c r="E246" t="str">
        <f t="shared" si="21"/>
        <v>416-368-3331</v>
      </c>
      <c r="F246" t="str">
        <f t="shared" si="22"/>
        <v>M5A 1E9</v>
      </c>
      <c r="G246" t="str">
        <f t="shared" si="23"/>
        <v>[ "Staples", 43.65126, -79.36401, '416-368-3331', 'M5A 1E9'],</v>
      </c>
    </row>
    <row r="247" spans="1:7" x14ac:dyDescent="0.2">
      <c r="A247" t="s">
        <v>253</v>
      </c>
      <c r="B247" t="str">
        <f t="shared" si="18"/>
        <v>Staples</v>
      </c>
      <c r="C247" t="str">
        <f t="shared" si="19"/>
        <v>43.6496261538462</v>
      </c>
      <c r="D247" t="str">
        <f t="shared" si="20"/>
        <v>-79.3780784615385</v>
      </c>
      <c r="E247" t="str">
        <f t="shared" si="21"/>
        <v>416-203-3525</v>
      </c>
      <c r="F247" t="str">
        <f t="shared" si="22"/>
        <v>M5C 1S8</v>
      </c>
      <c r="G247" t="str">
        <f t="shared" si="23"/>
        <v>[ "Staples", 43.6496261538462, -79.3780784615385, '416-203-3525', 'M5C 1S8'],</v>
      </c>
    </row>
    <row r="248" spans="1:7" hidden="1" x14ac:dyDescent="0.2">
      <c r="A248" t="s">
        <v>254</v>
      </c>
      <c r="B248" t="str">
        <f t="shared" si="18"/>
        <v>Home Depot</v>
      </c>
      <c r="C248" t="str">
        <f t="shared" si="19"/>
        <v>43.6686185294118</v>
      </c>
      <c r="D248" t="str">
        <f t="shared" si="20"/>
        <v>-79.3382991176471</v>
      </c>
      <c r="E248" t="str">
        <f t="shared" si="21"/>
        <v>416-462-6270</v>
      </c>
      <c r="F248" t="str">
        <f t="shared" si="22"/>
        <v>M4M 3G6</v>
      </c>
      <c r="G248" t="str">
        <f t="shared" si="23"/>
        <v>[ "Home Depot", 43.6686185294118, -79.3382991176471, '416-462-6270', 'M4M 3G6'],</v>
      </c>
    </row>
    <row r="249" spans="1:7" hidden="1" x14ac:dyDescent="0.2">
      <c r="A249" t="s">
        <v>255</v>
      </c>
      <c r="B249" t="str">
        <f t="shared" si="18"/>
        <v>The Source</v>
      </c>
      <c r="C249" t="str">
        <f t="shared" si="19"/>
        <v>43.6686185294118</v>
      </c>
      <c r="D249" t="str">
        <f t="shared" si="20"/>
        <v>-79.3382991176471</v>
      </c>
      <c r="E249" t="str">
        <f t="shared" si="21"/>
        <v>416-463-3422</v>
      </c>
      <c r="F249" t="str">
        <f t="shared" si="22"/>
        <v>M4M 3G6</v>
      </c>
      <c r="G249" t="str">
        <f t="shared" si="23"/>
        <v>[ "The Source", 43.6686185294118, -79.3382991176471, '416-463-3422', 'M4M 3G6'],</v>
      </c>
    </row>
    <row r="250" spans="1:7" hidden="1" x14ac:dyDescent="0.2">
      <c r="A250" t="s">
        <v>256</v>
      </c>
      <c r="B250" t="str">
        <f t="shared" si="18"/>
        <v>Atlas Machinery Supply</v>
      </c>
      <c r="C250" t="str">
        <f t="shared" si="19"/>
        <v>43.6504605263158</v>
      </c>
      <c r="D250" t="str">
        <f t="shared" si="20"/>
        <v>-79.3882905263158</v>
      </c>
      <c r="E250" t="str">
        <f t="shared" si="21"/>
        <v>416-598-3553</v>
      </c>
      <c r="F250" t="str">
        <f t="shared" si="22"/>
        <v>M5V 1Z4</v>
      </c>
      <c r="G250" t="str">
        <f t="shared" si="23"/>
        <v>[ "Atlas Machinery Supply", 43.6504605263158, -79.3882905263158, '416-598-3553', 'M5V 1Z4'],</v>
      </c>
    </row>
    <row r="251" spans="1:7" hidden="1" x14ac:dyDescent="0.2">
      <c r="A251" t="s">
        <v>257</v>
      </c>
      <c r="B251" t="str">
        <f t="shared" si="18"/>
        <v>Mountain Equipment Co-op</v>
      </c>
      <c r="C251" t="str">
        <f t="shared" si="19"/>
        <v>43.6459</v>
      </c>
      <c r="D251" t="str">
        <f t="shared" si="20"/>
        <v>-79.392955</v>
      </c>
      <c r="E251" t="str">
        <f t="shared" si="21"/>
        <v>416-340-2667</v>
      </c>
      <c r="F251" t="str">
        <f t="shared" si="22"/>
        <v>M5V 1K2</v>
      </c>
      <c r="G251" t="str">
        <f t="shared" si="23"/>
        <v>[ "Mountain Equipment Co-op", 43.6459, -79.392955, '416-340-2667', 'M5V 1K2'],</v>
      </c>
    </row>
    <row r="252" spans="1:7" x14ac:dyDescent="0.2">
      <c r="A252" t="s">
        <v>258</v>
      </c>
      <c r="B252" t="str">
        <f t="shared" si="18"/>
        <v>Staples</v>
      </c>
      <c r="C252" t="str">
        <f t="shared" si="19"/>
        <v>43.6532061538462</v>
      </c>
      <c r="D252" t="str">
        <f t="shared" si="20"/>
        <v>-79.3874469230769</v>
      </c>
      <c r="E252" t="str">
        <f t="shared" si="21"/>
        <v>416-598-4818</v>
      </c>
      <c r="F252" t="str">
        <f t="shared" si="22"/>
        <v>M5G 2J5</v>
      </c>
      <c r="G252" t="str">
        <f t="shared" si="23"/>
        <v>[ "Staples", 43.6532061538462, -79.3874469230769, '416-598-4818', 'M5G 2J5'],</v>
      </c>
    </row>
    <row r="253" spans="1:7" hidden="1" x14ac:dyDescent="0.2">
      <c r="A253" t="s">
        <v>259</v>
      </c>
      <c r="B253" t="str">
        <f t="shared" si="18"/>
        <v>ListenUp! Canada</v>
      </c>
      <c r="C253" t="str">
        <f t="shared" si="19"/>
        <v>43.67148</v>
      </c>
      <c r="D253" t="str">
        <f t="shared" si="20"/>
        <v>-79.2932566666667</v>
      </c>
      <c r="E253" t="str">
        <f t="shared" si="21"/>
        <v>--</v>
      </c>
      <c r="F253" t="str">
        <f t="shared" si="22"/>
        <v>M4E 1E3</v>
      </c>
      <c r="G253" t="str">
        <f t="shared" si="23"/>
        <v>[ "ListenUp! Canada", 43.67148, -79.2932566666667, '--', 'M4E 1E3'],</v>
      </c>
    </row>
    <row r="254" spans="1:7" hidden="1" x14ac:dyDescent="0.2">
      <c r="A254" t="s">
        <v>260</v>
      </c>
      <c r="B254" t="str">
        <f t="shared" si="18"/>
        <v>ListenUp! Canada</v>
      </c>
      <c r="C254" t="str">
        <f t="shared" si="19"/>
        <v>43.6606114285714</v>
      </c>
      <c r="D254" t="str">
        <f t="shared" si="20"/>
        <v>-79.3857528571429</v>
      </c>
      <c r="E254" t="str">
        <f t="shared" si="21"/>
        <v>416-591-9124</v>
      </c>
      <c r="F254" t="str">
        <f t="shared" si="22"/>
        <v>M5G 1N8</v>
      </c>
      <c r="G254" t="str">
        <f t="shared" si="23"/>
        <v>[ "ListenUp! Canada", 43.6606114285714, -79.3857528571429, '416-591-9124', 'M5G 1N8'],</v>
      </c>
    </row>
    <row r="255" spans="1:7" hidden="1" x14ac:dyDescent="0.2">
      <c r="A255" t="s">
        <v>261</v>
      </c>
      <c r="B255" t="str">
        <f t="shared" si="18"/>
        <v>Ministry of Tourism Culture and Sport</v>
      </c>
      <c r="C255" t="str">
        <f t="shared" si="19"/>
        <v>43.6634308</v>
      </c>
      <c r="D255" t="str">
        <f t="shared" si="20"/>
        <v>-79.3876749</v>
      </c>
      <c r="E255" t="str">
        <f t="shared" si="21"/>
        <v>416-327-1189</v>
      </c>
      <c r="F255" t="str">
        <f t="shared" si="22"/>
        <v>M7A 2E1</v>
      </c>
      <c r="G255" t="str">
        <f t="shared" si="23"/>
        <v>[ "Ministry of Tourism Culture and Sport", 43.6634308, -79.3876749, '416-327-1189', 'M7A 2E1'],</v>
      </c>
    </row>
    <row r="256" spans="1:7" hidden="1" x14ac:dyDescent="0.2">
      <c r="A256" t="s">
        <v>262</v>
      </c>
      <c r="B256" t="str">
        <f t="shared" si="18"/>
        <v>Program Development &amp; Capacity Office HR Ontario</v>
      </c>
      <c r="C256" t="str">
        <f t="shared" si="19"/>
        <v>43.6639486956522</v>
      </c>
      <c r="D256" t="str">
        <f t="shared" si="20"/>
        <v>-79.3889460869565</v>
      </c>
      <c r="E256" t="str">
        <f t="shared" si="21"/>
        <v>416-327-4887</v>
      </c>
      <c r="F256" t="str">
        <f t="shared" si="22"/>
        <v>M7A 1N3</v>
      </c>
      <c r="G256" t="str">
        <f t="shared" si="23"/>
        <v>[ "Program Development &amp; Capacity Office HR Ontario", 43.6639486956522, -79.3889460869565, '416-327-4887', 'M7A 1N3'],</v>
      </c>
    </row>
    <row r="257" spans="1:7" hidden="1" x14ac:dyDescent="0.2">
      <c r="A257" t="s">
        <v>263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Office of the Corporate Chief Information Officer I+IT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43.6639486956522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-79.3889460869565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416-212-8242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M7A 1N3</v>
      </c>
      <c r="G257" t="str">
        <f t="shared" ref="G257:G320" si="29">"[ "&amp;CHAR(34)&amp;B257&amp;CHAR(34)&amp;", "&amp;C257&amp;", "&amp;D257&amp;", '"&amp;E257&amp;"', '"&amp;F257&amp;"'],"</f>
        <v>[ "Office of the Corporate Chief Information Officer I+IT", 43.6639486956522, -79.3889460869565, '416-212-8242', 'M7A 1N3'],</v>
      </c>
    </row>
    <row r="258" spans="1:7" hidden="1" x14ac:dyDescent="0.2">
      <c r="A258" t="s">
        <v>264</v>
      </c>
      <c r="B258" t="str">
        <f t="shared" si="24"/>
        <v>Ministry of Health and Long-Term Care</v>
      </c>
      <c r="C258" t="str">
        <f t="shared" si="25"/>
        <v>43.6668838461538</v>
      </c>
      <c r="D258" t="str">
        <f t="shared" si="26"/>
        <v>-79.3882746153846</v>
      </c>
      <c r="E258" t="str">
        <f t="shared" si="27"/>
        <v>416-327-9447</v>
      </c>
      <c r="F258" t="str">
        <f t="shared" si="28"/>
        <v>M5S 2B1</v>
      </c>
      <c r="G258" t="str">
        <f t="shared" si="29"/>
        <v>[ "Ministry of Health and Long-Term Care", 43.6668838461538, -79.3882746153846, '416-327-9447', 'M5S 2B1'],</v>
      </c>
    </row>
    <row r="259" spans="1:7" hidden="1" x14ac:dyDescent="0.2">
      <c r="A259" t="s">
        <v>265</v>
      </c>
      <c r="B259" t="str">
        <f t="shared" si="24"/>
        <v>Canadian Tire</v>
      </c>
      <c r="C259" t="str">
        <f t="shared" si="25"/>
        <v>43.672983030303</v>
      </c>
      <c r="D259" t="str">
        <f t="shared" si="26"/>
        <v>-79.3878990909091</v>
      </c>
      <c r="E259" t="str">
        <f t="shared" si="27"/>
        <v>416-925-9592</v>
      </c>
      <c r="F259" t="str">
        <f t="shared" si="28"/>
        <v>M4W 2H2</v>
      </c>
      <c r="G259" t="str">
        <f t="shared" si="29"/>
        <v>[ "Canadian Tire", 43.672983030303, -79.3878990909091, '416-925-9592', 'M4W 2H2'],</v>
      </c>
    </row>
    <row r="260" spans="1:7" hidden="1" x14ac:dyDescent="0.2">
      <c r="A260" t="s">
        <v>266</v>
      </c>
      <c r="B260" t="str">
        <f t="shared" si="24"/>
        <v>Evergreen Brick Works</v>
      </c>
      <c r="C260" t="str">
        <f t="shared" si="25"/>
        <v>43.6833973255541</v>
      </c>
      <c r="D260" t="str">
        <f t="shared" si="26"/>
        <v>-79.3650023256323</v>
      </c>
      <c r="E260" t="str">
        <f t="shared" si="27"/>
        <v>416-596-1495</v>
      </c>
      <c r="F260" t="str">
        <f t="shared" si="28"/>
        <v>M4W 3X8</v>
      </c>
      <c r="G260" t="str">
        <f t="shared" si="29"/>
        <v>[ "Evergreen Brick Works", 43.6833973255541, -79.3650023256323, '416-596-1495', 'M4W 3X8'],</v>
      </c>
    </row>
    <row r="261" spans="1:7" hidden="1" x14ac:dyDescent="0.2">
      <c r="A261" t="s">
        <v>267</v>
      </c>
      <c r="B261" t="str">
        <f t="shared" si="24"/>
        <v>MNJCC</v>
      </c>
      <c r="C261" t="str">
        <f t="shared" si="25"/>
        <v>43.6660371428571</v>
      </c>
      <c r="D261" t="str">
        <f t="shared" si="26"/>
        <v>-79.4035023809524</v>
      </c>
      <c r="E261" t="str">
        <f t="shared" si="27"/>
        <v>416-924-6211</v>
      </c>
      <c r="F261" t="str">
        <f t="shared" si="28"/>
        <v>M5S 2J2</v>
      </c>
      <c r="G261" t="str">
        <f t="shared" si="29"/>
        <v>[ "MNJCC", 43.6660371428571, -79.4035023809524, '416-924-6211', 'M5S 2J2'],</v>
      </c>
    </row>
    <row r="262" spans="1:7" hidden="1" x14ac:dyDescent="0.2">
      <c r="A262" t="s">
        <v>268</v>
      </c>
      <c r="B262" t="str">
        <f t="shared" si="24"/>
        <v>ListenUp! Canada</v>
      </c>
      <c r="C262" t="str">
        <f t="shared" si="25"/>
        <v>43.6886695</v>
      </c>
      <c r="D262" t="str">
        <f t="shared" si="26"/>
        <v>-79.299492</v>
      </c>
      <c r="E262" t="str">
        <f t="shared" si="27"/>
        <v>416-691-3305</v>
      </c>
      <c r="F262" t="str">
        <f t="shared" si="28"/>
        <v>M4K 1M8</v>
      </c>
      <c r="G262" t="str">
        <f t="shared" si="29"/>
        <v>[ "ListenUp! Canada", 43.6886695, -79.299492, '416-691-3305', 'M4K 1M8'],</v>
      </c>
    </row>
    <row r="263" spans="1:7" hidden="1" x14ac:dyDescent="0.2">
      <c r="A263" t="s">
        <v>269</v>
      </c>
      <c r="B263" t="str">
        <f t="shared" si="24"/>
        <v>The Source</v>
      </c>
      <c r="C263" t="str">
        <f t="shared" si="25"/>
        <v>43.63605125</v>
      </c>
      <c r="D263" t="str">
        <f t="shared" si="26"/>
        <v>-79.42622875</v>
      </c>
      <c r="E263" t="str">
        <f t="shared" si="27"/>
        <v>416-516-2225</v>
      </c>
      <c r="F263" t="str">
        <f t="shared" si="28"/>
        <v>M6H 4A9</v>
      </c>
      <c r="G263" t="str">
        <f t="shared" si="29"/>
        <v>[ "The Source", 43.63605125, -79.42622875, '416-516-2225', 'M6H 4A9'],</v>
      </c>
    </row>
    <row r="264" spans="1:7" x14ac:dyDescent="0.2">
      <c r="A264" t="s">
        <v>270</v>
      </c>
      <c r="B264" t="str">
        <f t="shared" si="24"/>
        <v>Best Buy</v>
      </c>
      <c r="C264" t="str">
        <f t="shared" si="25"/>
        <v>43.6395682758621</v>
      </c>
      <c r="D264" t="str">
        <f t="shared" si="26"/>
        <v>-79.4275837931034</v>
      </c>
      <c r="E264" t="str">
        <f t="shared" si="27"/>
        <v>--</v>
      </c>
      <c r="F264" t="str">
        <f t="shared" si="28"/>
        <v>M6A 3A1</v>
      </c>
      <c r="G264" t="str">
        <f t="shared" si="29"/>
        <v>[ "Best Buy", 43.6395682758621, -79.4275837931034, '--', 'M6A 3A1'],</v>
      </c>
    </row>
    <row r="265" spans="1:7" x14ac:dyDescent="0.2">
      <c r="A265" t="s">
        <v>271</v>
      </c>
      <c r="B265" t="str">
        <f t="shared" si="24"/>
        <v>Staples</v>
      </c>
      <c r="C265" t="str">
        <f t="shared" si="25"/>
        <v>43.6796533333333</v>
      </c>
      <c r="D265" t="str">
        <f t="shared" si="26"/>
        <v>-79.3906066666667</v>
      </c>
      <c r="E265" t="str">
        <f t="shared" si="27"/>
        <v>416-961-4949</v>
      </c>
      <c r="F265" t="str">
        <f t="shared" si="28"/>
        <v>M4W 2L8</v>
      </c>
      <c r="G265" t="str">
        <f t="shared" si="29"/>
        <v>[ "Staples", 43.6796533333333, -79.3906066666667, '416-961-4949', 'M4W 2L8'],</v>
      </c>
    </row>
    <row r="266" spans="1:7" x14ac:dyDescent="0.2">
      <c r="A266" t="s">
        <v>272</v>
      </c>
      <c r="B266" t="str">
        <f t="shared" si="24"/>
        <v>Staples</v>
      </c>
      <c r="C266" t="str">
        <f t="shared" si="25"/>
        <v>43.69088</v>
      </c>
      <c r="D266" t="str">
        <f t="shared" si="26"/>
        <v>-79.2898</v>
      </c>
      <c r="E266" t="str">
        <f t="shared" si="27"/>
        <v>416-686-4711</v>
      </c>
      <c r="F266" t="str">
        <f t="shared" si="28"/>
        <v>M4C 1M9</v>
      </c>
      <c r="G266" t="str">
        <f t="shared" si="29"/>
        <v>[ "Staples", 43.69088, -79.2898, '416-686-4711', 'M4C 1M9'],</v>
      </c>
    </row>
    <row r="267" spans="1:7" hidden="1" x14ac:dyDescent="0.2">
      <c r="A267" t="s">
        <v>273</v>
      </c>
      <c r="B267" t="str">
        <f t="shared" si="24"/>
        <v>ListenUP! Canada</v>
      </c>
      <c r="C267" t="str">
        <f t="shared" si="25"/>
        <v>43.6877735</v>
      </c>
      <c r="D267" t="str">
        <f t="shared" si="26"/>
        <v>-79.3943262</v>
      </c>
      <c r="E267" t="str">
        <f t="shared" si="27"/>
        <v>416-925-9223</v>
      </c>
      <c r="F267" t="str">
        <f t="shared" si="28"/>
        <v>M4V 1K7</v>
      </c>
      <c r="G267" t="str">
        <f t="shared" si="29"/>
        <v>[ "ListenUP! Canada", 43.6877735, -79.3943262, '416-925-9223', 'M4V 1K7'],</v>
      </c>
    </row>
    <row r="268" spans="1:7" hidden="1" x14ac:dyDescent="0.2">
      <c r="A268" t="s">
        <v>274</v>
      </c>
      <c r="B268" t="str">
        <f t="shared" si="24"/>
        <v>ListenUp! Canada</v>
      </c>
      <c r="C268" t="str">
        <f t="shared" si="25"/>
        <v>43.688923125</v>
      </c>
      <c r="D268" t="str">
        <f t="shared" si="26"/>
        <v>-79.39446125</v>
      </c>
      <c r="E268" t="str">
        <f t="shared" si="27"/>
        <v>416-920-7474</v>
      </c>
      <c r="F268" t="str">
        <f t="shared" si="28"/>
        <v>M4T 1Z2</v>
      </c>
      <c r="G268" t="str">
        <f t="shared" si="29"/>
        <v>[ "ListenUp! Canada", 43.688923125, -79.39446125, '416-920-7474', 'M4T 1Z2'],</v>
      </c>
    </row>
    <row r="269" spans="1:7" hidden="1" x14ac:dyDescent="0.2">
      <c r="A269" t="s">
        <v>275</v>
      </c>
      <c r="B269" t="str">
        <f t="shared" si="24"/>
        <v>Telus</v>
      </c>
      <c r="C269" t="str">
        <f t="shared" si="25"/>
        <v>43.70528</v>
      </c>
      <c r="D269" t="str">
        <f t="shared" si="26"/>
        <v>-79.36148</v>
      </c>
      <c r="E269" t="str">
        <f t="shared" si="27"/>
        <v>416-422-6422</v>
      </c>
      <c r="F269" t="str">
        <f t="shared" si="28"/>
        <v>M4G 3T4</v>
      </c>
      <c r="G269" t="str">
        <f t="shared" si="29"/>
        <v>[ "Telus", 43.70528, -79.36148, '416-422-6422', 'M4G 3T4'],</v>
      </c>
    </row>
    <row r="270" spans="1:7" hidden="1" x14ac:dyDescent="0.2">
      <c r="A270" t="s">
        <v>276</v>
      </c>
      <c r="B270" t="str">
        <f t="shared" si="24"/>
        <v>Home Depot</v>
      </c>
      <c r="C270" t="str">
        <f t="shared" si="25"/>
        <v>43.7089125</v>
      </c>
      <c r="D270" t="str">
        <f t="shared" si="26"/>
        <v>-79.3134525</v>
      </c>
      <c r="E270" t="str">
        <f t="shared" si="27"/>
        <v>416-752-5900</v>
      </c>
      <c r="F270" t="str">
        <f t="shared" si="28"/>
        <v>M4B 3L8</v>
      </c>
      <c r="G270" t="str">
        <f t="shared" si="29"/>
        <v>[ "Home Depot", 43.7089125, -79.3134525, '416-752-5900', 'M4B 3L8'],</v>
      </c>
    </row>
    <row r="271" spans="1:7" hidden="1" x14ac:dyDescent="0.2">
      <c r="A271" t="s">
        <v>277</v>
      </c>
      <c r="B271" t="str">
        <f t="shared" si="24"/>
        <v>Home Depot</v>
      </c>
      <c r="C271" t="str">
        <f t="shared" si="25"/>
        <v>43.71146</v>
      </c>
      <c r="D271" t="str">
        <f t="shared" si="26"/>
        <v>-79.35851</v>
      </c>
      <c r="E271" t="str">
        <f t="shared" si="27"/>
        <v>416-467-2300</v>
      </c>
      <c r="F271" t="str">
        <f t="shared" si="28"/>
        <v>M4G 4H9</v>
      </c>
      <c r="G271" t="str">
        <f t="shared" si="29"/>
        <v>[ "Home Depot", 43.71146, -79.35851, '416-467-2300', 'M4G 4H9'],</v>
      </c>
    </row>
    <row r="272" spans="1:7" hidden="1" x14ac:dyDescent="0.2">
      <c r="A272" t="s">
        <v>278</v>
      </c>
      <c r="B272" t="str">
        <f t="shared" si="24"/>
        <v>Canadian Tire</v>
      </c>
      <c r="C272" t="str">
        <f t="shared" si="25"/>
        <v>43.7123005</v>
      </c>
      <c r="D272" t="str">
        <f t="shared" si="26"/>
        <v>-79.3634007</v>
      </c>
      <c r="E272" t="str">
        <f t="shared" si="27"/>
        <v>416-422-0303</v>
      </c>
      <c r="F272" t="str">
        <f t="shared" si="28"/>
        <v>M4G 4G9</v>
      </c>
      <c r="G272" t="str">
        <f t="shared" si="29"/>
        <v>[ "Canadian Tire", 43.7123005, -79.3634007, '416-422-0303', 'M4G 4G9'],</v>
      </c>
    </row>
    <row r="273" spans="1:7" x14ac:dyDescent="0.2">
      <c r="A273" t="s">
        <v>279</v>
      </c>
      <c r="B273" t="str">
        <f t="shared" si="24"/>
        <v>Staples</v>
      </c>
      <c r="C273" t="str">
        <f t="shared" si="25"/>
        <v>43.7110257</v>
      </c>
      <c r="D273" t="str">
        <f t="shared" si="26"/>
        <v>-79.3772455</v>
      </c>
      <c r="E273" t="str">
        <f t="shared" si="27"/>
        <v>416-696-0043</v>
      </c>
      <c r="F273" t="str">
        <f t="shared" si="28"/>
        <v>M4P 3A1</v>
      </c>
      <c r="G273" t="str">
        <f t="shared" si="29"/>
        <v>[ "Staples", 43.7110257, -79.3772455, '416-696-0043', 'M4P 3A1'],</v>
      </c>
    </row>
    <row r="274" spans="1:7" hidden="1" x14ac:dyDescent="0.2">
      <c r="A274" t="s">
        <v>280</v>
      </c>
      <c r="B274" t="str">
        <f t="shared" si="24"/>
        <v>The Source</v>
      </c>
      <c r="C274" t="str">
        <f t="shared" si="25"/>
        <v>43.711808</v>
      </c>
      <c r="D274" t="str">
        <f t="shared" si="26"/>
        <v>-79.3759774</v>
      </c>
      <c r="E274" t="str">
        <f t="shared" si="27"/>
        <v>416-489-6974</v>
      </c>
      <c r="F274" t="str">
        <f t="shared" si="28"/>
        <v>M4G 2K2</v>
      </c>
      <c r="G274" t="str">
        <f t="shared" si="29"/>
        <v>[ "The Source", 43.711808, -79.3759774, '416-489-6974', 'M4G 2K2'],</v>
      </c>
    </row>
    <row r="275" spans="1:7" hidden="1" x14ac:dyDescent="0.2">
      <c r="A275" t="s">
        <v>281</v>
      </c>
      <c r="B275" t="str">
        <f t="shared" si="24"/>
        <v>The Source</v>
      </c>
      <c r="C275" t="str">
        <f t="shared" si="25"/>
        <v>43.7072288235294</v>
      </c>
      <c r="D275" t="str">
        <f t="shared" si="26"/>
        <v>-79.3984747058824</v>
      </c>
      <c r="E275" t="str">
        <f t="shared" si="27"/>
        <v>416-485-4944</v>
      </c>
      <c r="F275" t="str">
        <f t="shared" si="28"/>
        <v>M4P 1E4</v>
      </c>
      <c r="G275" t="str">
        <f t="shared" si="29"/>
        <v>[ "The Source", 43.7072288235294, -79.3984747058824, '416-485-4944', 'M4P 1E4'],</v>
      </c>
    </row>
    <row r="276" spans="1:7" x14ac:dyDescent="0.2">
      <c r="A276" t="s">
        <v>282</v>
      </c>
      <c r="B276" t="str">
        <f t="shared" si="24"/>
        <v>Best Buy Canada</v>
      </c>
      <c r="C276" t="str">
        <f t="shared" si="25"/>
        <v>43.7096685185185</v>
      </c>
      <c r="D276" t="str">
        <f t="shared" si="26"/>
        <v>-79.398972962963</v>
      </c>
      <c r="E276" t="str">
        <f t="shared" si="27"/>
        <v>416-489-4726</v>
      </c>
      <c r="F276" t="str">
        <f t="shared" si="28"/>
        <v>M4P 2H4</v>
      </c>
      <c r="G276" t="str">
        <f t="shared" si="29"/>
        <v>[ "Best Buy Canada", 43.7096685185185, -79.398972962963, '416-489-4726', 'M4P 2H4'],</v>
      </c>
    </row>
    <row r="277" spans="1:7" hidden="1" x14ac:dyDescent="0.2">
      <c r="A277" t="s">
        <v>283</v>
      </c>
      <c r="B277" t="str">
        <f t="shared" si="24"/>
        <v>RONA</v>
      </c>
      <c r="C277" t="str">
        <f t="shared" si="25"/>
        <v>43.72284</v>
      </c>
      <c r="D277" t="str">
        <f t="shared" si="26"/>
        <v>-79.285535</v>
      </c>
      <c r="E277" t="str">
        <f t="shared" si="27"/>
        <v>416-751-7556</v>
      </c>
      <c r="F277" t="str">
        <f t="shared" si="28"/>
        <v>M1L 4T7</v>
      </c>
      <c r="G277" t="str">
        <f t="shared" si="29"/>
        <v>[ "RONA", 43.72284, -79.285535, '416-751-7556', 'M1L 4T7'],</v>
      </c>
    </row>
    <row r="278" spans="1:7" hidden="1" x14ac:dyDescent="0.2">
      <c r="A278" t="s">
        <v>284</v>
      </c>
      <c r="B278" t="str">
        <f t="shared" si="24"/>
        <v>Canadian Tire</v>
      </c>
      <c r="C278" t="str">
        <f t="shared" si="25"/>
        <v>43.7255739</v>
      </c>
      <c r="D278" t="str">
        <f t="shared" si="26"/>
        <v>-79.2934661</v>
      </c>
      <c r="E278" t="str">
        <f t="shared" si="27"/>
        <v>416-615-2666</v>
      </c>
      <c r="F278" t="str">
        <f t="shared" si="28"/>
        <v>M1L 2L8</v>
      </c>
      <c r="G278" t="str">
        <f t="shared" si="29"/>
        <v>[ "Canadian Tire", 43.7255739, -79.2934661, '416-615-2666', 'M1L 2L8'],</v>
      </c>
    </row>
    <row r="279" spans="1:7" hidden="1" x14ac:dyDescent="0.2">
      <c r="A279" t="s">
        <v>285</v>
      </c>
      <c r="B279" t="str">
        <f t="shared" si="24"/>
        <v>ListenUp! Canada</v>
      </c>
      <c r="C279" t="str">
        <f t="shared" si="25"/>
        <v>43.65184625</v>
      </c>
      <c r="D279" t="str">
        <f t="shared" si="26"/>
        <v>-79.4730225</v>
      </c>
      <c r="E279" t="str">
        <f t="shared" si="27"/>
        <v>416-769-0097</v>
      </c>
      <c r="F279" t="str">
        <f t="shared" si="28"/>
        <v>M6S 1M8</v>
      </c>
      <c r="G279" t="str">
        <f t="shared" si="29"/>
        <v>[ "ListenUp! Canada", 43.65184625, -79.4730225, '416-769-0097', 'M6S 1M8'],</v>
      </c>
    </row>
    <row r="280" spans="1:7" x14ac:dyDescent="0.2">
      <c r="A280" t="s">
        <v>286</v>
      </c>
      <c r="B280" t="str">
        <f t="shared" si="24"/>
        <v>Staples</v>
      </c>
      <c r="C280" t="str">
        <f t="shared" si="25"/>
        <v>43.6700824</v>
      </c>
      <c r="D280" t="str">
        <f t="shared" si="26"/>
        <v>-79.4664952</v>
      </c>
      <c r="E280" t="str">
        <f t="shared" si="27"/>
        <v>416-762-2816</v>
      </c>
      <c r="F280" t="str">
        <f t="shared" si="28"/>
        <v>M6N 3E2</v>
      </c>
      <c r="G280" t="str">
        <f t="shared" si="29"/>
        <v>[ "Staples", 43.6700824, -79.4664952, '416-762-2816', 'M6N 3E2'],</v>
      </c>
    </row>
    <row r="281" spans="1:7" hidden="1" x14ac:dyDescent="0.2">
      <c r="A281" t="s">
        <v>287</v>
      </c>
      <c r="B281" t="str">
        <f t="shared" si="24"/>
        <v>RONA</v>
      </c>
      <c r="C281" t="str">
        <f t="shared" si="25"/>
        <v>43.66924</v>
      </c>
      <c r="D281" t="str">
        <f t="shared" si="26"/>
        <v>-79.46998</v>
      </c>
      <c r="E281" t="str">
        <f t="shared" si="27"/>
        <v>416-766-9393</v>
      </c>
      <c r="F281" t="str">
        <f t="shared" si="28"/>
        <v>M6N 5B7</v>
      </c>
      <c r="G281" t="str">
        <f t="shared" si="29"/>
        <v>[ "RONA", 43.66924, -79.46998, '416-766-9393', 'M6N 5B7'],</v>
      </c>
    </row>
    <row r="282" spans="1:7" x14ac:dyDescent="0.2">
      <c r="A282" t="s">
        <v>288</v>
      </c>
      <c r="B282" t="str">
        <f t="shared" si="24"/>
        <v>Best Buy Canada</v>
      </c>
      <c r="C282" t="str">
        <f t="shared" si="25"/>
        <v>43.6694475</v>
      </c>
      <c r="D282" t="str">
        <f t="shared" si="26"/>
        <v>-79.4700725</v>
      </c>
      <c r="E282" t="str">
        <f t="shared" si="27"/>
        <v>416-766-1577</v>
      </c>
      <c r="F282" t="str">
        <f t="shared" si="28"/>
        <v>M6N 5G8</v>
      </c>
      <c r="G282" t="str">
        <f t="shared" si="29"/>
        <v>[ "Best Buy Canada", 43.6694475, -79.4700725, '416-766-1577', 'M6N 5G8'],</v>
      </c>
    </row>
    <row r="283" spans="1:7" x14ac:dyDescent="0.2">
      <c r="A283" t="s">
        <v>289</v>
      </c>
      <c r="B283" t="str">
        <f t="shared" si="24"/>
        <v>Staples</v>
      </c>
      <c r="C283" t="str">
        <f t="shared" si="25"/>
        <v>43.7292761</v>
      </c>
      <c r="D283" t="str">
        <f t="shared" si="26"/>
        <v>-79.2841259</v>
      </c>
      <c r="E283" t="str">
        <f t="shared" si="27"/>
        <v>416-752-1091</v>
      </c>
      <c r="F283" t="str">
        <f t="shared" si="28"/>
        <v>M1L 2M6</v>
      </c>
      <c r="G283" t="str">
        <f t="shared" si="29"/>
        <v>[ "Staples", 43.7292761, -79.2841259, '416-752-1091', 'M1L 2M6'],</v>
      </c>
    </row>
    <row r="284" spans="1:7" hidden="1" x14ac:dyDescent="0.2">
      <c r="A284" t="s">
        <v>290</v>
      </c>
      <c r="B284" t="str">
        <f t="shared" si="24"/>
        <v>Home Depot</v>
      </c>
      <c r="C284" t="str">
        <f t="shared" si="25"/>
        <v>43.6717588</v>
      </c>
      <c r="D284" t="str">
        <f t="shared" si="26"/>
        <v>-79.470253</v>
      </c>
      <c r="E284" t="str">
        <f t="shared" si="27"/>
        <v>416-766-2800</v>
      </c>
      <c r="F284" t="str">
        <f t="shared" si="28"/>
        <v>M6N 5A8</v>
      </c>
      <c r="G284" t="str">
        <f t="shared" si="29"/>
        <v>[ "Home Depot", 43.6717588, -79.470253, '416-766-2800', 'M6N 5A8'],</v>
      </c>
    </row>
    <row r="285" spans="1:7" hidden="1" x14ac:dyDescent="0.2">
      <c r="A285" t="s">
        <v>291</v>
      </c>
      <c r="B285" t="str">
        <f t="shared" si="24"/>
        <v>ListenUp! Canada</v>
      </c>
      <c r="C285" t="str">
        <f t="shared" si="25"/>
        <v>43.649745</v>
      </c>
      <c r="D285" t="str">
        <f t="shared" si="26"/>
        <v>-79.482619375</v>
      </c>
      <c r="E285" t="str">
        <f t="shared" si="27"/>
        <v>416-767-7523</v>
      </c>
      <c r="F285" t="str">
        <f t="shared" si="28"/>
        <v>M6S 1P5</v>
      </c>
      <c r="G285" t="str">
        <f t="shared" si="29"/>
        <v>[ "ListenUp! Canada", 43.649745, -79.482619375, '416-767-7523', 'M6S 1P5'],</v>
      </c>
    </row>
    <row r="286" spans="1:7" hidden="1" x14ac:dyDescent="0.2">
      <c r="A286" t="s">
        <v>292</v>
      </c>
      <c r="B286" t="str">
        <f t="shared" si="24"/>
        <v>Canadian Tire</v>
      </c>
      <c r="C286" t="str">
        <f t="shared" si="25"/>
        <v>43.6708312</v>
      </c>
      <c r="D286" t="str">
        <f t="shared" si="26"/>
        <v>-79.471975</v>
      </c>
      <c r="E286" t="str">
        <f t="shared" si="27"/>
        <v>416-766-8141</v>
      </c>
      <c r="F286" t="str">
        <f t="shared" si="28"/>
        <v>M6N 5B4</v>
      </c>
      <c r="G286" t="str">
        <f t="shared" si="29"/>
        <v>[ "Canadian Tire", 43.6708312, -79.471975, '416-766-8141', 'M6N 5B4'],</v>
      </c>
    </row>
    <row r="287" spans="1:7" hidden="1" x14ac:dyDescent="0.2">
      <c r="A287" t="s">
        <v>293</v>
      </c>
      <c r="B287" t="str">
        <f t="shared" si="24"/>
        <v>ListenUp! Canada</v>
      </c>
      <c r="C287" t="str">
        <f t="shared" si="25"/>
        <v>43.7019</v>
      </c>
      <c r="D287" t="str">
        <f t="shared" si="26"/>
        <v>-79.452005</v>
      </c>
      <c r="E287" t="str">
        <f t="shared" si="27"/>
        <v>416-630-5111</v>
      </c>
      <c r="F287" t="str">
        <f t="shared" si="28"/>
        <v>M6B 4J3</v>
      </c>
      <c r="G287" t="str">
        <f t="shared" si="29"/>
        <v>[ "ListenUp! Canada", 43.7019, -79.452005, '416-630-5111', 'M6B 4J3'],</v>
      </c>
    </row>
    <row r="288" spans="1:7" hidden="1" x14ac:dyDescent="0.2">
      <c r="A288" t="s">
        <v>294</v>
      </c>
      <c r="B288" t="str">
        <f t="shared" si="24"/>
        <v>ListenUp! Canada</v>
      </c>
      <c r="C288" t="str">
        <f t="shared" si="25"/>
        <v>43.72304875</v>
      </c>
      <c r="D288" t="str">
        <f t="shared" si="26"/>
        <v>-79.2349525</v>
      </c>
      <c r="E288" t="str">
        <f t="shared" si="27"/>
        <v>416-265-4427</v>
      </c>
      <c r="F288" t="str">
        <f t="shared" si="28"/>
        <v>M1M 1N5</v>
      </c>
      <c r="G288" t="str">
        <f t="shared" si="29"/>
        <v>[ "ListenUp! Canada", 43.72304875, -79.2349525, '416-265-4427', 'M1M 1N5'],</v>
      </c>
    </row>
    <row r="289" spans="1:7" hidden="1" x14ac:dyDescent="0.2">
      <c r="A289" t="s">
        <v>295</v>
      </c>
      <c r="B289" t="str">
        <f t="shared" si="24"/>
        <v>ListenUp! Canada</v>
      </c>
      <c r="C289" t="str">
        <f t="shared" si="25"/>
        <v>43.7441644444444</v>
      </c>
      <c r="D289" t="str">
        <f t="shared" si="26"/>
        <v>-79.3454033333333</v>
      </c>
      <c r="E289" t="str">
        <f t="shared" si="27"/>
        <v>416-441-3251</v>
      </c>
      <c r="F289" t="str">
        <f t="shared" si="28"/>
        <v>M3B 2W7</v>
      </c>
      <c r="G289" t="str">
        <f t="shared" si="29"/>
        <v>[ "ListenUp! Canada", 43.7441644444444, -79.3454033333333, '416-441-3251', 'M3B 2W7'],</v>
      </c>
    </row>
    <row r="290" spans="1:7" hidden="1" x14ac:dyDescent="0.2">
      <c r="A290" t="s">
        <v>296</v>
      </c>
      <c r="B290" t="str">
        <f t="shared" si="24"/>
        <v>Home Depot</v>
      </c>
      <c r="C290" t="str">
        <f t="shared" si="25"/>
        <v>43.7012625</v>
      </c>
      <c r="D290" t="str">
        <f t="shared" si="26"/>
        <v>-79.4641591666667</v>
      </c>
      <c r="E290" t="str">
        <f t="shared" si="27"/>
        <v>416-780-4730</v>
      </c>
      <c r="F290" t="str">
        <f t="shared" si="28"/>
        <v>M6B 3X8</v>
      </c>
      <c r="G290" t="str">
        <f t="shared" si="29"/>
        <v>[ "Home Depot", 43.7012625, -79.4641591666667, '416-780-4730', 'M6B 3X8'],</v>
      </c>
    </row>
    <row r="291" spans="1:7" hidden="1" x14ac:dyDescent="0.2">
      <c r="A291" t="s">
        <v>297</v>
      </c>
      <c r="B291" t="str">
        <f t="shared" si="24"/>
        <v>Canadian Tire</v>
      </c>
      <c r="C291" t="str">
        <f t="shared" si="25"/>
        <v>43.7166569</v>
      </c>
      <c r="D291" t="str">
        <f t="shared" si="26"/>
        <v>-79.4472576</v>
      </c>
      <c r="E291" t="str">
        <f t="shared" si="27"/>
        <v>416-787-1203</v>
      </c>
      <c r="F291" t="str">
        <f t="shared" si="28"/>
        <v>M6A 1B6</v>
      </c>
      <c r="G291" t="str">
        <f t="shared" si="29"/>
        <v>[ "Canadian Tire", 43.7166569, -79.4472576, '416-787-1203', 'M6A 1B6'],</v>
      </c>
    </row>
    <row r="292" spans="1:7" hidden="1" x14ac:dyDescent="0.2">
      <c r="A292" t="s">
        <v>298</v>
      </c>
      <c r="B292" t="str">
        <f t="shared" si="24"/>
        <v>uBreakiFix</v>
      </c>
      <c r="C292" t="str">
        <f t="shared" si="25"/>
        <v>43.7342373913043</v>
      </c>
      <c r="D292" t="str">
        <f t="shared" si="26"/>
        <v>-79.4197234782609</v>
      </c>
      <c r="E292" t="str">
        <f t="shared" si="27"/>
        <v>416-483-3773</v>
      </c>
      <c r="F292" t="str">
        <f t="shared" si="28"/>
        <v>M5M 4A3</v>
      </c>
      <c r="G292" t="str">
        <f t="shared" si="29"/>
        <v>[ "uBreakiFix", 43.7342373913043, -79.4197234782609, '416-483-3773', 'M5M 4A3'],</v>
      </c>
    </row>
    <row r="293" spans="1:7" hidden="1" x14ac:dyDescent="0.2">
      <c r="A293" t="s">
        <v>299</v>
      </c>
      <c r="B293" t="str">
        <f t="shared" si="24"/>
        <v>The Source</v>
      </c>
      <c r="C293" t="str">
        <f t="shared" si="25"/>
        <v>43.7347430769231</v>
      </c>
      <c r="D293" t="str">
        <f t="shared" si="26"/>
        <v>-79.4198246153846</v>
      </c>
      <c r="E293" t="str">
        <f t="shared" si="27"/>
        <v>416-604-3224</v>
      </c>
      <c r="F293" t="str">
        <f t="shared" si="28"/>
        <v>M6N 0A3</v>
      </c>
      <c r="G293" t="str">
        <f t="shared" si="29"/>
        <v>[ "The Source", 43.7347430769231, -79.4198246153846, '416-604-3224', 'M6N 0A3'],</v>
      </c>
    </row>
    <row r="294" spans="1:7" hidden="1" x14ac:dyDescent="0.2">
      <c r="A294" t="s">
        <v>300</v>
      </c>
      <c r="B294" t="str">
        <f t="shared" si="24"/>
        <v>ListenUp! Canada</v>
      </c>
      <c r="C294" t="str">
        <f t="shared" si="25"/>
        <v>43.74771</v>
      </c>
      <c r="D294" t="str">
        <f t="shared" si="26"/>
        <v>-79.3856283333333</v>
      </c>
      <c r="E294" t="str">
        <f t="shared" si="27"/>
        <v>416-510-2705</v>
      </c>
      <c r="F294" t="str">
        <f t="shared" si="28"/>
        <v>M2L 2Y5</v>
      </c>
      <c r="G294" t="str">
        <f t="shared" si="29"/>
        <v>[ "ListenUp! Canada", 43.74771, -79.3856283333333, '416-510-2705', 'M2L 2Y5'],</v>
      </c>
    </row>
    <row r="295" spans="1:7" hidden="1" x14ac:dyDescent="0.2">
      <c r="A295" t="s">
        <v>301</v>
      </c>
      <c r="B295" t="str">
        <f t="shared" si="24"/>
        <v>Home Depot</v>
      </c>
      <c r="C295" t="str">
        <f t="shared" si="25"/>
        <v>43.4537</v>
      </c>
      <c r="D295" t="str">
        <f t="shared" si="26"/>
        <v>-79.68677</v>
      </c>
      <c r="E295" t="str">
        <f t="shared" si="27"/>
        <v>905-815-5000</v>
      </c>
      <c r="F295" t="str">
        <f t="shared" si="28"/>
        <v>L6J 2W7</v>
      </c>
      <c r="G295" t="str">
        <f t="shared" si="29"/>
        <v>[ "Home Depot", 43.4537, -79.68677, '905-815-5000', 'L6J 2W7'],</v>
      </c>
    </row>
    <row r="296" spans="1:7" hidden="1" x14ac:dyDescent="0.2">
      <c r="A296" t="s">
        <v>302</v>
      </c>
      <c r="B296" t="str">
        <f t="shared" si="24"/>
        <v>The Source</v>
      </c>
      <c r="C296" t="str">
        <f t="shared" si="25"/>
        <v>43.4622</v>
      </c>
      <c r="D296" t="str">
        <f t="shared" si="26"/>
        <v>-79.68899</v>
      </c>
      <c r="E296" t="str">
        <f t="shared" si="27"/>
        <v>905-849-4445</v>
      </c>
      <c r="F296" t="str">
        <f t="shared" si="28"/>
        <v>L6H 3H6</v>
      </c>
      <c r="G296" t="str">
        <f t="shared" si="29"/>
        <v>[ "The Source", 43.4622, -79.68899, '905-849-4445', 'L6H 3H6'],</v>
      </c>
    </row>
    <row r="297" spans="1:7" hidden="1" x14ac:dyDescent="0.2">
      <c r="A297" t="s">
        <v>303</v>
      </c>
      <c r="B297" t="str">
        <f t="shared" si="24"/>
        <v>Town of Oakville</v>
      </c>
      <c r="C297" t="str">
        <f t="shared" si="25"/>
        <v>43.4667051425437</v>
      </c>
      <c r="D297" t="str">
        <f t="shared" si="26"/>
        <v>-79.6902873864082</v>
      </c>
      <c r="E297" t="str">
        <f t="shared" si="27"/>
        <v>905-845-6601</v>
      </c>
      <c r="F297" t="str">
        <f t="shared" si="28"/>
        <v>L6H 3P1</v>
      </c>
      <c r="G297" t="str">
        <f t="shared" si="29"/>
        <v>[ "Town of Oakville", 43.4667051425437, -79.6902873864082, '905-845-6601', 'L6H 3P1'],</v>
      </c>
    </row>
    <row r="298" spans="1:7" hidden="1" x14ac:dyDescent="0.2">
      <c r="A298" t="s">
        <v>304</v>
      </c>
      <c r="B298" t="str">
        <f t="shared" si="24"/>
        <v>Post Inn Village - Services for Seniors</v>
      </c>
      <c r="C298" t="str">
        <f t="shared" si="25"/>
        <v>43.4797983370262</v>
      </c>
      <c r="D298" t="str">
        <f t="shared" si="26"/>
        <v>-79.7164707317139</v>
      </c>
      <c r="E298" t="str">
        <f t="shared" si="27"/>
        <v>905-825-6000</v>
      </c>
      <c r="F298" t="str">
        <f t="shared" si="28"/>
        <v>L6H 7H9</v>
      </c>
      <c r="G298" t="str">
        <f t="shared" si="29"/>
        <v>[ "Post Inn Village - Services for Seniors", 43.4797983370262, -79.7164707317139, '905-825-6000', 'L6H 7H9'],</v>
      </c>
    </row>
    <row r="299" spans="1:7" hidden="1" x14ac:dyDescent="0.2">
      <c r="A299" t="s">
        <v>305</v>
      </c>
      <c r="B299" t="str">
        <f t="shared" si="24"/>
        <v>Home Depot</v>
      </c>
      <c r="C299" t="str">
        <f t="shared" si="25"/>
        <v>43.4007600369329</v>
      </c>
      <c r="D299" t="str">
        <f t="shared" si="26"/>
        <v>-79.7497547947862</v>
      </c>
      <c r="E299" t="str">
        <f t="shared" si="27"/>
        <v>905-469-7110</v>
      </c>
      <c r="F299" t="str">
        <f t="shared" si="28"/>
        <v>L6L 0B1</v>
      </c>
      <c r="G299" t="str">
        <f t="shared" si="29"/>
        <v>[ "Home Depot", 43.4007600369329, -79.7497547947862, '905-469-7110', 'L6L 0B1'],</v>
      </c>
    </row>
    <row r="300" spans="1:7" hidden="1" x14ac:dyDescent="0.2">
      <c r="A300" t="s">
        <v>306</v>
      </c>
      <c r="B300" t="str">
        <f t="shared" si="24"/>
        <v>Home Depot</v>
      </c>
      <c r="C300" t="str">
        <f t="shared" si="25"/>
        <v>43.518025</v>
      </c>
      <c r="D300" t="str">
        <f t="shared" si="26"/>
        <v>-79.683355</v>
      </c>
      <c r="E300" t="str">
        <f t="shared" si="27"/>
        <v>905-829-5900</v>
      </c>
      <c r="F300" t="str">
        <f t="shared" si="28"/>
        <v>L6H 5W9</v>
      </c>
      <c r="G300" t="str">
        <f t="shared" si="29"/>
        <v>[ "Home Depot", 43.518025, -79.683355, '905-829-5900', 'L6H 5W9'],</v>
      </c>
    </row>
    <row r="301" spans="1:7" hidden="1" x14ac:dyDescent="0.2">
      <c r="A301" t="s">
        <v>307</v>
      </c>
      <c r="B301" t="str">
        <f t="shared" si="24"/>
        <v>ListenUp! Canada</v>
      </c>
      <c r="C301" t="str">
        <f t="shared" si="25"/>
        <v>43.51475</v>
      </c>
      <c r="D301" t="str">
        <f t="shared" si="26"/>
        <v>-79.6258739344262</v>
      </c>
      <c r="E301" t="str">
        <f t="shared" si="27"/>
        <v>905-855-7638</v>
      </c>
      <c r="F301" t="str">
        <f t="shared" si="28"/>
        <v>L5J 4P1</v>
      </c>
      <c r="G301" t="str">
        <f t="shared" si="29"/>
        <v>[ "ListenUp! Canada", 43.51475, -79.6258739344262, '905-855-7638', 'L5J 4P1'],</v>
      </c>
    </row>
    <row r="302" spans="1:7" x14ac:dyDescent="0.2">
      <c r="A302" t="s">
        <v>308</v>
      </c>
      <c r="B302" t="str">
        <f t="shared" si="24"/>
        <v>Staples</v>
      </c>
      <c r="C302" t="str">
        <f t="shared" si="25"/>
        <v>43.52236625</v>
      </c>
      <c r="D302" t="str">
        <f t="shared" si="26"/>
        <v>-79.6810634375</v>
      </c>
      <c r="E302" t="str">
        <f t="shared" si="27"/>
        <v>905-829-1960</v>
      </c>
      <c r="F302" t="str">
        <f t="shared" si="28"/>
        <v>L6H 6J5</v>
      </c>
      <c r="G302" t="str">
        <f t="shared" si="29"/>
        <v>[ "Staples", 43.52236625, -79.6810634375, '905-829-1960', 'L6H 6J5'],</v>
      </c>
    </row>
    <row r="303" spans="1:7" hidden="1" x14ac:dyDescent="0.2">
      <c r="A303" t="s">
        <v>309</v>
      </c>
      <c r="B303" t="str">
        <f t="shared" si="24"/>
        <v>uBreakiFix</v>
      </c>
      <c r="C303" t="str">
        <f t="shared" si="25"/>
        <v>43.5276517334641</v>
      </c>
      <c r="D303" t="str">
        <f t="shared" si="26"/>
        <v>-79.6521177075339</v>
      </c>
      <c r="E303" t="str">
        <f t="shared" si="27"/>
        <v>289-327-3442</v>
      </c>
      <c r="F303" t="str">
        <f t="shared" si="28"/>
        <v>L5K 0A1</v>
      </c>
      <c r="G303" t="str">
        <f t="shared" si="29"/>
        <v>[ "uBreakiFix", 43.5276517334641, -79.6521177075339, '289-327-3442', 'L5K 0A1'],</v>
      </c>
    </row>
    <row r="304" spans="1:7" hidden="1" x14ac:dyDescent="0.2">
      <c r="A304" t="s">
        <v>310</v>
      </c>
      <c r="B304" t="str">
        <f t="shared" si="24"/>
        <v>Mississauga Repair Centre</v>
      </c>
      <c r="C304" t="str">
        <f t="shared" si="25"/>
        <v>43.53323</v>
      </c>
      <c r="D304" t="str">
        <f t="shared" si="26"/>
        <v>-79.67721</v>
      </c>
      <c r="E304" t="str">
        <f t="shared" si="27"/>
        <v>905-828-1565</v>
      </c>
      <c r="F304" t="str">
        <f t="shared" si="28"/>
        <v>L5L 1R6</v>
      </c>
      <c r="G304" t="str">
        <f t="shared" si="29"/>
        <v>[ "Mississauga Repair Centre", 43.53323, -79.67721, '905-828-1565', 'L5L 1R6'],</v>
      </c>
    </row>
    <row r="305" spans="1:7" hidden="1" x14ac:dyDescent="0.2">
      <c r="A305" t="s">
        <v>311</v>
      </c>
      <c r="B305" t="str">
        <f t="shared" si="24"/>
        <v>Global Mobility Products Inc.</v>
      </c>
      <c r="C305" t="str">
        <f t="shared" si="25"/>
        <v>43.3833839090607</v>
      </c>
      <c r="D305" t="str">
        <f t="shared" si="26"/>
        <v>-79.7703333545969</v>
      </c>
      <c r="E305" t="str">
        <f t="shared" si="27"/>
        <v>905-331-3616</v>
      </c>
      <c r="F305" t="str">
        <f t="shared" si="28"/>
        <v>L7L 5H6</v>
      </c>
      <c r="G305" t="str">
        <f t="shared" si="29"/>
        <v>[ "Global Mobility Products Inc.", 43.3833839090607, -79.7703333545969, '905-331-3616', 'L7L 5H6'],</v>
      </c>
    </row>
    <row r="306" spans="1:7" hidden="1" x14ac:dyDescent="0.2">
      <c r="A306" t="s">
        <v>312</v>
      </c>
      <c r="B306" t="str">
        <f t="shared" si="24"/>
        <v>Creek Way Village</v>
      </c>
      <c r="C306" t="str">
        <f t="shared" si="25"/>
        <v>43.3931931378967</v>
      </c>
      <c r="D306" t="str">
        <f t="shared" si="26"/>
        <v>-79.7803727550126</v>
      </c>
      <c r="E306" t="str">
        <f t="shared" si="27"/>
        <v>905-825-6000</v>
      </c>
      <c r="F306" t="str">
        <f t="shared" si="28"/>
        <v>L7L 7G7</v>
      </c>
      <c r="G306" t="str">
        <f t="shared" si="29"/>
        <v>[ "Creek Way Village", 43.3931931378967, -79.7803727550126, '905-825-6000', 'L7L 7G7'],</v>
      </c>
    </row>
    <row r="307" spans="1:7" hidden="1" x14ac:dyDescent="0.2">
      <c r="A307" t="s">
        <v>313</v>
      </c>
      <c r="B307" t="str">
        <f t="shared" si="24"/>
        <v>RONA</v>
      </c>
      <c r="C307" t="str">
        <f t="shared" si="25"/>
        <v>43.3908735022933</v>
      </c>
      <c r="D307" t="str">
        <f t="shared" si="26"/>
        <v>-79.7902297597762</v>
      </c>
      <c r="E307" t="str">
        <f t="shared" si="27"/>
        <v>905-332-8868</v>
      </c>
      <c r="F307" t="str">
        <f t="shared" si="28"/>
        <v>L7L 5V3</v>
      </c>
      <c r="G307" t="str">
        <f t="shared" si="29"/>
        <v>[ "RONA", 43.3908735022933, -79.7902297597762, '905-332-8868', 'L7L 5V3'],</v>
      </c>
    </row>
    <row r="308" spans="1:7" hidden="1" x14ac:dyDescent="0.2">
      <c r="A308" t="s">
        <v>314</v>
      </c>
      <c r="B308" t="str">
        <f t="shared" si="24"/>
        <v>Complete Rent-Alls</v>
      </c>
      <c r="C308" t="str">
        <f t="shared" si="25"/>
        <v>43.3750029771389</v>
      </c>
      <c r="D308" t="str">
        <f t="shared" si="26"/>
        <v>-79.7839190611361</v>
      </c>
      <c r="E308" t="str">
        <f t="shared" si="27"/>
        <v>905-632-9010</v>
      </c>
      <c r="F308" t="str">
        <f t="shared" si="28"/>
        <v>L7L 4X9</v>
      </c>
      <c r="G308" t="str">
        <f t="shared" si="29"/>
        <v>[ "Complete Rent-Alls", 43.3750029771389, -79.7839190611361, '905-632-9010', 'L7L 4X9'],</v>
      </c>
    </row>
    <row r="309" spans="1:7" hidden="1" x14ac:dyDescent="0.2">
      <c r="A309" t="s">
        <v>315</v>
      </c>
      <c r="B309" t="str">
        <f t="shared" si="24"/>
        <v>RONA</v>
      </c>
      <c r="C309" t="str">
        <f t="shared" si="25"/>
        <v>43.5513803</v>
      </c>
      <c r="D309" t="str">
        <f t="shared" si="26"/>
        <v>-79.7186544</v>
      </c>
      <c r="E309" t="str">
        <f t="shared" si="27"/>
        <v>905-820-9965</v>
      </c>
      <c r="F309" t="str">
        <f t="shared" si="28"/>
        <v>L5M 6J3</v>
      </c>
      <c r="G309" t="str">
        <f t="shared" si="29"/>
        <v>[ "RONA", 43.5513803, -79.7186544, '905-820-9965', 'L5M 6J3'],</v>
      </c>
    </row>
    <row r="310" spans="1:7" hidden="1" x14ac:dyDescent="0.2">
      <c r="A310" t="s">
        <v>316</v>
      </c>
      <c r="B310" t="str">
        <f t="shared" si="24"/>
        <v>Ministry of Government &amp; Consumer Services</v>
      </c>
      <c r="C310" t="str">
        <f t="shared" si="25"/>
        <v>43.5618102531646</v>
      </c>
      <c r="D310" t="str">
        <f t="shared" si="26"/>
        <v>-79.6491292405063</v>
      </c>
      <c r="E310" t="str">
        <f t="shared" si="27"/>
        <v>905-279-6163</v>
      </c>
      <c r="F310" t="str">
        <f t="shared" si="28"/>
        <v>L5C 1Y5</v>
      </c>
      <c r="G310" t="str">
        <f t="shared" si="29"/>
        <v>[ "Ministry of Government &amp; Consumer Services", 43.5618102531646, -79.6491292405063, '905-279-6163', 'L5C 1Y5'],</v>
      </c>
    </row>
    <row r="311" spans="1:7" hidden="1" x14ac:dyDescent="0.2">
      <c r="A311" t="s">
        <v>317</v>
      </c>
      <c r="B311" t="str">
        <f t="shared" si="24"/>
        <v>Canadian Tire</v>
      </c>
      <c r="C311" t="str">
        <f t="shared" si="25"/>
        <v>43.5669954054054</v>
      </c>
      <c r="D311" t="str">
        <f t="shared" si="26"/>
        <v>-79.6343627027027</v>
      </c>
      <c r="E311" t="str">
        <f t="shared" si="27"/>
        <v>905-270-9200</v>
      </c>
      <c r="F311" t="str">
        <f t="shared" si="28"/>
        <v>L5C 1T8</v>
      </c>
      <c r="G311" t="str">
        <f t="shared" si="29"/>
        <v>[ "Canadian Tire", 43.5669954054054, -79.6343627027027, '905-270-9200', 'L5C 1T8'],</v>
      </c>
    </row>
    <row r="312" spans="1:7" hidden="1" x14ac:dyDescent="0.2">
      <c r="A312" t="s">
        <v>318</v>
      </c>
      <c r="B312" t="str">
        <f t="shared" si="24"/>
        <v>Home Depot</v>
      </c>
      <c r="C312" t="str">
        <f t="shared" si="25"/>
        <v>43.5673018918919</v>
      </c>
      <c r="D312" t="str">
        <f t="shared" si="26"/>
        <v>-79.6347959459459</v>
      </c>
      <c r="E312" t="str">
        <f t="shared" si="27"/>
        <v>905-281-6230</v>
      </c>
      <c r="F312" t="str">
        <f t="shared" si="28"/>
        <v>L5C 1T7</v>
      </c>
      <c r="G312" t="str">
        <f t="shared" si="29"/>
        <v>[ "Home Depot", 43.5673018918919, -79.6347959459459, '905-281-6230', 'L5C 1T7'],</v>
      </c>
    </row>
    <row r="313" spans="1:7" hidden="1" x14ac:dyDescent="0.2">
      <c r="A313" t="s">
        <v>319</v>
      </c>
      <c r="B313" t="str">
        <f t="shared" si="24"/>
        <v>Interstate All Battery Center</v>
      </c>
      <c r="C313" t="str">
        <f t="shared" si="25"/>
        <v>43.5675645945946</v>
      </c>
      <c r="D313" t="str">
        <f t="shared" si="26"/>
        <v>-79.6351672972973</v>
      </c>
      <c r="E313" t="str">
        <f t="shared" si="27"/>
        <v>905-949-1818</v>
      </c>
      <c r="F313" t="str">
        <f t="shared" si="28"/>
        <v>L5C 1T7</v>
      </c>
      <c r="G313" t="str">
        <f t="shared" si="29"/>
        <v>[ "Interstate All Battery Center", 43.5675645945946, -79.6351672972973, '905-949-1818', 'L5C 1T7'],</v>
      </c>
    </row>
    <row r="314" spans="1:7" hidden="1" x14ac:dyDescent="0.2">
      <c r="A314" t="s">
        <v>320</v>
      </c>
      <c r="B314" t="str">
        <f t="shared" si="24"/>
        <v>ListenUp! Canada</v>
      </c>
      <c r="C314" t="str">
        <f t="shared" si="25"/>
        <v>43.5697166483922</v>
      </c>
      <c r="D314" t="str">
        <f t="shared" si="26"/>
        <v>-79.66258931314</v>
      </c>
      <c r="E314" t="str">
        <f t="shared" si="27"/>
        <v>905-949-0102</v>
      </c>
      <c r="F314" t="str">
        <f t="shared" si="28"/>
        <v>L5C 4E9</v>
      </c>
      <c r="G314" t="str">
        <f t="shared" si="29"/>
        <v>[ "ListenUp! Canada", 43.5697166483922, -79.66258931314, '905-949-0102', 'L5C 4E9'],</v>
      </c>
    </row>
    <row r="315" spans="1:7" x14ac:dyDescent="0.2">
      <c r="A315" t="s">
        <v>321</v>
      </c>
      <c r="B315" t="str">
        <f t="shared" si="24"/>
        <v>Staples</v>
      </c>
      <c r="C315" t="str">
        <f t="shared" si="25"/>
        <v>43.3568097209952</v>
      </c>
      <c r="D315" t="str">
        <f t="shared" si="26"/>
        <v>-79.808176898632</v>
      </c>
      <c r="E315" t="str">
        <f t="shared" si="27"/>
        <v>905-332-1071</v>
      </c>
      <c r="F315" t="str">
        <f t="shared" si="28"/>
        <v>L7M 4X7</v>
      </c>
      <c r="G315" t="str">
        <f t="shared" si="29"/>
        <v>[ "Staples", 43.3568097209952, -79.808176898632, '905-332-1071', 'L7M 4X7'],</v>
      </c>
    </row>
    <row r="316" spans="1:7" hidden="1" x14ac:dyDescent="0.2">
      <c r="A316" t="s">
        <v>322</v>
      </c>
      <c r="B316" t="str">
        <f t="shared" si="24"/>
        <v>Home Depot</v>
      </c>
      <c r="C316" t="str">
        <f t="shared" si="25"/>
        <v>43.3566399619041</v>
      </c>
      <c r="D316" t="str">
        <f t="shared" si="26"/>
        <v>-79.8083578201066</v>
      </c>
      <c r="E316" t="str">
        <f t="shared" si="27"/>
        <v>905-331-1700</v>
      </c>
      <c r="F316" t="str">
        <f t="shared" si="28"/>
        <v>L7M 4M9</v>
      </c>
      <c r="G316" t="str">
        <f t="shared" si="29"/>
        <v>[ "Home Depot", 43.3566399619041, -79.8083578201066, '905-331-1700', 'L7M 4M9'],</v>
      </c>
    </row>
    <row r="317" spans="1:7" hidden="1" x14ac:dyDescent="0.2">
      <c r="A317" t="s">
        <v>323</v>
      </c>
      <c r="B317" t="str">
        <f t="shared" si="24"/>
        <v>Canadian Tire</v>
      </c>
      <c r="C317" t="str">
        <f t="shared" si="25"/>
        <v>43.3464639130435</v>
      </c>
      <c r="D317" t="str">
        <f t="shared" si="26"/>
        <v>-79.7963565217391</v>
      </c>
      <c r="E317" t="str">
        <f t="shared" si="27"/>
        <v>905-639-6711</v>
      </c>
      <c r="F317" t="str">
        <f t="shared" si="28"/>
        <v>L7R 3N2</v>
      </c>
      <c r="G317" t="str">
        <f t="shared" si="29"/>
        <v>[ "Canadian Tire", 43.3464639130435, -79.7963565217391, '905-639-6711', 'L7R 3N2'],</v>
      </c>
    </row>
    <row r="318" spans="1:7" hidden="1" x14ac:dyDescent="0.2">
      <c r="A318" t="s">
        <v>324</v>
      </c>
      <c r="B318" t="str">
        <f t="shared" si="24"/>
        <v>The Source</v>
      </c>
      <c r="C318" t="str">
        <f t="shared" si="25"/>
        <v>43.3464639130435</v>
      </c>
      <c r="D318" t="str">
        <f t="shared" si="26"/>
        <v>-79.7963565217391</v>
      </c>
      <c r="E318" t="str">
        <f t="shared" si="27"/>
        <v>905-639-4354</v>
      </c>
      <c r="F318" t="str">
        <f t="shared" si="28"/>
        <v>L7R 3N2</v>
      </c>
      <c r="G318" t="str">
        <f t="shared" si="29"/>
        <v>[ "The Source", 43.3464639130435, -79.7963565217391, '905-639-4354', 'L7R 3N2'],</v>
      </c>
    </row>
    <row r="319" spans="1:7" hidden="1" x14ac:dyDescent="0.2">
      <c r="A319" t="s">
        <v>325</v>
      </c>
      <c r="B319" t="str">
        <f t="shared" si="24"/>
        <v>ListenUp! Canada</v>
      </c>
      <c r="C319" t="str">
        <f t="shared" si="25"/>
        <v>43.57159</v>
      </c>
      <c r="D319" t="str">
        <f t="shared" si="26"/>
        <v>-79.61069</v>
      </c>
      <c r="E319" t="str">
        <f t="shared" si="27"/>
        <v>905-502-6888</v>
      </c>
      <c r="F319" t="str">
        <f t="shared" si="28"/>
        <v>L5B 2P7</v>
      </c>
      <c r="G319" t="str">
        <f t="shared" si="29"/>
        <v>[ "ListenUp! Canada", 43.57159, -79.61069, '905-502-6888', 'L5B 2P7'],</v>
      </c>
    </row>
    <row r="320" spans="1:7" x14ac:dyDescent="0.2">
      <c r="A320" t="s">
        <v>326</v>
      </c>
      <c r="B320" t="str">
        <f t="shared" si="24"/>
        <v>Staples</v>
      </c>
      <c r="C320" t="str">
        <f t="shared" si="25"/>
        <v>43.5803964962338</v>
      </c>
      <c r="D320" t="str">
        <f t="shared" si="26"/>
        <v>-79.6468598538234</v>
      </c>
      <c r="E320" t="str">
        <f t="shared" si="27"/>
        <v>905-306-7888</v>
      </c>
      <c r="F320" t="str">
        <f t="shared" si="28"/>
        <v>L5B 4M6</v>
      </c>
      <c r="G320" t="str">
        <f t="shared" si="29"/>
        <v>[ "Staples", 43.5803964962338, -79.6468598538234, '905-306-7888', 'L5B 4M6'],</v>
      </c>
    </row>
    <row r="321" spans="1:7" hidden="1" x14ac:dyDescent="0.2">
      <c r="A321" t="s">
        <v>327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ListenUp! Canada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43.5777787267331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-79.6152479148324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905-272-4327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L5B 4A2</v>
      </c>
      <c r="G321" t="str">
        <f t="shared" ref="G321:G384" si="35">"[ "&amp;CHAR(34)&amp;B321&amp;CHAR(34)&amp;", "&amp;C321&amp;", "&amp;D321&amp;", '"&amp;E321&amp;"', '"&amp;F321&amp;"'],"</f>
        <v>[ "ListenUp! Canada", 43.5777787267331, -79.6152479148324, '905-272-4327', 'L5B 4A2'],</v>
      </c>
    </row>
    <row r="322" spans="1:7" hidden="1" x14ac:dyDescent="0.2">
      <c r="A322" t="s">
        <v>328</v>
      </c>
      <c r="B322" t="str">
        <f t="shared" si="30"/>
        <v>ListenUp! Canada</v>
      </c>
      <c r="C322" t="str">
        <f t="shared" si="31"/>
        <v>43.5809175</v>
      </c>
      <c r="D322" t="str">
        <f t="shared" si="32"/>
        <v>-79.712705</v>
      </c>
      <c r="E322" t="str">
        <f t="shared" si="33"/>
        <v>905-286-1051</v>
      </c>
      <c r="F322" t="str">
        <f t="shared" si="34"/>
        <v>L5M 1L6</v>
      </c>
      <c r="G322" t="str">
        <f t="shared" si="35"/>
        <v>[ "ListenUp! Canada", 43.5809175, -79.712705, '905-286-1051', 'L5M 1L6'],</v>
      </c>
    </row>
    <row r="323" spans="1:7" x14ac:dyDescent="0.2">
      <c r="A323" t="s">
        <v>329</v>
      </c>
      <c r="B323" t="str">
        <f t="shared" si="30"/>
        <v>Staples</v>
      </c>
      <c r="C323" t="str">
        <f t="shared" si="31"/>
        <v>43.3357729032258</v>
      </c>
      <c r="D323" t="str">
        <f t="shared" si="32"/>
        <v>-79.8128403225806</v>
      </c>
      <c r="E323" t="str">
        <f t="shared" si="33"/>
        <v>905-637-1422</v>
      </c>
      <c r="F323" t="str">
        <f t="shared" si="34"/>
        <v>L7S 2K4</v>
      </c>
      <c r="G323" t="str">
        <f t="shared" si="35"/>
        <v>[ "Staples", 43.3357729032258, -79.8128403225806, '905-637-1422', 'L7S 2K4'],</v>
      </c>
    </row>
    <row r="324" spans="1:7" hidden="1" x14ac:dyDescent="0.2">
      <c r="A324" t="s">
        <v>330</v>
      </c>
      <c r="B324" t="str">
        <f t="shared" si="30"/>
        <v>Mountain Equipment Co-Op</v>
      </c>
      <c r="C324" t="str">
        <f t="shared" si="31"/>
        <v>43.3390135923777</v>
      </c>
      <c r="D324" t="str">
        <f t="shared" si="32"/>
        <v>-79.8183843895694</v>
      </c>
      <c r="E324" t="str">
        <f t="shared" si="33"/>
        <v>905-333-8559</v>
      </c>
      <c r="F324" t="str">
        <f t="shared" si="34"/>
        <v>L7R 0B2</v>
      </c>
      <c r="G324" t="str">
        <f t="shared" si="35"/>
        <v>[ "Mountain Equipment Co-Op", 43.3390135923777, -79.8183843895694, '905-333-8559', 'L7R 0B2'],</v>
      </c>
    </row>
    <row r="325" spans="1:7" hidden="1" x14ac:dyDescent="0.2">
      <c r="A325" t="s">
        <v>331</v>
      </c>
      <c r="B325" t="str">
        <f t="shared" si="30"/>
        <v>ListenUp! Canada</v>
      </c>
      <c r="C325" t="str">
        <f t="shared" si="31"/>
        <v>43.3369777706284</v>
      </c>
      <c r="D325" t="str">
        <f t="shared" si="32"/>
        <v>-79.8184103048358</v>
      </c>
      <c r="E325" t="str">
        <f t="shared" si="33"/>
        <v>905-631-7889</v>
      </c>
      <c r="F325" t="str">
        <f t="shared" si="34"/>
        <v>L7R 3P9</v>
      </c>
      <c r="G325" t="str">
        <f t="shared" si="35"/>
        <v>[ "ListenUp! Canada", 43.3369777706284, -79.8184103048358, '905-631-7889', 'L7R 3P9'],</v>
      </c>
    </row>
    <row r="326" spans="1:7" hidden="1" x14ac:dyDescent="0.2">
      <c r="A326" t="s">
        <v>332</v>
      </c>
      <c r="B326" t="str">
        <f t="shared" si="30"/>
        <v>Stanley Black &amp; Decker</v>
      </c>
      <c r="C326" t="str">
        <f t="shared" si="31"/>
        <v>43.5882913561828</v>
      </c>
      <c r="D326" t="str">
        <f t="shared" si="32"/>
        <v>-79.7327009440744</v>
      </c>
      <c r="E326" t="str">
        <f t="shared" si="33"/>
        <v>289-290-4668</v>
      </c>
      <c r="F326" t="str">
        <f t="shared" si="34"/>
        <v>L5N 7K6</v>
      </c>
      <c r="G326" t="str">
        <f t="shared" si="35"/>
        <v>[ "Stanley Black &amp; Decker", 43.5882913561828, -79.7327009440744, '289-290-4668', 'L5N 7K6'],</v>
      </c>
    </row>
    <row r="327" spans="1:7" hidden="1" x14ac:dyDescent="0.2">
      <c r="A327" t="s">
        <v>333</v>
      </c>
      <c r="B327" t="str">
        <f t="shared" si="30"/>
        <v>The Source</v>
      </c>
      <c r="C327" t="str">
        <f t="shared" si="31"/>
        <v>43.3278229640744</v>
      </c>
      <c r="D327" t="str">
        <f t="shared" si="32"/>
        <v>-79.8196357784446</v>
      </c>
      <c r="E327" t="str">
        <f t="shared" si="33"/>
        <v>905-681-9252</v>
      </c>
      <c r="F327" t="str">
        <f t="shared" si="34"/>
        <v>L7S 2J8</v>
      </c>
      <c r="G327" t="str">
        <f t="shared" si="35"/>
        <v>[ "The Source", 43.3278229640744, -79.8196357784446, '905-681-9252', 'L7S 2J8'],</v>
      </c>
    </row>
    <row r="328" spans="1:7" hidden="1" x14ac:dyDescent="0.2">
      <c r="A328" t="s">
        <v>334</v>
      </c>
      <c r="B328" t="str">
        <f t="shared" si="30"/>
        <v>Hudsons Bay Company</v>
      </c>
      <c r="C328" t="str">
        <f t="shared" si="31"/>
        <v>43.3278229640744</v>
      </c>
      <c r="D328" t="str">
        <f t="shared" si="32"/>
        <v>-79.8196357784446</v>
      </c>
      <c r="E328" t="str">
        <f t="shared" si="33"/>
        <v>905-681-0030</v>
      </c>
      <c r="F328" t="str">
        <f t="shared" si="34"/>
        <v>L7S 2J8</v>
      </c>
      <c r="G328" t="str">
        <f t="shared" si="35"/>
        <v>[ "Hudsons Bay Company", 43.3278229640744, -79.8196357784446, '905-681-0030', 'L7S 2J8'],</v>
      </c>
    </row>
    <row r="329" spans="1:7" hidden="1" x14ac:dyDescent="0.2">
      <c r="A329" t="s">
        <v>335</v>
      </c>
      <c r="B329" t="str">
        <f t="shared" si="30"/>
        <v>RONA</v>
      </c>
      <c r="C329" t="str">
        <f t="shared" si="31"/>
        <v>43.5941053846154</v>
      </c>
      <c r="D329" t="str">
        <f t="shared" si="32"/>
        <v>-79.6007069230769</v>
      </c>
      <c r="E329" t="str">
        <f t="shared" si="33"/>
        <v>905-276-6350</v>
      </c>
      <c r="F329" t="str">
        <f t="shared" si="34"/>
        <v>L5A 3Y6</v>
      </c>
      <c r="G329" t="str">
        <f t="shared" si="35"/>
        <v>[ "RONA", 43.5941053846154, -79.6007069230769, '905-276-6350', 'L5A 3Y6'],</v>
      </c>
    </row>
    <row r="330" spans="1:7" hidden="1" x14ac:dyDescent="0.2">
      <c r="A330" t="s">
        <v>336</v>
      </c>
      <c r="B330" t="str">
        <f t="shared" si="30"/>
        <v>MCSCS</v>
      </c>
      <c r="C330" t="str">
        <f t="shared" si="31"/>
        <v>43.59177</v>
      </c>
      <c r="D330" t="str">
        <f t="shared" si="32"/>
        <v>-79.58866</v>
      </c>
      <c r="E330" t="str">
        <f t="shared" si="33"/>
        <v>905-279-6997</v>
      </c>
      <c r="F330" t="str">
        <f t="shared" si="34"/>
        <v>L4Y 1Y5</v>
      </c>
      <c r="G330" t="str">
        <f t="shared" si="35"/>
        <v>[ "MCSCS", 43.59177, -79.58866, '905-279-6997', 'L4Y 1Y5'],</v>
      </c>
    </row>
    <row r="331" spans="1:7" hidden="1" x14ac:dyDescent="0.2">
      <c r="A331" t="s">
        <v>337</v>
      </c>
      <c r="B331" t="str">
        <f t="shared" si="30"/>
        <v>Henrys</v>
      </c>
      <c r="C331" t="str">
        <f t="shared" si="31"/>
        <v>43.6087329220779</v>
      </c>
      <c r="D331" t="str">
        <f t="shared" si="32"/>
        <v>-79.6555426623377</v>
      </c>
      <c r="E331" t="str">
        <f t="shared" si="33"/>
        <v>905-568-1922</v>
      </c>
      <c r="F331" t="str">
        <f t="shared" si="34"/>
        <v>L4Z 3X6</v>
      </c>
      <c r="G331" t="str">
        <f t="shared" si="35"/>
        <v>[ "Henrys", 43.6087329220779, -79.6555426623377, '905-568-1922', 'L4Z 3X6'],</v>
      </c>
    </row>
    <row r="332" spans="1:7" hidden="1" x14ac:dyDescent="0.2">
      <c r="A332" t="s">
        <v>338</v>
      </c>
      <c r="B332" t="str">
        <f t="shared" si="30"/>
        <v>Home Depot</v>
      </c>
      <c r="C332" t="str">
        <f t="shared" si="31"/>
        <v>43.6071071830986</v>
      </c>
      <c r="D332" t="str">
        <f t="shared" si="32"/>
        <v>-79.7008128169014</v>
      </c>
      <c r="E332" t="str">
        <f t="shared" si="33"/>
        <v>905-285-4000</v>
      </c>
      <c r="F332" t="str">
        <f t="shared" si="34"/>
        <v>L5V 3E4</v>
      </c>
      <c r="G332" t="str">
        <f t="shared" si="35"/>
        <v>[ "Home Depot", 43.6071071830986, -79.7008128169014, '905-285-4000', 'L5V 3E4'],</v>
      </c>
    </row>
    <row r="333" spans="1:7" hidden="1" x14ac:dyDescent="0.2">
      <c r="A333" t="s">
        <v>339</v>
      </c>
      <c r="B333" t="str">
        <f t="shared" si="30"/>
        <v>The Source</v>
      </c>
      <c r="C333" t="str">
        <f t="shared" si="31"/>
        <v>43.59511</v>
      </c>
      <c r="D333" t="str">
        <f t="shared" si="32"/>
        <v>-79.56838</v>
      </c>
      <c r="E333" t="str">
        <f t="shared" si="33"/>
        <v>905-271-3644</v>
      </c>
      <c r="F333" t="str">
        <f t="shared" si="34"/>
        <v>L5E 1V4</v>
      </c>
      <c r="G333" t="str">
        <f t="shared" si="35"/>
        <v>[ "The Source", 43.59511, -79.56838, '905-271-3644', 'L5E 1V4'],</v>
      </c>
    </row>
    <row r="334" spans="1:7" x14ac:dyDescent="0.2">
      <c r="A334" t="s">
        <v>340</v>
      </c>
      <c r="B334" t="str">
        <f t="shared" si="30"/>
        <v>Staples</v>
      </c>
      <c r="C334" t="str">
        <f t="shared" si="31"/>
        <v>43.60992</v>
      </c>
      <c r="D334" t="str">
        <f t="shared" si="32"/>
        <v>-79.69273</v>
      </c>
      <c r="E334" t="str">
        <f t="shared" si="33"/>
        <v>905-813-3134</v>
      </c>
      <c r="F334" t="str">
        <f t="shared" si="34"/>
        <v>L5V 2P5</v>
      </c>
      <c r="G334" t="str">
        <f t="shared" si="35"/>
        <v>[ "Staples", 43.60992, -79.69273, '905-813-3134', 'L5V 2P5'],</v>
      </c>
    </row>
    <row r="335" spans="1:7" hidden="1" x14ac:dyDescent="0.2">
      <c r="A335" t="s">
        <v>341</v>
      </c>
      <c r="B335" t="str">
        <f t="shared" si="30"/>
        <v>Canadian Tire</v>
      </c>
      <c r="C335" t="str">
        <f t="shared" si="31"/>
        <v>43.60446</v>
      </c>
      <c r="D335" t="str">
        <f t="shared" si="32"/>
        <v>-79.58928</v>
      </c>
      <c r="E335" t="str">
        <f t="shared" si="33"/>
        <v>905-272-4800</v>
      </c>
      <c r="F335" t="str">
        <f t="shared" si="34"/>
        <v>L4Y 2C1</v>
      </c>
      <c r="G335" t="str">
        <f t="shared" si="35"/>
        <v>[ "Canadian Tire", 43.60446, -79.58928, '905-272-4800', 'L4Y 2C1'],</v>
      </c>
    </row>
    <row r="336" spans="1:7" x14ac:dyDescent="0.2">
      <c r="A336" t="s">
        <v>342</v>
      </c>
      <c r="B336" t="str">
        <f t="shared" si="30"/>
        <v>Staples</v>
      </c>
      <c r="C336" t="str">
        <f t="shared" si="31"/>
        <v>43.60798</v>
      </c>
      <c r="D336" t="str">
        <f t="shared" si="32"/>
        <v>-79.72949</v>
      </c>
      <c r="E336" t="str">
        <f t="shared" si="33"/>
        <v>905-785-0864</v>
      </c>
      <c r="F336" t="str">
        <f t="shared" si="34"/>
        <v>L5N 8E1</v>
      </c>
      <c r="G336" t="str">
        <f t="shared" si="35"/>
        <v>[ "Staples", 43.60798, -79.72949, '905-785-0864', 'L5N 8E1'],</v>
      </c>
    </row>
    <row r="337" spans="1:7" hidden="1" x14ac:dyDescent="0.2">
      <c r="A337" t="s">
        <v>343</v>
      </c>
      <c r="B337" t="str">
        <f t="shared" si="30"/>
        <v>Home Depot</v>
      </c>
      <c r="C337" t="str">
        <f t="shared" si="31"/>
        <v>43.53572</v>
      </c>
      <c r="D337" t="str">
        <f t="shared" si="32"/>
        <v>-79.87415</v>
      </c>
      <c r="E337" t="str">
        <f t="shared" si="33"/>
        <v>905-864-1200</v>
      </c>
      <c r="F337" t="str">
        <f t="shared" si="34"/>
        <v>L9T 0A5</v>
      </c>
      <c r="G337" t="str">
        <f t="shared" si="35"/>
        <v>[ "Home Depot", 43.53572, -79.87415, '905-864-1200', 'L9T 0A5'],</v>
      </c>
    </row>
    <row r="338" spans="1:7" hidden="1" x14ac:dyDescent="0.2">
      <c r="A338" t="s">
        <v>344</v>
      </c>
      <c r="B338" t="str">
        <f t="shared" si="30"/>
        <v>RONA</v>
      </c>
      <c r="C338" t="str">
        <f t="shared" si="31"/>
        <v>43.5965272142405</v>
      </c>
      <c r="D338" t="str">
        <f t="shared" si="32"/>
        <v>-79.7850797312542</v>
      </c>
      <c r="E338" t="str">
        <f t="shared" si="33"/>
        <v>905-824-1865</v>
      </c>
      <c r="F338" t="str">
        <f t="shared" si="34"/>
        <v>L5N 8E1</v>
      </c>
      <c r="G338" t="str">
        <f t="shared" si="35"/>
        <v>[ "RONA", 43.5965272142405, -79.7850797312542, '905-824-1865', 'L5N 8E1'],</v>
      </c>
    </row>
    <row r="339" spans="1:7" hidden="1" x14ac:dyDescent="0.2">
      <c r="A339" t="s">
        <v>345</v>
      </c>
      <c r="B339" t="str">
        <f t="shared" si="30"/>
        <v>Home Depot</v>
      </c>
      <c r="C339" t="str">
        <f t="shared" si="31"/>
        <v>43.5991950396019</v>
      </c>
      <c r="D339" t="str">
        <f t="shared" si="32"/>
        <v>-79.7796852742672</v>
      </c>
      <c r="E339" t="str">
        <f t="shared" si="33"/>
        <v>905-814-3860</v>
      </c>
      <c r="F339" t="str">
        <f t="shared" si="34"/>
        <v>L5N 8C5</v>
      </c>
      <c r="G339" t="str">
        <f t="shared" si="35"/>
        <v>[ "Home Depot", 43.5991950396019, -79.7796852742672, '905-814-3860', 'L5N 8C5'],</v>
      </c>
    </row>
    <row r="340" spans="1:7" x14ac:dyDescent="0.2">
      <c r="A340" t="s">
        <v>346</v>
      </c>
      <c r="B340" t="str">
        <f t="shared" si="30"/>
        <v>Staples</v>
      </c>
      <c r="C340" t="str">
        <f t="shared" si="31"/>
        <v>43.5417045</v>
      </c>
      <c r="D340" t="str">
        <f t="shared" si="32"/>
        <v>-79.8713099</v>
      </c>
      <c r="E340" t="str">
        <f t="shared" si="33"/>
        <v>905-878-2434</v>
      </c>
      <c r="F340" t="str">
        <f t="shared" si="34"/>
        <v>L9T 6R1</v>
      </c>
      <c r="G340" t="str">
        <f t="shared" si="35"/>
        <v>[ "Staples", 43.5417045, -79.8713099, '905-878-2434', 'L9T 6R1'],</v>
      </c>
    </row>
    <row r="341" spans="1:7" hidden="1" x14ac:dyDescent="0.2">
      <c r="A341" t="s">
        <v>347</v>
      </c>
      <c r="B341" t="str">
        <f t="shared" si="30"/>
        <v>Canadian Tire</v>
      </c>
      <c r="C341" t="str">
        <f t="shared" si="31"/>
        <v>43.5415727</v>
      </c>
      <c r="D341" t="str">
        <f t="shared" si="32"/>
        <v>-79.8715343</v>
      </c>
      <c r="E341" t="str">
        <f t="shared" si="33"/>
        <v>905-878-2349</v>
      </c>
      <c r="F341" t="str">
        <f t="shared" si="34"/>
        <v>L9T 6R1</v>
      </c>
      <c r="G341" t="str">
        <f t="shared" si="35"/>
        <v>[ "Canadian Tire", 43.5415727, -79.8715343, '905-878-2349', 'L9T 6R1'],</v>
      </c>
    </row>
    <row r="342" spans="1:7" hidden="1" x14ac:dyDescent="0.2">
      <c r="A342" t="s">
        <v>348</v>
      </c>
      <c r="B342" t="str">
        <f t="shared" si="30"/>
        <v>ListenUp! Canada</v>
      </c>
      <c r="C342" t="str">
        <f t="shared" si="31"/>
        <v>43.60909</v>
      </c>
      <c r="D342" t="str">
        <f t="shared" si="32"/>
        <v>-79.56052</v>
      </c>
      <c r="E342" t="str">
        <f t="shared" si="33"/>
        <v>416-620-5776</v>
      </c>
      <c r="F342" t="str">
        <f t="shared" si="34"/>
        <v>M9C 5N2</v>
      </c>
      <c r="G342" t="str">
        <f t="shared" si="35"/>
        <v>[ "ListenUp! Canada", 43.60909, -79.56052, '416-620-5776', 'M9C 5N2'],</v>
      </c>
    </row>
    <row r="343" spans="1:7" hidden="1" x14ac:dyDescent="0.2">
      <c r="A343" t="s">
        <v>349</v>
      </c>
      <c r="B343" t="str">
        <f t="shared" si="30"/>
        <v>Dashvapes Inc</v>
      </c>
      <c r="C343" t="str">
        <f t="shared" si="31"/>
        <v>43.626546</v>
      </c>
      <c r="D343" t="str">
        <f t="shared" si="32"/>
        <v>-79.679812</v>
      </c>
      <c r="E343" t="str">
        <f t="shared" si="33"/>
        <v>905-507-3274</v>
      </c>
      <c r="F343" t="str">
        <f t="shared" si="34"/>
        <v>L5R 4B3</v>
      </c>
      <c r="G343" t="str">
        <f t="shared" si="35"/>
        <v>[ "Dashvapes Inc", 43.626546, -79.679812, '905-507-3274', 'L5R 4B3'],</v>
      </c>
    </row>
    <row r="344" spans="1:7" hidden="1" x14ac:dyDescent="0.2">
      <c r="A344" t="s">
        <v>350</v>
      </c>
      <c r="B344" t="str">
        <f t="shared" si="30"/>
        <v>RONA</v>
      </c>
      <c r="C344" t="str">
        <f t="shared" si="31"/>
        <v>43.6254612467473</v>
      </c>
      <c r="D344" t="str">
        <f t="shared" si="32"/>
        <v>-79.6065350291245</v>
      </c>
      <c r="E344" t="str">
        <f t="shared" si="33"/>
        <v>905-602-0795</v>
      </c>
      <c r="F344" t="str">
        <f t="shared" si="34"/>
        <v>L4W 1V5</v>
      </c>
      <c r="G344" t="str">
        <f t="shared" si="35"/>
        <v>[ "RONA", 43.6254612467473, -79.6065350291245, '905-602-0795', 'L4W 1V5'],</v>
      </c>
    </row>
    <row r="345" spans="1:7" x14ac:dyDescent="0.2">
      <c r="A345" t="s">
        <v>352</v>
      </c>
      <c r="B345" t="str">
        <f t="shared" si="30"/>
        <v>Staples</v>
      </c>
      <c r="C345" t="str">
        <f t="shared" si="31"/>
        <v>43.22544</v>
      </c>
      <c r="D345" t="str">
        <f t="shared" si="32"/>
        <v>-79.95532</v>
      </c>
      <c r="E345" t="str">
        <f t="shared" si="33"/>
        <v>905-648-6047</v>
      </c>
      <c r="F345" t="str">
        <f t="shared" si="34"/>
        <v>L9K 1L6</v>
      </c>
      <c r="G345" t="str">
        <f t="shared" si="35"/>
        <v>[ "Staples", 43.22544, -79.95532, '905-648-6047', 'L9K 1L6'],</v>
      </c>
    </row>
    <row r="346" spans="1:7" hidden="1" x14ac:dyDescent="0.2">
      <c r="A346" t="s">
        <v>353</v>
      </c>
      <c r="B346" t="str">
        <f t="shared" si="30"/>
        <v>Henrys</v>
      </c>
      <c r="C346" t="str">
        <f t="shared" si="31"/>
        <v>43.2255173449585</v>
      </c>
      <c r="D346" t="str">
        <f t="shared" si="32"/>
        <v>-79.9538051792998</v>
      </c>
      <c r="E346" t="str">
        <f t="shared" si="33"/>
        <v>905-648-9754</v>
      </c>
      <c r="F346" t="str">
        <f t="shared" si="34"/>
        <v>L9K 1L5</v>
      </c>
      <c r="G346" t="str">
        <f t="shared" si="35"/>
        <v>[ "Henrys", 43.2255173449585, -79.9538051792998, '905-648-9754', 'L9K 1L5'],</v>
      </c>
    </row>
    <row r="347" spans="1:7" x14ac:dyDescent="0.2">
      <c r="A347" t="s">
        <v>354</v>
      </c>
      <c r="B347" t="str">
        <f t="shared" si="30"/>
        <v>Best Buy</v>
      </c>
      <c r="C347" t="str">
        <f t="shared" si="31"/>
        <v>43.22704</v>
      </c>
      <c r="D347" t="str">
        <f t="shared" si="32"/>
        <v>-79.94467</v>
      </c>
      <c r="E347" t="str">
        <f t="shared" si="33"/>
        <v>905-304-7624</v>
      </c>
      <c r="F347" t="str">
        <f t="shared" si="34"/>
        <v>L9K 1J9</v>
      </c>
      <c r="G347" t="str">
        <f t="shared" si="35"/>
        <v>[ "Best Buy", 43.22704, -79.94467, '905-304-7624', 'L9K 1J9'],</v>
      </c>
    </row>
    <row r="348" spans="1:7" hidden="1" x14ac:dyDescent="0.2">
      <c r="A348" t="s">
        <v>355</v>
      </c>
      <c r="B348" t="str">
        <f t="shared" si="30"/>
        <v>Home Depot</v>
      </c>
      <c r="C348" t="str">
        <f t="shared" si="31"/>
        <v>43.229086749999</v>
      </c>
      <c r="D348" t="str">
        <f t="shared" si="32"/>
        <v>-79.9415112934695</v>
      </c>
      <c r="E348" t="str">
        <f t="shared" si="33"/>
        <v>905-304-5900</v>
      </c>
      <c r="F348" t="str">
        <f t="shared" si="34"/>
        <v>L9K 1J9</v>
      </c>
      <c r="G348" t="str">
        <f t="shared" si="35"/>
        <v>[ "Home Depot", 43.229086749999, -79.9415112934695, '905-304-5900', 'L9K 1J9'],</v>
      </c>
    </row>
    <row r="349" spans="1:7" hidden="1" x14ac:dyDescent="0.2">
      <c r="A349" t="s">
        <v>356</v>
      </c>
      <c r="B349" t="str">
        <f t="shared" si="30"/>
        <v>The Source</v>
      </c>
      <c r="C349" t="str">
        <f t="shared" si="31"/>
        <v>43.25969</v>
      </c>
      <c r="D349" t="str">
        <f t="shared" si="32"/>
        <v>-79.94278</v>
      </c>
      <c r="E349" t="str">
        <f t="shared" si="33"/>
        <v>905-627-3387</v>
      </c>
      <c r="F349" t="str">
        <f t="shared" si="34"/>
        <v>L9H 4H4</v>
      </c>
      <c r="G349" t="str">
        <f t="shared" si="35"/>
        <v>[ "The Source", 43.25969, -79.94278, '905-627-3387', 'L9H 4H4'],</v>
      </c>
    </row>
    <row r="350" spans="1:7" hidden="1" x14ac:dyDescent="0.2">
      <c r="A350" t="s">
        <v>357</v>
      </c>
      <c r="B350" t="str">
        <f t="shared" si="30"/>
        <v>The Source</v>
      </c>
      <c r="C350" t="str">
        <f t="shared" si="31"/>
        <v>43.1733746666667</v>
      </c>
      <c r="D350" t="str">
        <f t="shared" si="32"/>
        <v>-80.242096</v>
      </c>
      <c r="E350" t="str">
        <f t="shared" si="33"/>
        <v>519-759-8462</v>
      </c>
      <c r="F350" t="str">
        <f t="shared" si="34"/>
        <v>N3R 6B8</v>
      </c>
      <c r="G350" t="str">
        <f t="shared" si="35"/>
        <v>[ "The Source", 43.1733746666667, -80.242096, '519-759-8462', 'N3R 6B8'],</v>
      </c>
    </row>
    <row r="351" spans="1:7" hidden="1" x14ac:dyDescent="0.2">
      <c r="A351" t="s">
        <v>358</v>
      </c>
      <c r="B351" t="str">
        <f t="shared" si="30"/>
        <v>ListenUp! Canada</v>
      </c>
      <c r="C351" t="str">
        <f t="shared" si="31"/>
        <v>43.25734</v>
      </c>
      <c r="D351" t="str">
        <f t="shared" si="32"/>
        <v>-79.93383</v>
      </c>
      <c r="E351" t="str">
        <f t="shared" si="33"/>
        <v>905-524-0788</v>
      </c>
      <c r="F351" t="str">
        <f t="shared" si="34"/>
        <v>L8S 1G5</v>
      </c>
      <c r="G351" t="str">
        <f t="shared" si="35"/>
        <v>[ "ListenUp! Canada", 43.25734, -79.93383, '905-524-0788', 'L8S 1G5'],</v>
      </c>
    </row>
    <row r="352" spans="1:7" hidden="1" x14ac:dyDescent="0.2">
      <c r="A352" t="s">
        <v>359</v>
      </c>
      <c r="B352" t="str">
        <f t="shared" si="30"/>
        <v>Home Depot</v>
      </c>
      <c r="C352" t="str">
        <f t="shared" si="31"/>
        <v>43.1630392918477</v>
      </c>
      <c r="D352" t="str">
        <f t="shared" si="32"/>
        <v>-80.2414100444489</v>
      </c>
      <c r="E352" t="str">
        <f t="shared" si="33"/>
        <v>519-757-3534</v>
      </c>
      <c r="F352" t="str">
        <f t="shared" si="34"/>
        <v>N3R 7J4</v>
      </c>
      <c r="G352" t="str">
        <f t="shared" si="35"/>
        <v>[ "Home Depot", 43.1630392918477, -80.2414100444489, '519-757-3534', 'N3R 7J4'],</v>
      </c>
    </row>
    <row r="353" spans="1:7" x14ac:dyDescent="0.2">
      <c r="A353" t="s">
        <v>360</v>
      </c>
      <c r="B353" t="str">
        <f t="shared" si="30"/>
        <v>Staples</v>
      </c>
      <c r="C353" t="str">
        <f t="shared" si="31"/>
        <v>43.1693666109149</v>
      </c>
      <c r="D353" t="str">
        <f t="shared" si="32"/>
        <v>-80.2479792495133</v>
      </c>
      <c r="E353" t="str">
        <f t="shared" si="33"/>
        <v>519-752-3367</v>
      </c>
      <c r="F353" t="str">
        <f t="shared" si="34"/>
        <v>N3R 7C5</v>
      </c>
      <c r="G353" t="str">
        <f t="shared" si="35"/>
        <v>[ "Staples", 43.1693666109149, -80.2479792495133, '519-752-3367', 'N3R 7C5'],</v>
      </c>
    </row>
    <row r="354" spans="1:7" hidden="1" x14ac:dyDescent="0.2">
      <c r="A354" t="s">
        <v>361</v>
      </c>
      <c r="B354" t="str">
        <f t="shared" si="30"/>
        <v>Princess Auto</v>
      </c>
      <c r="C354" t="str">
        <f t="shared" si="31"/>
        <v>43.155558</v>
      </c>
      <c r="D354" t="str">
        <f t="shared" si="32"/>
        <v>-80.236674</v>
      </c>
      <c r="E354" t="str">
        <f t="shared" si="33"/>
        <v>226-227-9440</v>
      </c>
      <c r="F354" t="str">
        <f t="shared" si="34"/>
        <v>N3S 7R4</v>
      </c>
      <c r="G354" t="str">
        <f t="shared" si="35"/>
        <v>[ "Princess Auto", 43.155558, -80.236674, '226-227-9440', 'N3S 7R4'],</v>
      </c>
    </row>
    <row r="355" spans="1:7" hidden="1" x14ac:dyDescent="0.2">
      <c r="A355" t="s">
        <v>362</v>
      </c>
      <c r="B355" t="str">
        <f t="shared" si="30"/>
        <v>Lowes</v>
      </c>
      <c r="C355" t="str">
        <f t="shared" si="31"/>
        <v>43.155372</v>
      </c>
      <c r="D355" t="str">
        <f t="shared" si="32"/>
        <v>-80.237796</v>
      </c>
      <c r="E355" t="str">
        <f t="shared" si="33"/>
        <v>519-720-2060</v>
      </c>
      <c r="F355" t="str">
        <f t="shared" si="34"/>
        <v>N3S 7R4</v>
      </c>
      <c r="G355" t="str">
        <f t="shared" si="35"/>
        <v>[ "Lowes", 43.155372, -80.237796, '519-720-2060', 'N3S 7R4'],</v>
      </c>
    </row>
    <row r="356" spans="1:7" hidden="1" x14ac:dyDescent="0.2">
      <c r="A356" t="s">
        <v>363</v>
      </c>
      <c r="B356" t="str">
        <f t="shared" si="30"/>
        <v>ListenUp! Canada</v>
      </c>
      <c r="C356" t="str">
        <f t="shared" si="31"/>
        <v>43.1474446153846</v>
      </c>
      <c r="D356" t="str">
        <f t="shared" si="32"/>
        <v>-80.2361169230769</v>
      </c>
      <c r="E356" t="str">
        <f t="shared" si="33"/>
        <v>519-753-4182</v>
      </c>
      <c r="F356" t="str">
        <f t="shared" si="34"/>
        <v>N3R 4X8</v>
      </c>
      <c r="G356" t="str">
        <f t="shared" si="35"/>
        <v>[ "ListenUp! Canada", 43.1474446153846, -80.2361169230769, '519-753-4182', 'N3R 4X8'],</v>
      </c>
    </row>
    <row r="357" spans="1:7" hidden="1" x14ac:dyDescent="0.2">
      <c r="A357" t="s">
        <v>364</v>
      </c>
      <c r="B357" t="str">
        <f t="shared" si="30"/>
        <v>RONA</v>
      </c>
      <c r="C357" t="str">
        <f t="shared" si="31"/>
        <v>43.3155955555556</v>
      </c>
      <c r="D357" t="str">
        <f t="shared" si="32"/>
        <v>-79.9137022222222</v>
      </c>
      <c r="E357" t="str">
        <f t="shared" si="33"/>
        <v>905-689-8700</v>
      </c>
      <c r="F357" t="str">
        <f t="shared" si="34"/>
        <v>L9H 0C2</v>
      </c>
      <c r="G357" t="str">
        <f t="shared" si="35"/>
        <v>[ "RONA", 43.3155955555556, -79.9137022222222, '905-689-8700', 'L9H 0C2'],</v>
      </c>
    </row>
    <row r="358" spans="1:7" x14ac:dyDescent="0.2">
      <c r="A358" t="s">
        <v>365</v>
      </c>
      <c r="B358" t="str">
        <f t="shared" si="30"/>
        <v>Staples</v>
      </c>
      <c r="C358" t="str">
        <f t="shared" si="31"/>
        <v>43.3179275</v>
      </c>
      <c r="D358" t="str">
        <f t="shared" si="32"/>
        <v>-79.9109525</v>
      </c>
      <c r="E358" t="str">
        <f t="shared" si="33"/>
        <v>905-689-0271</v>
      </c>
      <c r="F358" t="str">
        <f t="shared" si="34"/>
        <v>L0R 2H1</v>
      </c>
      <c r="G358" t="str">
        <f t="shared" si="35"/>
        <v>[ "Staples", 43.3179275, -79.9109525, '905-689-0271', 'L0R 2H1'],</v>
      </c>
    </row>
    <row r="359" spans="1:7" hidden="1" x14ac:dyDescent="0.2">
      <c r="A359" t="s">
        <v>366</v>
      </c>
      <c r="B359" t="str">
        <f t="shared" si="30"/>
        <v>ListenUp! Canada</v>
      </c>
      <c r="C359" t="str">
        <f t="shared" si="31"/>
        <v>43.249808</v>
      </c>
      <c r="D359" t="str">
        <f t="shared" si="32"/>
        <v>-79.871143</v>
      </c>
      <c r="E359" t="str">
        <f t="shared" si="33"/>
        <v>905-529-6251</v>
      </c>
      <c r="F359" t="str">
        <f t="shared" si="34"/>
        <v>L8N 1Y2</v>
      </c>
      <c r="G359" t="str">
        <f t="shared" si="35"/>
        <v>[ "ListenUp! Canada", 43.249808, -79.871143, '905-529-6251', 'L8N 1Y2'],</v>
      </c>
    </row>
    <row r="360" spans="1:7" hidden="1" x14ac:dyDescent="0.2">
      <c r="A360" t="s">
        <v>367</v>
      </c>
      <c r="B360" t="str">
        <f t="shared" si="30"/>
        <v>Sears (Canada)</v>
      </c>
      <c r="C360" t="str">
        <f t="shared" si="31"/>
        <v>43.21707</v>
      </c>
      <c r="D360" t="str">
        <f t="shared" si="32"/>
        <v>-79.86449</v>
      </c>
      <c r="E360" t="str">
        <f t="shared" si="33"/>
        <v>905-389-4441</v>
      </c>
      <c r="F360" t="str">
        <f t="shared" si="34"/>
        <v>L9A 4X5</v>
      </c>
      <c r="G360" t="str">
        <f t="shared" si="35"/>
        <v>[ "Sears (Canada)", 43.21707, -79.86449, '905-389-4441', 'L9A 4X5'],</v>
      </c>
    </row>
    <row r="361" spans="1:7" x14ac:dyDescent="0.2">
      <c r="A361" t="s">
        <v>368</v>
      </c>
      <c r="B361" t="str">
        <f t="shared" si="30"/>
        <v>Staples</v>
      </c>
      <c r="C361" t="str">
        <f t="shared" si="31"/>
        <v>43.21863</v>
      </c>
      <c r="D361" t="str">
        <f t="shared" si="32"/>
        <v>-79.86401</v>
      </c>
      <c r="E361" t="str">
        <f t="shared" si="33"/>
        <v>905-383-7913</v>
      </c>
      <c r="F361" t="str">
        <f t="shared" si="34"/>
        <v>L9A 4V8</v>
      </c>
      <c r="G361" t="str">
        <f t="shared" si="35"/>
        <v>[ "Staples", 43.21863, -79.86401, '905-383-7913', 'L9A 4V8'],</v>
      </c>
    </row>
    <row r="362" spans="1:7" hidden="1" x14ac:dyDescent="0.2">
      <c r="A362" t="s">
        <v>369</v>
      </c>
      <c r="B362" t="str">
        <f t="shared" si="30"/>
        <v>ListenUp! Canada</v>
      </c>
      <c r="C362" t="str">
        <f t="shared" si="31"/>
        <v>43.22069</v>
      </c>
      <c r="D362" t="str">
        <f t="shared" si="32"/>
        <v>-79.86314</v>
      </c>
      <c r="E362" t="str">
        <f t="shared" si="33"/>
        <v>905-574-9196</v>
      </c>
      <c r="F362" t="str">
        <f t="shared" si="34"/>
        <v>L9A 5H2</v>
      </c>
      <c r="G362" t="str">
        <f t="shared" si="35"/>
        <v>[ "ListenUp! Canada", 43.22069, -79.86314, '905-574-9196', 'L9A 5H2'],</v>
      </c>
    </row>
    <row r="363" spans="1:7" hidden="1" x14ac:dyDescent="0.2">
      <c r="A363" t="s">
        <v>370</v>
      </c>
      <c r="B363" t="str">
        <f t="shared" si="30"/>
        <v>The Source</v>
      </c>
      <c r="C363" t="str">
        <f t="shared" si="31"/>
        <v>43.32977</v>
      </c>
      <c r="D363" t="str">
        <f t="shared" si="32"/>
        <v>-79.89708</v>
      </c>
      <c r="E363" t="str">
        <f t="shared" si="33"/>
        <v>905-690-3243</v>
      </c>
      <c r="F363" t="str">
        <f t="shared" si="34"/>
        <v>L0R 2H6</v>
      </c>
      <c r="G363" t="str">
        <f t="shared" si="35"/>
        <v>[ "The Source", 43.32977, -79.89708, '905-690-3243', 'L0R 2H6'],</v>
      </c>
    </row>
    <row r="364" spans="1:7" hidden="1" x14ac:dyDescent="0.2">
      <c r="A364" t="s">
        <v>371</v>
      </c>
      <c r="B364" t="str">
        <f t="shared" si="30"/>
        <v>The Source</v>
      </c>
      <c r="C364" t="str">
        <f t="shared" si="31"/>
        <v>43.35466</v>
      </c>
      <c r="D364" t="str">
        <f t="shared" si="32"/>
        <v>-80.28745</v>
      </c>
      <c r="E364" t="str">
        <f t="shared" si="33"/>
        <v>519-623-5210</v>
      </c>
      <c r="F364" t="str">
        <f t="shared" si="34"/>
        <v>N1R 8N8</v>
      </c>
      <c r="G364" t="str">
        <f t="shared" si="35"/>
        <v>[ "The Source", 43.35466, -80.28745, '519-623-5210', 'N1R 8N8'],</v>
      </c>
    </row>
    <row r="365" spans="1:7" hidden="1" x14ac:dyDescent="0.2">
      <c r="A365" t="s">
        <v>372</v>
      </c>
      <c r="B365" t="str">
        <f t="shared" si="30"/>
        <v>Home Essentials</v>
      </c>
      <c r="C365" t="str">
        <f t="shared" si="31"/>
        <v>43.355283</v>
      </c>
      <c r="D365" t="str">
        <f t="shared" si="32"/>
        <v>-80.31844</v>
      </c>
      <c r="E365" t="str">
        <f t="shared" si="33"/>
        <v>519-622-6046</v>
      </c>
      <c r="F365" t="str">
        <f t="shared" si="34"/>
        <v>N1S 2L8</v>
      </c>
      <c r="G365" t="str">
        <f t="shared" si="35"/>
        <v>[ "Home Essentials", 43.355283, -80.31844, '519-622-6046', 'N1S 2L8'],</v>
      </c>
    </row>
    <row r="366" spans="1:7" hidden="1" x14ac:dyDescent="0.2">
      <c r="A366" t="s">
        <v>373</v>
      </c>
      <c r="B366" t="str">
        <f t="shared" si="30"/>
        <v>Canadian Tire</v>
      </c>
      <c r="C366" t="str">
        <f t="shared" si="31"/>
        <v>43.25503</v>
      </c>
      <c r="D366" t="str">
        <f t="shared" si="32"/>
        <v>-79.83035</v>
      </c>
      <c r="E366" t="str">
        <f t="shared" si="33"/>
        <v>905-549-1336</v>
      </c>
      <c r="F366" t="str">
        <f t="shared" si="34"/>
        <v>L8L 2V6</v>
      </c>
      <c r="G366" t="str">
        <f t="shared" si="35"/>
        <v>[ "Canadian Tire", 43.25503, -79.83035, '905-549-1336', 'L8L 2V6'],</v>
      </c>
    </row>
    <row r="367" spans="1:7" hidden="1" x14ac:dyDescent="0.2">
      <c r="A367" t="s">
        <v>374</v>
      </c>
      <c r="B367" t="str">
        <f t="shared" si="30"/>
        <v>Envirosystems Inc.</v>
      </c>
      <c r="C367" t="str">
        <f t="shared" si="31"/>
        <v>43.25829</v>
      </c>
      <c r="D367" t="str">
        <f t="shared" si="32"/>
        <v>-79.82995</v>
      </c>
      <c r="E367" t="str">
        <f t="shared" si="33"/>
        <v>905-545-2665</v>
      </c>
      <c r="F367" t="str">
        <f t="shared" si="34"/>
        <v>L8L 6W1</v>
      </c>
      <c r="G367" t="str">
        <f t="shared" si="35"/>
        <v>[ "Envirosystems Inc.", 43.25829, -79.82995, '905-545-2665', 'L8L 6W1'],</v>
      </c>
    </row>
    <row r="368" spans="1:7" hidden="1" x14ac:dyDescent="0.2">
      <c r="A368" t="s">
        <v>375</v>
      </c>
      <c r="B368" t="str">
        <f t="shared" si="30"/>
        <v>ListenUp! Canada</v>
      </c>
      <c r="C368" t="str">
        <f t="shared" si="31"/>
        <v>43.37387</v>
      </c>
      <c r="D368" t="str">
        <f t="shared" si="32"/>
        <v>-80.31864</v>
      </c>
      <c r="E368" t="str">
        <f t="shared" si="33"/>
        <v>519-624-9092</v>
      </c>
      <c r="F368" t="str">
        <f t="shared" si="34"/>
        <v>N1R 8L4</v>
      </c>
      <c r="G368" t="str">
        <f t="shared" si="35"/>
        <v>[ "ListenUp! Canada", 43.37387, -80.31864, '519-624-9092', 'N1R 8L4'],</v>
      </c>
    </row>
    <row r="369" spans="1:7" hidden="1" x14ac:dyDescent="0.2">
      <c r="A369" t="s">
        <v>376</v>
      </c>
      <c r="B369" t="str">
        <f t="shared" si="30"/>
        <v>The Source</v>
      </c>
      <c r="C369" t="str">
        <f t="shared" si="31"/>
        <v>43.25047</v>
      </c>
      <c r="D369" t="str">
        <f t="shared" si="32"/>
        <v>-79.8117174358974</v>
      </c>
      <c r="E369" t="str">
        <f t="shared" si="33"/>
        <v>905-545-5343</v>
      </c>
      <c r="F369" t="str">
        <f t="shared" si="34"/>
        <v>L8H 2V4</v>
      </c>
      <c r="G369" t="str">
        <f t="shared" si="35"/>
        <v>[ "The Source", 43.25047, -79.8117174358974, '905-545-5343', 'L8H 2V4'],</v>
      </c>
    </row>
    <row r="370" spans="1:7" x14ac:dyDescent="0.2">
      <c r="A370" t="s">
        <v>377</v>
      </c>
      <c r="B370" t="str">
        <f t="shared" si="30"/>
        <v>Staples</v>
      </c>
      <c r="C370" t="str">
        <f t="shared" si="31"/>
        <v>43.2497988888889</v>
      </c>
      <c r="D370" t="str">
        <f t="shared" si="32"/>
        <v>-79.8086933333333</v>
      </c>
      <c r="E370" t="str">
        <f t="shared" si="33"/>
        <v>--</v>
      </c>
      <c r="F370" t="str">
        <f t="shared" si="34"/>
        <v>L8H 2V4</v>
      </c>
      <c r="G370" t="str">
        <f t="shared" si="35"/>
        <v>[ "Staples", 43.2497988888889, -79.8086933333333, '--', 'L8H 2V4'],</v>
      </c>
    </row>
    <row r="371" spans="1:7" hidden="1" x14ac:dyDescent="0.2">
      <c r="A371" t="s">
        <v>378</v>
      </c>
      <c r="B371" t="str">
        <f t="shared" si="30"/>
        <v>Home Depot</v>
      </c>
      <c r="C371" t="str">
        <f t="shared" si="31"/>
        <v>43.1921532</v>
      </c>
      <c r="D371" t="str">
        <f t="shared" si="32"/>
        <v>-79.8127364</v>
      </c>
      <c r="E371" t="str">
        <f t="shared" si="33"/>
        <v>905-574-4400</v>
      </c>
      <c r="F371" t="str">
        <f t="shared" si="34"/>
        <v>L8J 0B4</v>
      </c>
      <c r="G371" t="str">
        <f t="shared" si="35"/>
        <v>[ "Home Depot", 43.1921532, -79.8127364, '905-574-4400', 'L8J 0B4'],</v>
      </c>
    </row>
    <row r="372" spans="1:7" x14ac:dyDescent="0.2">
      <c r="A372" t="s">
        <v>380</v>
      </c>
      <c r="B372" t="str">
        <f t="shared" si="30"/>
        <v>Staples</v>
      </c>
      <c r="C372" t="str">
        <f t="shared" si="31"/>
        <v>43.1763769718819</v>
      </c>
      <c r="D372" t="str">
        <f t="shared" si="32"/>
        <v>-79.7903986495485</v>
      </c>
      <c r="E372" t="str">
        <f t="shared" si="33"/>
        <v>905-692-7215</v>
      </c>
      <c r="F372" t="str">
        <f t="shared" si="34"/>
        <v>L0R 1P0</v>
      </c>
      <c r="G372" t="str">
        <f t="shared" si="35"/>
        <v>[ "Staples", 43.1763769718819, -79.7903986495485, '905-692-7215', 'L0R 1P0'],</v>
      </c>
    </row>
    <row r="373" spans="1:7" hidden="1" x14ac:dyDescent="0.2">
      <c r="A373" t="s">
        <v>381</v>
      </c>
      <c r="B373" t="str">
        <f t="shared" si="30"/>
        <v>Pharmasave</v>
      </c>
      <c r="C373" t="str">
        <f t="shared" si="31"/>
        <v>43.1995437817332</v>
      </c>
      <c r="D373" t="str">
        <f t="shared" si="32"/>
        <v>-79.7944403927634</v>
      </c>
      <c r="E373" t="str">
        <f t="shared" si="33"/>
        <v>905-578-1111</v>
      </c>
      <c r="F373" t="str">
        <f t="shared" si="34"/>
        <v>L8J 1P8</v>
      </c>
      <c r="G373" t="str">
        <f t="shared" si="35"/>
        <v>[ "Pharmasave", 43.1995437817332, -79.7944403927634, '905-578-1111', 'L8J 1P8'],</v>
      </c>
    </row>
    <row r="374" spans="1:7" hidden="1" x14ac:dyDescent="0.2">
      <c r="A374" t="s">
        <v>382</v>
      </c>
      <c r="B374" t="str">
        <f t="shared" si="30"/>
        <v>Home Depot</v>
      </c>
      <c r="C374" t="str">
        <f t="shared" si="31"/>
        <v>43.1921532</v>
      </c>
      <c r="D374" t="str">
        <f t="shared" si="32"/>
        <v>-79.8127364</v>
      </c>
      <c r="E374" t="str">
        <f t="shared" si="33"/>
        <v>905-574-4400</v>
      </c>
      <c r="F374" t="str">
        <f t="shared" si="34"/>
        <v>L8J 0B4</v>
      </c>
      <c r="G374" t="str">
        <f t="shared" si="35"/>
        <v>[ "Home Depot", 43.1921532, -79.8127364, '905-574-4400', 'L8J 0B4'],</v>
      </c>
    </row>
    <row r="375" spans="1:7" hidden="1" x14ac:dyDescent="0.2">
      <c r="A375" t="s">
        <v>383</v>
      </c>
      <c r="B375" t="str">
        <f t="shared" si="30"/>
        <v>ListenUp! Canada</v>
      </c>
      <c r="C375" t="str">
        <f t="shared" si="31"/>
        <v>43.1944638910939</v>
      </c>
      <c r="D375" t="str">
        <f t="shared" si="32"/>
        <v>-79.5629405753382</v>
      </c>
      <c r="E375" t="str">
        <f t="shared" si="33"/>
        <v>905-309-6116</v>
      </c>
      <c r="F375" t="str">
        <f t="shared" si="34"/>
        <v>L3M 4H1</v>
      </c>
      <c r="G375" t="str">
        <f t="shared" si="35"/>
        <v>[ "ListenUp! Canada", 43.1944638910939, -79.5629405753382, '905-309-6116', 'L3M 4H1'],</v>
      </c>
    </row>
    <row r="376" spans="1:7" hidden="1" x14ac:dyDescent="0.2">
      <c r="A376" t="s">
        <v>384</v>
      </c>
      <c r="B376" t="str">
        <f t="shared" si="30"/>
        <v>Franklin Empire</v>
      </c>
      <c r="C376" t="str">
        <f t="shared" si="31"/>
        <v>43.2331541823488</v>
      </c>
      <c r="D376" t="str">
        <f t="shared" si="32"/>
        <v>-79.7434223326724</v>
      </c>
      <c r="E376" t="str">
        <f t="shared" si="33"/>
        <v>905-578-3330</v>
      </c>
      <c r="F376" t="str">
        <f t="shared" si="34"/>
        <v>L8E 2J8</v>
      </c>
      <c r="G376" t="str">
        <f t="shared" si="35"/>
        <v>[ "Franklin Empire", 43.2331541823488, -79.7434223326724, '905-578-3330', 'L8E 2J8'],</v>
      </c>
    </row>
    <row r="377" spans="1:7" hidden="1" x14ac:dyDescent="0.2">
      <c r="A377" t="s">
        <v>385</v>
      </c>
      <c r="B377" t="str">
        <f t="shared" si="30"/>
        <v>ListenUp! Canada</v>
      </c>
      <c r="C377" t="str">
        <f t="shared" si="31"/>
        <v>43.23425</v>
      </c>
      <c r="D377" t="str">
        <f t="shared" si="32"/>
        <v>-79.76165</v>
      </c>
      <c r="E377" t="str">
        <f t="shared" si="33"/>
        <v>905-662-8275</v>
      </c>
      <c r="F377" t="str">
        <f t="shared" si="34"/>
        <v>L8E 1H9</v>
      </c>
      <c r="G377" t="str">
        <f t="shared" si="35"/>
        <v>[ "ListenUp! Canada", 43.23425, -79.76165, '905-662-8275', 'L8E 1H9'],</v>
      </c>
    </row>
    <row r="378" spans="1:7" hidden="1" x14ac:dyDescent="0.2">
      <c r="A378" t="s">
        <v>386</v>
      </c>
      <c r="B378" t="str">
        <f t="shared" si="30"/>
        <v>Fastenal</v>
      </c>
      <c r="C378" t="str">
        <f t="shared" si="31"/>
        <v>43.2408032222222</v>
      </c>
      <c r="D378" t="str">
        <f t="shared" si="32"/>
        <v>-79.7363474444444</v>
      </c>
      <c r="E378" t="str">
        <f t="shared" si="33"/>
        <v>289-649-0770</v>
      </c>
      <c r="F378" t="str">
        <f t="shared" si="34"/>
        <v>L8E 0C5</v>
      </c>
      <c r="G378" t="str">
        <f t="shared" si="35"/>
        <v>[ "Fastenal", 43.2408032222222, -79.7363474444444, '289-649-0770', 'L8E 0C5'],</v>
      </c>
    </row>
    <row r="379" spans="1:7" x14ac:dyDescent="0.2">
      <c r="A379" t="s">
        <v>387</v>
      </c>
      <c r="B379" t="str">
        <f t="shared" si="30"/>
        <v>Staples Canada</v>
      </c>
      <c r="C379" t="str">
        <f t="shared" si="31"/>
        <v>43.23714</v>
      </c>
      <c r="D379" t="str">
        <f t="shared" si="32"/>
        <v>-79.7616175</v>
      </c>
      <c r="E379" t="str">
        <f t="shared" si="33"/>
        <v>905-578-3573</v>
      </c>
      <c r="F379" t="str">
        <f t="shared" si="34"/>
        <v>L8E 2W7</v>
      </c>
      <c r="G379" t="str">
        <f t="shared" si="35"/>
        <v>[ "Staples Canada", 43.23714, -79.7616175, '905-578-3573', 'L8E 2W7'],</v>
      </c>
    </row>
    <row r="380" spans="1:7" hidden="1" x14ac:dyDescent="0.2">
      <c r="A380" t="s">
        <v>388</v>
      </c>
      <c r="B380" t="str">
        <f t="shared" si="30"/>
        <v>Home Depot</v>
      </c>
      <c r="C380" t="str">
        <f t="shared" si="31"/>
        <v>43.2400266666667</v>
      </c>
      <c r="D380" t="str">
        <f t="shared" si="32"/>
        <v>-79.7591422222222</v>
      </c>
      <c r="E380" t="str">
        <f t="shared" si="33"/>
        <v>905-561-9755</v>
      </c>
      <c r="F380" t="str">
        <f t="shared" si="34"/>
        <v>L8E 2X4</v>
      </c>
      <c r="G380" t="str">
        <f t="shared" si="35"/>
        <v>[ "Home Depot", 43.2400266666667, -79.7591422222222, '905-561-9755', 'L8E 2X4'],</v>
      </c>
    </row>
    <row r="381" spans="1:7" hidden="1" x14ac:dyDescent="0.2">
      <c r="A381" t="s">
        <v>389</v>
      </c>
      <c r="B381" t="str">
        <f t="shared" si="30"/>
        <v>Princess Auto</v>
      </c>
      <c r="C381" t="str">
        <f t="shared" si="31"/>
        <v>43.2443277777778</v>
      </c>
      <c r="D381" t="str">
        <f t="shared" si="32"/>
        <v>-79.7859277777778</v>
      </c>
      <c r="E381" t="str">
        <f t="shared" si="33"/>
        <v>905-561-9400</v>
      </c>
      <c r="F381" t="str">
        <f t="shared" si="34"/>
        <v>L8H 2Y6</v>
      </c>
      <c r="G381" t="str">
        <f t="shared" si="35"/>
        <v>[ "Princess Auto", 43.2443277777778, -79.7859277777778, '905-561-9400', 'L8H 2Y6'],</v>
      </c>
    </row>
    <row r="382" spans="1:7" hidden="1" x14ac:dyDescent="0.2">
      <c r="A382" t="s">
        <v>390</v>
      </c>
      <c r="B382" t="str">
        <f t="shared" si="30"/>
        <v>RONA</v>
      </c>
      <c r="C382" t="str">
        <f t="shared" si="31"/>
        <v>43.18895</v>
      </c>
      <c r="D382" t="str">
        <f t="shared" si="32"/>
        <v>-79.5127447319383</v>
      </c>
      <c r="E382" t="str">
        <f t="shared" si="33"/>
        <v>905-309-1959</v>
      </c>
      <c r="F382" t="str">
        <f t="shared" si="34"/>
        <v>L3M 4E8</v>
      </c>
      <c r="G382" t="str">
        <f t="shared" si="35"/>
        <v>[ "RONA", 43.18895, -79.5127447319383, '905-309-1959', 'L3M 4E8'],</v>
      </c>
    </row>
    <row r="383" spans="1:7" hidden="1" x14ac:dyDescent="0.2">
      <c r="A383" t="s">
        <v>391</v>
      </c>
      <c r="B383" t="str">
        <f t="shared" si="30"/>
        <v>Sears (Canada)</v>
      </c>
      <c r="C383" t="str">
        <f t="shared" si="31"/>
        <v>43.21707</v>
      </c>
      <c r="D383" t="str">
        <f t="shared" si="32"/>
        <v>-79.86449</v>
      </c>
      <c r="E383" t="str">
        <f t="shared" si="33"/>
        <v>905-389-4441</v>
      </c>
      <c r="F383" t="str">
        <f t="shared" si="34"/>
        <v>L9A 4X5</v>
      </c>
      <c r="G383" t="str">
        <f t="shared" si="35"/>
        <v>[ "Sears (Canada)", 43.21707, -79.86449, '905-389-4441', 'L9A 4X5'],</v>
      </c>
    </row>
    <row r="384" spans="1:7" hidden="1" x14ac:dyDescent="0.2">
      <c r="A384" t="s">
        <v>392</v>
      </c>
      <c r="B384" t="str">
        <f t="shared" si="30"/>
        <v>RONA</v>
      </c>
      <c r="C384" t="str">
        <f t="shared" si="31"/>
        <v>43.2532231</v>
      </c>
      <c r="D384" t="str">
        <f t="shared" si="32"/>
        <v>-79.7863211</v>
      </c>
      <c r="E384" t="str">
        <f t="shared" si="33"/>
        <v>905-547-3444</v>
      </c>
      <c r="F384" t="str">
        <f t="shared" si="34"/>
        <v>L8H 5Z1</v>
      </c>
      <c r="G384" t="str">
        <f t="shared" si="35"/>
        <v>[ "RONA", 43.2532231, -79.7863211, '905-547-3444', 'L8H 5Z1'],</v>
      </c>
    </row>
    <row r="385" spans="1:7" x14ac:dyDescent="0.2">
      <c r="A385" t="s">
        <v>393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Staples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43.21863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-79.86401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905-383-7913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L9A 4V8</v>
      </c>
      <c r="G385" t="str">
        <f t="shared" ref="G385:G448" si="41">"[ "&amp;CHAR(34)&amp;B385&amp;CHAR(34)&amp;", "&amp;C385&amp;", "&amp;D385&amp;", '"&amp;E385&amp;"', '"&amp;F385&amp;"'],"</f>
        <v>[ "Staples", 43.21863, -79.86401, '905-383-7913', 'L9A 4V8'],</v>
      </c>
    </row>
    <row r="386" spans="1:7" hidden="1" x14ac:dyDescent="0.2">
      <c r="A386" t="s">
        <v>394</v>
      </c>
      <c r="B386" t="str">
        <f t="shared" si="36"/>
        <v>ListenUp! Canada</v>
      </c>
      <c r="C386" t="str">
        <f t="shared" si="37"/>
        <v>43.22069</v>
      </c>
      <c r="D386" t="str">
        <f t="shared" si="38"/>
        <v>-79.86314</v>
      </c>
      <c r="E386" t="str">
        <f t="shared" si="39"/>
        <v>905-574-9196</v>
      </c>
      <c r="F386" t="str">
        <f t="shared" si="40"/>
        <v>L9A 5H2</v>
      </c>
      <c r="G386" t="str">
        <f t="shared" si="41"/>
        <v>[ "ListenUp! Canada", 43.22069, -79.86314, '905-574-9196', 'L9A 5H2'],</v>
      </c>
    </row>
    <row r="387" spans="1:7" x14ac:dyDescent="0.2">
      <c r="A387" t="s">
        <v>395</v>
      </c>
      <c r="B387" t="str">
        <f t="shared" si="36"/>
        <v>Staples</v>
      </c>
      <c r="C387" t="str">
        <f t="shared" si="37"/>
        <v>43.2497988888889</v>
      </c>
      <c r="D387" t="str">
        <f t="shared" si="38"/>
        <v>-79.8086933333333</v>
      </c>
      <c r="E387" t="str">
        <f t="shared" si="39"/>
        <v>--</v>
      </c>
      <c r="F387" t="str">
        <f t="shared" si="40"/>
        <v>L8H 2V4</v>
      </c>
      <c r="G387" t="str">
        <f t="shared" si="41"/>
        <v>[ "Staples", 43.2497988888889, -79.8086933333333, '--', 'L8H 2V4'],</v>
      </c>
    </row>
    <row r="388" spans="1:7" hidden="1" x14ac:dyDescent="0.2">
      <c r="A388" t="s">
        <v>396</v>
      </c>
      <c r="B388" t="str">
        <f t="shared" si="36"/>
        <v>The Source</v>
      </c>
      <c r="C388" t="str">
        <f t="shared" si="37"/>
        <v>43.25047</v>
      </c>
      <c r="D388" t="str">
        <f t="shared" si="38"/>
        <v>-79.8117174358974</v>
      </c>
      <c r="E388" t="str">
        <f t="shared" si="39"/>
        <v>905-545-5343</v>
      </c>
      <c r="F388" t="str">
        <f t="shared" si="40"/>
        <v>L8H 2V4</v>
      </c>
      <c r="G388" t="str">
        <f t="shared" si="41"/>
        <v>[ "The Source", 43.25047, -79.8117174358974, '905-545-5343', 'L8H 2V4'],</v>
      </c>
    </row>
    <row r="389" spans="1:7" hidden="1" x14ac:dyDescent="0.2">
      <c r="A389" t="s">
        <v>397</v>
      </c>
      <c r="B389" t="str">
        <f t="shared" si="36"/>
        <v>Canadian Tire</v>
      </c>
      <c r="C389" t="str">
        <f t="shared" si="37"/>
        <v>43.25503</v>
      </c>
      <c r="D389" t="str">
        <f t="shared" si="38"/>
        <v>-79.83035</v>
      </c>
      <c r="E389" t="str">
        <f t="shared" si="39"/>
        <v>905-549-1336</v>
      </c>
      <c r="F389" t="str">
        <f t="shared" si="40"/>
        <v>L8L 2V6</v>
      </c>
      <c r="G389" t="str">
        <f t="shared" si="41"/>
        <v>[ "Canadian Tire", 43.25503, -79.83035, '905-549-1336', 'L8L 2V6'],</v>
      </c>
    </row>
    <row r="390" spans="1:7" hidden="1" x14ac:dyDescent="0.2">
      <c r="A390" t="s">
        <v>398</v>
      </c>
      <c r="B390" t="str">
        <f t="shared" si="36"/>
        <v>Envirosystems Inc.</v>
      </c>
      <c r="C390" t="str">
        <f t="shared" si="37"/>
        <v>43.25829</v>
      </c>
      <c r="D390" t="str">
        <f t="shared" si="38"/>
        <v>-79.82995</v>
      </c>
      <c r="E390" t="str">
        <f t="shared" si="39"/>
        <v>905-545-2665</v>
      </c>
      <c r="F390" t="str">
        <f t="shared" si="40"/>
        <v>L8L 6W1</v>
      </c>
      <c r="G390" t="str">
        <f t="shared" si="41"/>
        <v>[ "Envirosystems Inc.", 43.25829, -79.82995, '905-545-2665', 'L8L 6W1'],</v>
      </c>
    </row>
    <row r="391" spans="1:7" hidden="1" x14ac:dyDescent="0.2">
      <c r="A391" t="s">
        <v>399</v>
      </c>
      <c r="B391" t="str">
        <f t="shared" si="36"/>
        <v>ListenUp! Canada</v>
      </c>
      <c r="C391" t="str">
        <f t="shared" si="37"/>
        <v>43.249808</v>
      </c>
      <c r="D391" t="str">
        <f t="shared" si="38"/>
        <v>-79.871143</v>
      </c>
      <c r="E391" t="str">
        <f t="shared" si="39"/>
        <v>905-529-6251</v>
      </c>
      <c r="F391" t="str">
        <f t="shared" si="40"/>
        <v>L8N 1Y2</v>
      </c>
      <c r="G391" t="str">
        <f t="shared" si="41"/>
        <v>[ "ListenUp! Canada", 43.249808, -79.871143, '905-529-6251', 'L8N 1Y2'],</v>
      </c>
    </row>
    <row r="392" spans="1:7" x14ac:dyDescent="0.2">
      <c r="A392" t="s">
        <v>401</v>
      </c>
      <c r="B392" t="str">
        <f t="shared" si="36"/>
        <v>Staples</v>
      </c>
      <c r="C392" t="str">
        <f t="shared" si="37"/>
        <v>43.01479</v>
      </c>
      <c r="D392" t="str">
        <f t="shared" si="38"/>
        <v>-79.24987</v>
      </c>
      <c r="E392" t="str">
        <f t="shared" si="39"/>
        <v>905-714-7607</v>
      </c>
      <c r="F392" t="str">
        <f t="shared" si="40"/>
        <v>L3C 5Z4</v>
      </c>
      <c r="G392" t="str">
        <f t="shared" si="41"/>
        <v>[ "Staples", 43.01479, -79.24987, '905-714-7607', 'L3C 5Z4'],</v>
      </c>
    </row>
    <row r="393" spans="1:7" hidden="1" x14ac:dyDescent="0.2">
      <c r="A393" t="s">
        <v>402</v>
      </c>
      <c r="B393" t="str">
        <f t="shared" si="36"/>
        <v>The Source</v>
      </c>
      <c r="C393" t="str">
        <f t="shared" si="37"/>
        <v>43.01479</v>
      </c>
      <c r="D393" t="str">
        <f t="shared" si="38"/>
        <v>-79.24987</v>
      </c>
      <c r="E393" t="str">
        <f t="shared" si="39"/>
        <v>905-735-0887</v>
      </c>
      <c r="F393" t="str">
        <f t="shared" si="40"/>
        <v>L3C 5Z4</v>
      </c>
      <c r="G393" t="str">
        <f t="shared" si="41"/>
        <v>[ "The Source", 43.01479, -79.24987, '905-735-0887', 'L3C 5Z4'],</v>
      </c>
    </row>
    <row r="394" spans="1:7" x14ac:dyDescent="0.2">
      <c r="A394" t="s">
        <v>403</v>
      </c>
      <c r="B394" t="str">
        <f t="shared" si="36"/>
        <v>Best Buy</v>
      </c>
      <c r="C394" t="str">
        <f t="shared" si="37"/>
        <v>43.11939</v>
      </c>
      <c r="D394" t="str">
        <f t="shared" si="38"/>
        <v>-79.26929</v>
      </c>
      <c r="E394" t="str">
        <f t="shared" si="39"/>
        <v>905-378-0333</v>
      </c>
      <c r="F394" t="str">
        <f t="shared" si="40"/>
        <v>L2S 0C7</v>
      </c>
      <c r="G394" t="str">
        <f t="shared" si="41"/>
        <v>[ "Best Buy", 43.11939, -79.26929, '905-378-0333', 'L2S 0C7'],</v>
      </c>
    </row>
    <row r="395" spans="1:7" hidden="1" x14ac:dyDescent="0.2">
      <c r="A395" t="s">
        <v>404</v>
      </c>
      <c r="B395" t="str">
        <f t="shared" si="36"/>
        <v>Ontario Public Service</v>
      </c>
      <c r="C395" t="str">
        <f t="shared" si="37"/>
        <v>42.9940204820926</v>
      </c>
      <c r="D395" t="str">
        <f t="shared" si="38"/>
        <v>-79.249069578359</v>
      </c>
      <c r="E395" t="str">
        <f t="shared" si="39"/>
        <v>905-735-1660</v>
      </c>
      <c r="F395" t="str">
        <f t="shared" si="40"/>
        <v>L3B 5X6</v>
      </c>
      <c r="G395" t="str">
        <f t="shared" si="41"/>
        <v>[ "Ontario Public Service", 42.9940204820926, -79.249069578359, '905-735-1660', 'L3B 5X6'],</v>
      </c>
    </row>
    <row r="396" spans="1:7" hidden="1" x14ac:dyDescent="0.2">
      <c r="A396" t="s">
        <v>405</v>
      </c>
      <c r="B396" t="str">
        <f t="shared" si="36"/>
        <v>ListenUp! Canada</v>
      </c>
      <c r="C396" t="str">
        <f t="shared" si="37"/>
        <v>42.99222</v>
      </c>
      <c r="D396" t="str">
        <f t="shared" si="38"/>
        <v>-79.24764</v>
      </c>
      <c r="E396" t="str">
        <f t="shared" si="39"/>
        <v>905-734-7300</v>
      </c>
      <c r="F396" t="str">
        <f t="shared" si="40"/>
        <v>L3B 3W5</v>
      </c>
      <c r="G396" t="str">
        <f t="shared" si="41"/>
        <v>[ "ListenUp! Canada", 42.99222, -79.24764, '905-734-7300', 'L3B 3W5'],</v>
      </c>
    </row>
    <row r="397" spans="1:7" hidden="1" x14ac:dyDescent="0.2">
      <c r="A397" t="s">
        <v>406</v>
      </c>
      <c r="B397" t="str">
        <f t="shared" si="36"/>
        <v>Rona Welland</v>
      </c>
      <c r="C397" t="str">
        <f t="shared" si="37"/>
        <v>43.0143557171621</v>
      </c>
      <c r="D397" t="str">
        <f t="shared" si="38"/>
        <v>-79.2291830209854</v>
      </c>
      <c r="E397" t="str">
        <f t="shared" si="39"/>
        <v>905-732-0073</v>
      </c>
      <c r="F397" t="str">
        <f t="shared" si="40"/>
        <v>L3B 0A1</v>
      </c>
      <c r="G397" t="str">
        <f t="shared" si="41"/>
        <v>[ "Rona Welland", 43.0143557171621, -79.2291830209854, '905-732-0073', 'L3B 0A1'],</v>
      </c>
    </row>
    <row r="398" spans="1:7" hidden="1" x14ac:dyDescent="0.2">
      <c r="A398" t="s">
        <v>407</v>
      </c>
      <c r="B398" t="str">
        <f t="shared" si="36"/>
        <v>Princess Auto</v>
      </c>
      <c r="C398" t="str">
        <f t="shared" si="37"/>
        <v>43.1557522</v>
      </c>
      <c r="D398" t="str">
        <f t="shared" si="38"/>
        <v>-79.2651518</v>
      </c>
      <c r="E398" t="str">
        <f t="shared" si="39"/>
        <v>289-438-8380</v>
      </c>
      <c r="F398" t="str">
        <f t="shared" si="40"/>
        <v>L2S 0E7</v>
      </c>
      <c r="G398" t="str">
        <f t="shared" si="41"/>
        <v>[ "Princess Auto", 43.1557522, -79.2651518, '289-438-8380', 'L2S 0E7'],</v>
      </c>
    </row>
    <row r="399" spans="1:7" hidden="1" x14ac:dyDescent="0.2">
      <c r="A399" t="s">
        <v>408</v>
      </c>
      <c r="B399" t="str">
        <f t="shared" si="36"/>
        <v>RONA</v>
      </c>
      <c r="C399" t="str">
        <f t="shared" si="37"/>
        <v>43.18895</v>
      </c>
      <c r="D399" t="str">
        <f t="shared" si="38"/>
        <v>-79.5127447319383</v>
      </c>
      <c r="E399" t="str">
        <f t="shared" si="39"/>
        <v>905-309-1959</v>
      </c>
      <c r="F399" t="str">
        <f t="shared" si="40"/>
        <v>L3M 4E8</v>
      </c>
      <c r="G399" t="str">
        <f t="shared" si="41"/>
        <v>[ "RONA", 43.18895, -79.5127447319383, '905-309-1959', 'L3M 4E8'],</v>
      </c>
    </row>
    <row r="400" spans="1:7" hidden="1" x14ac:dyDescent="0.2">
      <c r="A400" t="s">
        <v>409</v>
      </c>
      <c r="B400" t="str">
        <f t="shared" si="36"/>
        <v>Pharmasave</v>
      </c>
      <c r="C400" t="str">
        <f t="shared" si="37"/>
        <v>43.1245186956522</v>
      </c>
      <c r="D400" t="str">
        <f t="shared" si="38"/>
        <v>-79.2006786956522</v>
      </c>
      <c r="E400" t="str">
        <f t="shared" si="39"/>
        <v>905-227-2511</v>
      </c>
      <c r="F400" t="str">
        <f t="shared" si="40"/>
        <v>L2V 3Y7</v>
      </c>
      <c r="G400" t="str">
        <f t="shared" si="41"/>
        <v>[ "Pharmasave", 43.1245186956522, -79.2006786956522, '905-227-2511', 'L2V 3Y7'],</v>
      </c>
    </row>
    <row r="401" spans="1:7" x14ac:dyDescent="0.2">
      <c r="A401" t="s">
        <v>410</v>
      </c>
      <c r="B401" t="str">
        <f t="shared" si="36"/>
        <v>Staples</v>
      </c>
      <c r="C401" t="str">
        <f t="shared" si="37"/>
        <v>43.1792340662616</v>
      </c>
      <c r="D401" t="str">
        <f t="shared" si="38"/>
        <v>-79.2488582576566</v>
      </c>
      <c r="E401" t="str">
        <f t="shared" si="39"/>
        <v>905-937-4292</v>
      </c>
      <c r="F401" t="str">
        <f t="shared" si="40"/>
        <v>L2N 7R6</v>
      </c>
      <c r="G401" t="str">
        <f t="shared" si="41"/>
        <v>[ "Staples", 43.1792340662616, -79.2488582576566, '905-937-4292', 'L2N 7R6'],</v>
      </c>
    </row>
    <row r="402" spans="1:7" hidden="1" x14ac:dyDescent="0.2">
      <c r="A402" t="s">
        <v>411</v>
      </c>
      <c r="B402" t="str">
        <f t="shared" si="36"/>
        <v>Home Depot</v>
      </c>
      <c r="C402" t="str">
        <f t="shared" si="37"/>
        <v>43.1793789783435</v>
      </c>
      <c r="D402" t="str">
        <f t="shared" si="38"/>
        <v>-79.2478539630517</v>
      </c>
      <c r="E402" t="str">
        <f t="shared" si="39"/>
        <v>905-937-5900</v>
      </c>
      <c r="F402" t="str">
        <f t="shared" si="40"/>
        <v>L2N 7R6</v>
      </c>
      <c r="G402" t="str">
        <f t="shared" si="41"/>
        <v>[ "Home Depot", 43.1793789783435, -79.2478539630517, '905-937-5900', 'L2N 7R6'],</v>
      </c>
    </row>
    <row r="403" spans="1:7" hidden="1" x14ac:dyDescent="0.2">
      <c r="A403" t="s">
        <v>412</v>
      </c>
      <c r="B403" t="str">
        <f t="shared" si="36"/>
        <v>ListenUp! Canada</v>
      </c>
      <c r="C403" t="str">
        <f t="shared" si="37"/>
        <v>43.1944638910939</v>
      </c>
      <c r="D403" t="str">
        <f t="shared" si="38"/>
        <v>-79.5629405753382</v>
      </c>
      <c r="E403" t="str">
        <f t="shared" si="39"/>
        <v>905-309-6116</v>
      </c>
      <c r="F403" t="str">
        <f t="shared" si="40"/>
        <v>L3M 4H1</v>
      </c>
      <c r="G403" t="str">
        <f t="shared" si="41"/>
        <v>[ "ListenUp! Canada", 43.1944638910939, -79.5629405753382, '905-309-6116', 'L3M 4H1'],</v>
      </c>
    </row>
    <row r="404" spans="1:7" hidden="1" x14ac:dyDescent="0.2">
      <c r="A404" t="s">
        <v>413</v>
      </c>
      <c r="B404" t="str">
        <f t="shared" si="36"/>
        <v>RONA</v>
      </c>
      <c r="C404" t="str">
        <f t="shared" si="37"/>
        <v>43.16581</v>
      </c>
      <c r="D404" t="str">
        <f t="shared" si="38"/>
        <v>-79.20202</v>
      </c>
      <c r="E404" t="str">
        <f t="shared" si="39"/>
        <v>905-684-9264</v>
      </c>
      <c r="F404" t="str">
        <f t="shared" si="40"/>
        <v>L2M 7X2</v>
      </c>
      <c r="G404" t="str">
        <f t="shared" si="41"/>
        <v>[ "RONA", 43.16581, -79.20202, '905-684-9264', 'L2M 7X2'],</v>
      </c>
    </row>
    <row r="405" spans="1:7" hidden="1" x14ac:dyDescent="0.2">
      <c r="A405" t="s">
        <v>415</v>
      </c>
      <c r="B405" t="str">
        <f t="shared" si="36"/>
        <v>Town of Grand Island</v>
      </c>
      <c r="C405" t="str">
        <f t="shared" si="37"/>
        <v>43.02266</v>
      </c>
      <c r="D405" t="str">
        <f t="shared" si="38"/>
        <v>-78.96575</v>
      </c>
      <c r="E405" t="str">
        <f t="shared" si="39"/>
        <v>716-773-9600</v>
      </c>
      <c r="F405" t="str">
        <f t="shared" si="40"/>
        <v>14072</v>
      </c>
      <c r="G405" t="str">
        <f t="shared" si="41"/>
        <v>[ "Town of Grand Island", 43.02266, -78.96575, '716-773-9600', '14072'],</v>
      </c>
    </row>
    <row r="406" spans="1:7" hidden="1" x14ac:dyDescent="0.2">
      <c r="A406" t="s">
        <v>416</v>
      </c>
      <c r="B406" t="str">
        <f t="shared" si="36"/>
        <v>Beatties Basics</v>
      </c>
      <c r="C406" t="str">
        <f t="shared" si="37"/>
        <v>42.9054554117228</v>
      </c>
      <c r="D406" t="str">
        <f t="shared" si="38"/>
        <v>-78.9321407083533</v>
      </c>
      <c r="E406" t="str">
        <f t="shared" si="39"/>
        <v>905-871-7030</v>
      </c>
      <c r="F406" t="str">
        <f t="shared" si="40"/>
        <v>L2A 1N2</v>
      </c>
      <c r="G406" t="str">
        <f t="shared" si="41"/>
        <v>[ "Beatties Basics", 42.9054554117228, -78.9321407083533, '905-871-7030', 'L2A 1N2'],</v>
      </c>
    </row>
    <row r="407" spans="1:7" hidden="1" x14ac:dyDescent="0.2">
      <c r="A407" t="s">
        <v>417</v>
      </c>
      <c r="B407" t="str">
        <f t="shared" si="36"/>
        <v>ListenUp! Canada</v>
      </c>
      <c r="C407" t="str">
        <f t="shared" si="37"/>
        <v>42.90567</v>
      </c>
      <c r="D407" t="str">
        <f t="shared" si="38"/>
        <v>-78.91845</v>
      </c>
      <c r="E407" t="str">
        <f t="shared" si="39"/>
        <v>905-991-0647</v>
      </c>
      <c r="F407" t="str">
        <f t="shared" si="40"/>
        <v>L2A 1M4</v>
      </c>
      <c r="G407" t="str">
        <f t="shared" si="41"/>
        <v>[ "ListenUp! Canada", 42.90567, -78.91845, '905-991-0647', 'L2A 1M4'],</v>
      </c>
    </row>
    <row r="408" spans="1:7" hidden="1" x14ac:dyDescent="0.2">
      <c r="A408" t="s">
        <v>418</v>
      </c>
      <c r="B408" t="str">
        <f t="shared" si="36"/>
        <v>Just Accessories</v>
      </c>
      <c r="C408" t="str">
        <f t="shared" si="37"/>
        <v>43.0703930009034</v>
      </c>
      <c r="D408" t="str">
        <f t="shared" si="38"/>
        <v>-79.1146269448938</v>
      </c>
      <c r="E408" t="str">
        <f t="shared" si="39"/>
        <v>905-358-5878</v>
      </c>
      <c r="F408" t="str">
        <f t="shared" si="40"/>
        <v>L2G 3H2</v>
      </c>
      <c r="G408" t="str">
        <f t="shared" si="41"/>
        <v>[ "Just Accessories", 43.0703930009034, -79.1146269448938, '905-358-5878', 'L2G 3H2'],</v>
      </c>
    </row>
    <row r="409" spans="1:7" hidden="1" x14ac:dyDescent="0.2">
      <c r="A409" t="s">
        <v>419</v>
      </c>
      <c r="B409" t="str">
        <f t="shared" si="36"/>
        <v>The Home Depot</v>
      </c>
      <c r="C409" t="str">
        <f t="shared" si="37"/>
        <v>42.9543446666667</v>
      </c>
      <c r="D409" t="str">
        <f t="shared" si="38"/>
        <v>-78.8783137142857</v>
      </c>
      <c r="E409" t="str">
        <f t="shared" si="39"/>
        <v>716-871-8800</v>
      </c>
      <c r="F409" t="str">
        <f t="shared" si="40"/>
        <v>14207</v>
      </c>
      <c r="G409" t="str">
        <f t="shared" si="41"/>
        <v>[ "The Home Depot", 42.9543446666667, -78.8783137142857, '716-871-8800', '14207'],</v>
      </c>
    </row>
    <row r="410" spans="1:7" hidden="1" x14ac:dyDescent="0.2">
      <c r="A410" t="s">
        <v>420</v>
      </c>
      <c r="B410" t="str">
        <f t="shared" si="36"/>
        <v>Valu Home Centers</v>
      </c>
      <c r="C410" t="str">
        <f t="shared" si="37"/>
        <v>42.9474754545455</v>
      </c>
      <c r="D410" t="str">
        <f t="shared" si="38"/>
        <v>-78.8782163636364</v>
      </c>
      <c r="E410" t="str">
        <f t="shared" si="39"/>
        <v>--</v>
      </c>
      <c r="F410" t="str">
        <f t="shared" si="40"/>
        <v>14207</v>
      </c>
      <c r="G410" t="str">
        <f t="shared" si="41"/>
        <v>[ "Valu Home Centers", 42.9474754545455, -78.8782163636364, '--', '14207'],</v>
      </c>
    </row>
    <row r="411" spans="1:7" hidden="1" x14ac:dyDescent="0.2">
      <c r="A411" t="s">
        <v>421</v>
      </c>
      <c r="B411" t="str">
        <f t="shared" si="36"/>
        <v>Valu Home Centers</v>
      </c>
      <c r="C411" t="str">
        <f t="shared" si="37"/>
        <v>43.0004266666667</v>
      </c>
      <c r="D411" t="str">
        <f t="shared" si="38"/>
        <v>-78.8751380952381</v>
      </c>
      <c r="E411" t="str">
        <f t="shared" si="39"/>
        <v>716-694-8155</v>
      </c>
      <c r="F411" t="str">
        <f t="shared" si="40"/>
        <v>14150</v>
      </c>
      <c r="G411" t="str">
        <f t="shared" si="41"/>
        <v>[ "Valu Home Centers", 43.0004266666667, -78.8751380952381, '716-694-8155', '14150'],</v>
      </c>
    </row>
    <row r="412" spans="1:7" hidden="1" x14ac:dyDescent="0.2">
      <c r="A412" t="s">
        <v>422</v>
      </c>
      <c r="B412" t="str">
        <f t="shared" si="36"/>
        <v>The Home Depot</v>
      </c>
      <c r="C412" t="str">
        <f t="shared" si="37"/>
        <v>43.0882292307692</v>
      </c>
      <c r="D412" t="str">
        <f t="shared" si="38"/>
        <v>-78.9914680769231</v>
      </c>
      <c r="E412" t="str">
        <f t="shared" si="39"/>
        <v>716-236-0761</v>
      </c>
      <c r="F412" t="str">
        <f t="shared" si="40"/>
        <v>14304</v>
      </c>
      <c r="G412" t="str">
        <f t="shared" si="41"/>
        <v>[ "The Home Depot", 43.0882292307692, -78.9914680769231, '716-236-0761', '14304'],</v>
      </c>
    </row>
    <row r="413" spans="1:7" hidden="1" x14ac:dyDescent="0.2">
      <c r="A413" t="s">
        <v>423</v>
      </c>
      <c r="B413" t="str">
        <f t="shared" si="36"/>
        <v>RadioShack</v>
      </c>
      <c r="C413" t="str">
        <f t="shared" si="37"/>
        <v>42.9423522222222</v>
      </c>
      <c r="D413" t="str">
        <f t="shared" si="38"/>
        <v>-78.8678733333333</v>
      </c>
      <c r="E413" t="str">
        <f t="shared" si="39"/>
        <v>716-874-5064</v>
      </c>
      <c r="F413" t="str">
        <f t="shared" si="40"/>
        <v>14216</v>
      </c>
      <c r="G413" t="str">
        <f t="shared" si="41"/>
        <v>[ "RadioShack", 42.9423522222222, -78.8678733333333, '716-874-5064', '14216'],</v>
      </c>
    </row>
    <row r="414" spans="1:7" hidden="1" x14ac:dyDescent="0.2">
      <c r="A414" t="s">
        <v>424</v>
      </c>
      <c r="B414" t="str">
        <f t="shared" si="36"/>
        <v>RadioShack</v>
      </c>
      <c r="C414" t="str">
        <f t="shared" si="37"/>
        <v>43.0879566895736</v>
      </c>
      <c r="D414" t="str">
        <f t="shared" si="38"/>
        <v>-78.9805609232238</v>
      </c>
      <c r="E414" t="str">
        <f t="shared" si="39"/>
        <v>716-283-5648</v>
      </c>
      <c r="F414" t="str">
        <f t="shared" si="40"/>
        <v>14304</v>
      </c>
      <c r="G414" t="str">
        <f t="shared" si="41"/>
        <v>[ "RadioShack", 43.0879566895736, -78.9805609232238, '716-283-5648', '14304'],</v>
      </c>
    </row>
    <row r="415" spans="1:7" hidden="1" x14ac:dyDescent="0.2">
      <c r="A415" t="s">
        <v>425</v>
      </c>
      <c r="B415" t="str">
        <f t="shared" si="36"/>
        <v>Dewalt Factory Service Center</v>
      </c>
      <c r="C415" t="str">
        <f t="shared" si="37"/>
        <v>42.92228</v>
      </c>
      <c r="D415" t="str">
        <f t="shared" si="38"/>
        <v>-78.8663458064516</v>
      </c>
      <c r="E415" t="str">
        <f t="shared" si="39"/>
        <v>716-884-6220</v>
      </c>
      <c r="F415" t="str">
        <f t="shared" si="40"/>
        <v>14209</v>
      </c>
      <c r="G415" t="str">
        <f t="shared" si="41"/>
        <v>[ "Dewalt Factory Service Center", 42.92228, -78.8663458064516, '716-884-6220', '14209'],</v>
      </c>
    </row>
    <row r="416" spans="1:7" hidden="1" x14ac:dyDescent="0.2">
      <c r="A416" t="s">
        <v>426</v>
      </c>
      <c r="B416" t="str">
        <f t="shared" si="36"/>
        <v>RadioShack</v>
      </c>
      <c r="C416" t="str">
        <f t="shared" si="37"/>
        <v>43.0941245569268</v>
      </c>
      <c r="D416" t="str">
        <f t="shared" si="38"/>
        <v>-78.9719036349523</v>
      </c>
      <c r="E416" t="str">
        <f t="shared" si="39"/>
        <v>716-297-3333</v>
      </c>
      <c r="F416" t="str">
        <f t="shared" si="40"/>
        <v>14304</v>
      </c>
      <c r="G416" t="str">
        <f t="shared" si="41"/>
        <v>[ "RadioShack", 43.0941245569268, -78.9719036349523, '716-297-3333', '14304'],</v>
      </c>
    </row>
    <row r="417" spans="1:7" hidden="1" x14ac:dyDescent="0.2">
      <c r="A417" t="s">
        <v>427</v>
      </c>
      <c r="B417" t="str">
        <f t="shared" si="36"/>
        <v>Rona Welland</v>
      </c>
      <c r="C417" t="str">
        <f t="shared" si="37"/>
        <v>43.0143557171621</v>
      </c>
      <c r="D417" t="str">
        <f t="shared" si="38"/>
        <v>-79.2291830209854</v>
      </c>
      <c r="E417" t="str">
        <f t="shared" si="39"/>
        <v>905-732-0073</v>
      </c>
      <c r="F417" t="str">
        <f t="shared" si="40"/>
        <v>L3B 0A1</v>
      </c>
      <c r="G417" t="str">
        <f t="shared" si="41"/>
        <v>[ "Rona Welland", 43.0143557171621, -79.2291830209854, '905-732-0073', 'L3B 0A1'],</v>
      </c>
    </row>
    <row r="418" spans="1:7" x14ac:dyDescent="0.2">
      <c r="A418" t="s">
        <v>428</v>
      </c>
      <c r="B418" t="str">
        <f t="shared" si="36"/>
        <v>Staples</v>
      </c>
      <c r="C418" t="str">
        <f t="shared" si="37"/>
        <v>43.1041398492462</v>
      </c>
      <c r="D418" t="str">
        <f t="shared" si="38"/>
        <v>-79.1139305527638</v>
      </c>
      <c r="E418" t="str">
        <f t="shared" si="39"/>
        <v>905-358-0650</v>
      </c>
      <c r="F418" t="str">
        <f t="shared" si="40"/>
        <v>L2E 7K5</v>
      </c>
      <c r="G418" t="str">
        <f t="shared" si="41"/>
        <v>[ "Staples", 43.1041398492462, -79.1139305527638, '905-358-0650', 'L2E 7K5'],</v>
      </c>
    </row>
    <row r="419" spans="1:7" hidden="1" x14ac:dyDescent="0.2">
      <c r="A419" t="s">
        <v>429</v>
      </c>
      <c r="B419" t="str">
        <f t="shared" si="36"/>
        <v>Home Depot</v>
      </c>
      <c r="C419" t="str">
        <f t="shared" si="37"/>
        <v>43.1041398492462</v>
      </c>
      <c r="D419" t="str">
        <f t="shared" si="38"/>
        <v>-79.1139305527638</v>
      </c>
      <c r="E419" t="str">
        <f t="shared" si="39"/>
        <v>905-371-7470</v>
      </c>
      <c r="F419" t="str">
        <f t="shared" si="40"/>
        <v>L2E 7K5</v>
      </c>
      <c r="G419" t="str">
        <f t="shared" si="41"/>
        <v>[ "Home Depot", 43.1041398492462, -79.1139305527638, '905-371-7470', 'L2E 7K5'],</v>
      </c>
    </row>
    <row r="420" spans="1:7" hidden="1" x14ac:dyDescent="0.2">
      <c r="A420" t="s">
        <v>430</v>
      </c>
      <c r="B420" t="str">
        <f t="shared" si="36"/>
        <v>ListenUp! Canada</v>
      </c>
      <c r="C420" t="str">
        <f t="shared" si="37"/>
        <v>42.99222</v>
      </c>
      <c r="D420" t="str">
        <f t="shared" si="38"/>
        <v>-79.24764</v>
      </c>
      <c r="E420" t="str">
        <f t="shared" si="39"/>
        <v>905-734-7300</v>
      </c>
      <c r="F420" t="str">
        <f t="shared" si="40"/>
        <v>L3B 3W5</v>
      </c>
      <c r="G420" t="str">
        <f t="shared" si="41"/>
        <v>[ "ListenUp! Canada", 42.99222, -79.24764, '905-734-7300', 'L3B 3W5'],</v>
      </c>
    </row>
    <row r="421" spans="1:7" hidden="1" x14ac:dyDescent="0.2">
      <c r="A421" t="s">
        <v>431</v>
      </c>
      <c r="B421" t="str">
        <f t="shared" si="36"/>
        <v>Ontario Public Service</v>
      </c>
      <c r="C421" t="str">
        <f t="shared" si="37"/>
        <v>42.9940204820926</v>
      </c>
      <c r="D421" t="str">
        <f t="shared" si="38"/>
        <v>-79.249069578359</v>
      </c>
      <c r="E421" t="str">
        <f t="shared" si="39"/>
        <v>905-735-1660</v>
      </c>
      <c r="F421" t="str">
        <f t="shared" si="40"/>
        <v>L3B 5X6</v>
      </c>
      <c r="G421" t="str">
        <f t="shared" si="41"/>
        <v>[ "Ontario Public Service", 42.9940204820926, -79.249069578359, '905-735-1660', 'L3B 5X6'],</v>
      </c>
    </row>
    <row r="422" spans="1:7" hidden="1" x14ac:dyDescent="0.2">
      <c r="A422" t="s">
        <v>432</v>
      </c>
      <c r="B422" t="str">
        <f t="shared" si="36"/>
        <v>RadioShack</v>
      </c>
      <c r="C422" t="str">
        <f t="shared" si="37"/>
        <v>43.0510285714286</v>
      </c>
      <c r="D422" t="str">
        <f t="shared" si="38"/>
        <v>-78.87809</v>
      </c>
      <c r="E422" t="str">
        <f t="shared" si="39"/>
        <v>716-693-0500</v>
      </c>
      <c r="F422" t="str">
        <f t="shared" si="40"/>
        <v>14120</v>
      </c>
      <c r="G422" t="str">
        <f t="shared" si="41"/>
        <v>[ "RadioShack", 43.0510285714286, -78.87809, '716-693-0500', '14120'],</v>
      </c>
    </row>
    <row r="423" spans="1:7" hidden="1" x14ac:dyDescent="0.2">
      <c r="A423" t="s">
        <v>433</v>
      </c>
      <c r="B423" t="str">
        <f t="shared" si="36"/>
        <v>Drake Lawn &amp; Garden Inc.</v>
      </c>
      <c r="C423" t="str">
        <f t="shared" si="37"/>
        <v>43.09407</v>
      </c>
      <c r="D423" t="str">
        <f t="shared" si="38"/>
        <v>-78.93922</v>
      </c>
      <c r="E423" t="str">
        <f t="shared" si="39"/>
        <v>716-731-1330</v>
      </c>
      <c r="F423" t="str">
        <f t="shared" si="40"/>
        <v>14304</v>
      </c>
      <c r="G423" t="str">
        <f t="shared" si="41"/>
        <v>[ "Drake Lawn &amp; Garden Inc.", 43.09407, -78.93922, '716-731-1330', '14304'],</v>
      </c>
    </row>
    <row r="424" spans="1:7" hidden="1" x14ac:dyDescent="0.2">
      <c r="A424" t="s">
        <v>434</v>
      </c>
      <c r="B424" t="str">
        <f t="shared" si="36"/>
        <v>Valu Home Centers</v>
      </c>
      <c r="C424" t="str">
        <f t="shared" si="37"/>
        <v>43.10931</v>
      </c>
      <c r="D424" t="str">
        <f t="shared" si="38"/>
        <v>-78.9843</v>
      </c>
      <c r="E424" t="str">
        <f t="shared" si="39"/>
        <v>--</v>
      </c>
      <c r="F424" t="str">
        <f t="shared" si="40"/>
        <v>14304</v>
      </c>
      <c r="G424" t="str">
        <f t="shared" si="41"/>
        <v>[ "Valu Home Centers", 43.10931, -78.9843, '--', '14304'],</v>
      </c>
    </row>
    <row r="425" spans="1:7" hidden="1" x14ac:dyDescent="0.2">
      <c r="A425" t="s">
        <v>435</v>
      </c>
      <c r="B425" t="str">
        <f t="shared" si="36"/>
        <v>Valu Home Centers</v>
      </c>
      <c r="C425" t="str">
        <f t="shared" si="37"/>
        <v>42.958335</v>
      </c>
      <c r="D425" t="str">
        <f t="shared" si="38"/>
        <v>-78.83363</v>
      </c>
      <c r="E425" t="str">
        <f t="shared" si="39"/>
        <v>716-835-0677</v>
      </c>
      <c r="F425" t="str">
        <f t="shared" si="40"/>
        <v>14223</v>
      </c>
      <c r="G425" t="str">
        <f t="shared" si="41"/>
        <v>[ "Valu Home Centers", 42.958335, -78.83363, '716-835-0677', '14223'],</v>
      </c>
    </row>
    <row r="426" spans="1:7" x14ac:dyDescent="0.2">
      <c r="A426" t="s">
        <v>436</v>
      </c>
      <c r="B426" t="str">
        <f t="shared" si="36"/>
        <v>Staples</v>
      </c>
      <c r="C426" t="str">
        <f t="shared" si="37"/>
        <v>43.01479</v>
      </c>
      <c r="D426" t="str">
        <f t="shared" si="38"/>
        <v>-79.24987</v>
      </c>
      <c r="E426" t="str">
        <f t="shared" si="39"/>
        <v>905-714-7607</v>
      </c>
      <c r="F426" t="str">
        <f t="shared" si="40"/>
        <v>L3C 5Z4</v>
      </c>
      <c r="G426" t="str">
        <f t="shared" si="41"/>
        <v>[ "Staples", 43.01479, -79.24987, '905-714-7607', 'L3C 5Z4'],</v>
      </c>
    </row>
    <row r="427" spans="1:7" hidden="1" x14ac:dyDescent="0.2">
      <c r="A427" t="s">
        <v>437</v>
      </c>
      <c r="B427" t="str">
        <f t="shared" si="36"/>
        <v>The Source</v>
      </c>
      <c r="C427" t="str">
        <f t="shared" si="37"/>
        <v>43.01479</v>
      </c>
      <c r="D427" t="str">
        <f t="shared" si="38"/>
        <v>-79.24987</v>
      </c>
      <c r="E427" t="str">
        <f t="shared" si="39"/>
        <v>905-735-0887</v>
      </c>
      <c r="F427" t="str">
        <f t="shared" si="40"/>
        <v>L3C 5Z4</v>
      </c>
      <c r="G427" t="str">
        <f t="shared" si="41"/>
        <v>[ "The Source", 43.01479, -79.24987, '905-735-0887', 'L3C 5Z4'],</v>
      </c>
    </row>
    <row r="428" spans="1:7" hidden="1" x14ac:dyDescent="0.2">
      <c r="A428" t="s">
        <v>438</v>
      </c>
      <c r="B428" t="str">
        <f t="shared" si="36"/>
        <v>ListenUp! Canada</v>
      </c>
      <c r="C428" t="str">
        <f t="shared" si="37"/>
        <v>43.1142502173913</v>
      </c>
      <c r="D428" t="str">
        <f t="shared" si="38"/>
        <v>-79.111777173913</v>
      </c>
      <c r="E428" t="str">
        <f t="shared" si="39"/>
        <v>905-374-2792</v>
      </c>
      <c r="F428" t="str">
        <f t="shared" si="40"/>
        <v>L2E 6N1</v>
      </c>
      <c r="G428" t="str">
        <f t="shared" si="41"/>
        <v>[ "ListenUp! Canada", 43.1142502173913, -79.111777173913, '905-374-2792', 'L2E 6N1'],</v>
      </c>
    </row>
    <row r="429" spans="1:7" hidden="1" x14ac:dyDescent="0.2">
      <c r="A429" t="s">
        <v>439</v>
      </c>
      <c r="B429" t="str">
        <f t="shared" si="36"/>
        <v>Dollar General</v>
      </c>
      <c r="C429" t="str">
        <f t="shared" si="37"/>
        <v>42.91461</v>
      </c>
      <c r="D429" t="str">
        <f t="shared" si="38"/>
        <v>-78.83779</v>
      </c>
      <c r="E429" t="str">
        <f t="shared" si="39"/>
        <v>--</v>
      </c>
      <c r="F429" t="str">
        <f t="shared" si="40"/>
        <v>14211</v>
      </c>
      <c r="G429" t="str">
        <f t="shared" si="41"/>
        <v>[ "Dollar General", 42.91461, -78.83779, '--', '14211'],</v>
      </c>
    </row>
    <row r="430" spans="1:7" hidden="1" x14ac:dyDescent="0.2">
      <c r="A430" t="s">
        <v>440</v>
      </c>
      <c r="B430" t="str">
        <f t="shared" si="36"/>
        <v>Valu Home Centers</v>
      </c>
      <c r="C430" t="str">
        <f t="shared" si="37"/>
        <v>43.0601114705882</v>
      </c>
      <c r="D430" t="str">
        <f t="shared" si="38"/>
        <v>-78.8657948529412</v>
      </c>
      <c r="E430" t="str">
        <f t="shared" si="39"/>
        <v>--</v>
      </c>
      <c r="F430" t="str">
        <f t="shared" si="40"/>
        <v>14120</v>
      </c>
      <c r="G430" t="str">
        <f t="shared" si="41"/>
        <v>[ "Valu Home Centers", 43.0601114705882, -78.8657948529412, '--', '14120'],</v>
      </c>
    </row>
    <row r="431" spans="1:7" hidden="1" x14ac:dyDescent="0.2">
      <c r="A431" t="s">
        <v>441</v>
      </c>
      <c r="B431" t="str">
        <f t="shared" si="36"/>
        <v>Kenilworth Electronics Co.</v>
      </c>
      <c r="C431" t="str">
        <f t="shared" si="37"/>
        <v>42.9773606896552</v>
      </c>
      <c r="D431" t="str">
        <f t="shared" si="38"/>
        <v>-78.8231268965517</v>
      </c>
      <c r="E431" t="str">
        <f t="shared" si="39"/>
        <v>716-837-6666</v>
      </c>
      <c r="F431" t="str">
        <f t="shared" si="40"/>
        <v>14223</v>
      </c>
      <c r="G431" t="str">
        <f t="shared" si="41"/>
        <v>[ "Kenilworth Electronics Co.", 42.9773606896552, -78.8231268965517, '716-837-6666', '14223'],</v>
      </c>
    </row>
    <row r="432" spans="1:7" hidden="1" x14ac:dyDescent="0.2">
      <c r="A432" t="s">
        <v>442</v>
      </c>
      <c r="B432" t="str">
        <f t="shared" si="36"/>
        <v>CPR of WNY Tonawanda</v>
      </c>
      <c r="C432" t="str">
        <f t="shared" si="37"/>
        <v>42.98816</v>
      </c>
      <c r="D432" t="str">
        <f t="shared" si="38"/>
        <v>-78.82275</v>
      </c>
      <c r="E432" t="str">
        <f t="shared" si="39"/>
        <v>716-832-4277</v>
      </c>
      <c r="F432" t="str">
        <f t="shared" si="40"/>
        <v>14150</v>
      </c>
      <c r="G432" t="str">
        <f t="shared" si="41"/>
        <v>[ "CPR of WNY Tonawanda", 42.98816, -78.82275, '716-832-4277', '14150'],</v>
      </c>
    </row>
    <row r="433" spans="1:7" hidden="1" x14ac:dyDescent="0.2">
      <c r="A433" t="s">
        <v>443</v>
      </c>
      <c r="B433" t="str">
        <f t="shared" si="36"/>
        <v>Sears</v>
      </c>
      <c r="C433" t="str">
        <f t="shared" si="37"/>
        <v>42.989312</v>
      </c>
      <c r="D433" t="str">
        <f t="shared" si="38"/>
        <v>-78.822522</v>
      </c>
      <c r="E433" t="str">
        <f t="shared" si="39"/>
        <v>716-446-5100</v>
      </c>
      <c r="F433" t="str">
        <f t="shared" si="40"/>
        <v>14226</v>
      </c>
      <c r="G433" t="str">
        <f t="shared" si="41"/>
        <v>[ "Sears", 42.989312, -78.822522, '716-446-5100', '14226'],</v>
      </c>
    </row>
    <row r="434" spans="1:7" hidden="1" x14ac:dyDescent="0.2">
      <c r="A434" t="s">
        <v>444</v>
      </c>
      <c r="B434" t="str">
        <f t="shared" si="36"/>
        <v>RadioShack</v>
      </c>
      <c r="C434" t="str">
        <f t="shared" si="37"/>
        <v>42.95801</v>
      </c>
      <c r="D434" t="str">
        <f t="shared" si="38"/>
        <v>-78.81771</v>
      </c>
      <c r="E434" t="str">
        <f t="shared" si="39"/>
        <v>716-832-8311</v>
      </c>
      <c r="F434" t="str">
        <f t="shared" si="40"/>
        <v>14226</v>
      </c>
      <c r="G434" t="str">
        <f t="shared" si="41"/>
        <v>[ "RadioShack", 42.95801, -78.81771, '716-832-8311', '14226'],</v>
      </c>
    </row>
    <row r="435" spans="1:7" hidden="1" x14ac:dyDescent="0.2">
      <c r="A435" t="s">
        <v>445</v>
      </c>
      <c r="B435" t="str">
        <f t="shared" si="36"/>
        <v>Barnes &amp; Noble</v>
      </c>
      <c r="C435" t="str">
        <f t="shared" si="37"/>
        <v>42.9976371111111</v>
      </c>
      <c r="D435" t="str">
        <f t="shared" si="38"/>
        <v>-78.8223682222222</v>
      </c>
      <c r="E435" t="str">
        <f t="shared" si="39"/>
        <v>716-837-7209</v>
      </c>
      <c r="F435" t="str">
        <f t="shared" si="40"/>
        <v>14228</v>
      </c>
      <c r="G435" t="str">
        <f t="shared" si="41"/>
        <v>[ "Barnes &amp; Noble", 42.9976371111111, -78.8223682222222, '716-837-7209', '14228'],</v>
      </c>
    </row>
    <row r="436" spans="1:7" hidden="1" x14ac:dyDescent="0.2">
      <c r="A436" t="s">
        <v>446</v>
      </c>
      <c r="B436" t="str">
        <f t="shared" si="36"/>
        <v>Lowes</v>
      </c>
      <c r="C436" t="str">
        <f t="shared" si="37"/>
        <v>43.0004893628919</v>
      </c>
      <c r="D436" t="str">
        <f t="shared" si="38"/>
        <v>-78.8223262699096</v>
      </c>
      <c r="E436" t="str">
        <f t="shared" si="39"/>
        <v>716-831-5990</v>
      </c>
      <c r="F436" t="str">
        <f t="shared" si="40"/>
        <v>14228</v>
      </c>
      <c r="G436" t="str">
        <f t="shared" si="41"/>
        <v>[ "Lowes", 43.0004893628919, -78.8223262699096, '716-831-5990', '14228'],</v>
      </c>
    </row>
    <row r="437" spans="1:7" hidden="1" x14ac:dyDescent="0.2">
      <c r="A437" t="s">
        <v>447</v>
      </c>
      <c r="B437" t="str">
        <f t="shared" si="36"/>
        <v>Wegmans</v>
      </c>
      <c r="C437" t="str">
        <f t="shared" si="37"/>
        <v>42.9886017391304</v>
      </c>
      <c r="D437" t="str">
        <f t="shared" si="38"/>
        <v>-78.8172191304348</v>
      </c>
      <c r="E437" t="str">
        <f t="shared" si="39"/>
        <v>716-831-6300</v>
      </c>
      <c r="F437" t="str">
        <f t="shared" si="40"/>
        <v>14226</v>
      </c>
      <c r="G437" t="str">
        <f t="shared" si="41"/>
        <v>[ "Wegmans", 42.9886017391304, -78.8172191304348, '716-831-6300', '14226'],</v>
      </c>
    </row>
    <row r="438" spans="1:7" hidden="1" x14ac:dyDescent="0.2">
      <c r="A438" t="s">
        <v>448</v>
      </c>
      <c r="B438" t="str">
        <f t="shared" si="36"/>
        <v>The Home Depot</v>
      </c>
      <c r="C438" t="str">
        <f t="shared" si="37"/>
        <v>43.010624</v>
      </c>
      <c r="D438" t="str">
        <f t="shared" si="38"/>
        <v>-78.822318</v>
      </c>
      <c r="E438" t="str">
        <f t="shared" si="39"/>
        <v>716-639-9600</v>
      </c>
      <c r="F438" t="str">
        <f t="shared" si="40"/>
        <v>14228</v>
      </c>
      <c r="G438" t="str">
        <f t="shared" si="41"/>
        <v>[ "The Home Depot", 43.010624, -78.822318, '716-639-9600', '14228'],</v>
      </c>
    </row>
    <row r="439" spans="1:7" hidden="1" x14ac:dyDescent="0.2">
      <c r="A439" t="s">
        <v>449</v>
      </c>
      <c r="B439" t="str">
        <f t="shared" si="36"/>
        <v>The Battery Commercial Battery Company</v>
      </c>
      <c r="C439" t="str">
        <f t="shared" si="37"/>
        <v>43.0110638888889</v>
      </c>
      <c r="D439" t="str">
        <f t="shared" si="38"/>
        <v>-78.8223138888889</v>
      </c>
      <c r="E439" t="str">
        <f t="shared" si="39"/>
        <v>716-743-1554</v>
      </c>
      <c r="F439" t="str">
        <f t="shared" si="40"/>
        <v>14150</v>
      </c>
      <c r="G439" t="str">
        <f t="shared" si="41"/>
        <v>[ "The Battery Commercial Battery Company", 43.0110638888889, -78.8223138888889, '716-743-1554', '14150'],</v>
      </c>
    </row>
    <row r="440" spans="1:7" hidden="1" x14ac:dyDescent="0.2">
      <c r="A440" t="s">
        <v>450</v>
      </c>
      <c r="B440" t="str">
        <f t="shared" si="36"/>
        <v>Valu Home Centers</v>
      </c>
      <c r="C440" t="str">
        <f t="shared" si="37"/>
        <v>42.9801228571429</v>
      </c>
      <c r="D440" t="str">
        <f t="shared" si="38"/>
        <v>-78.8123042857143</v>
      </c>
      <c r="E440" t="str">
        <f t="shared" si="39"/>
        <v>716-832-3331</v>
      </c>
      <c r="F440" t="str">
        <f t="shared" si="40"/>
        <v>14226</v>
      </c>
      <c r="G440" t="str">
        <f t="shared" si="41"/>
        <v>[ "Valu Home Centers", 42.9801228571429, -78.8123042857143, '716-832-3331', '14226'],</v>
      </c>
    </row>
    <row r="441" spans="1:7" hidden="1" x14ac:dyDescent="0.2">
      <c r="A441" t="s">
        <v>451</v>
      </c>
      <c r="B441" t="str">
        <f t="shared" si="36"/>
        <v>Hilti</v>
      </c>
      <c r="C441" t="str">
        <f t="shared" si="37"/>
        <v>42.97735</v>
      </c>
      <c r="D441" t="str">
        <f t="shared" si="38"/>
        <v>-78.78386</v>
      </c>
      <c r="E441" t="str">
        <f t="shared" si="39"/>
        <v>716-839-3989</v>
      </c>
      <c r="F441" t="str">
        <f t="shared" si="40"/>
        <v>14226</v>
      </c>
      <c r="G441" t="str">
        <f t="shared" si="41"/>
        <v>[ "Hilti", 42.97735, -78.78386, '716-839-3989', '14226'],</v>
      </c>
    </row>
    <row r="442" spans="1:7" hidden="1" x14ac:dyDescent="0.2">
      <c r="A442" t="s">
        <v>452</v>
      </c>
      <c r="B442" t="str">
        <f t="shared" si="36"/>
        <v>Pharmasave</v>
      </c>
      <c r="C442" t="str">
        <f t="shared" si="37"/>
        <v>43.1245186956522</v>
      </c>
      <c r="D442" t="str">
        <f t="shared" si="38"/>
        <v>-79.2006786956522</v>
      </c>
      <c r="E442" t="str">
        <f t="shared" si="39"/>
        <v>905-227-2511</v>
      </c>
      <c r="F442" t="str">
        <f t="shared" si="40"/>
        <v>L2V 3Y7</v>
      </c>
      <c r="G442" t="str">
        <f t="shared" si="41"/>
        <v>[ "Pharmasave", 43.1245186956522, -79.2006786956522, '905-227-2511', 'L2V 3Y7'],</v>
      </c>
    </row>
    <row r="443" spans="1:7" hidden="1" x14ac:dyDescent="0.2">
      <c r="A443" t="s">
        <v>453</v>
      </c>
      <c r="B443" t="str">
        <f t="shared" si="36"/>
        <v>The Home Depot</v>
      </c>
      <c r="C443" t="str">
        <f t="shared" si="37"/>
        <v>42.9050804209813</v>
      </c>
      <c r="D443" t="str">
        <f t="shared" si="38"/>
        <v>-78.7805894293704</v>
      </c>
      <c r="E443" t="str">
        <f t="shared" si="39"/>
        <v>716-895-6680</v>
      </c>
      <c r="F443" t="str">
        <f t="shared" si="40"/>
        <v>14225</v>
      </c>
      <c r="G443" t="str">
        <f t="shared" si="41"/>
        <v>[ "The Home Depot", 42.9050804209813, -78.7805894293704, '716-895-6680', '14225'],</v>
      </c>
    </row>
    <row r="444" spans="1:7" hidden="1" x14ac:dyDescent="0.2">
      <c r="A444" t="s">
        <v>454</v>
      </c>
      <c r="B444" t="str">
        <f t="shared" si="36"/>
        <v>Saia Communications</v>
      </c>
      <c r="C444" t="str">
        <f t="shared" si="37"/>
        <v>42.8880854545455</v>
      </c>
      <c r="D444" t="str">
        <f t="shared" si="38"/>
        <v>-78.7807954545455</v>
      </c>
      <c r="E444" t="str">
        <f t="shared" si="39"/>
        <v>716-892-2900</v>
      </c>
      <c r="F444" t="str">
        <f t="shared" si="40"/>
        <v>14206</v>
      </c>
      <c r="G444" t="str">
        <f t="shared" si="41"/>
        <v>[ "Saia Communications", 42.8880854545455, -78.7807954545455, '716-892-2900', '14206'],</v>
      </c>
    </row>
    <row r="445" spans="1:7" hidden="1" x14ac:dyDescent="0.2">
      <c r="A445" t="s">
        <v>455</v>
      </c>
      <c r="B445" t="str">
        <f t="shared" si="36"/>
        <v>Hectors Hardware</v>
      </c>
      <c r="C445" t="str">
        <f t="shared" si="37"/>
        <v>42.991042962963</v>
      </c>
      <c r="D445" t="str">
        <f t="shared" si="38"/>
        <v>-78.7550407407407</v>
      </c>
      <c r="E445" t="str">
        <f t="shared" si="39"/>
        <v>716-688-4488</v>
      </c>
      <c r="F445" t="str">
        <f t="shared" si="40"/>
        <v>14221</v>
      </c>
      <c r="G445" t="str">
        <f t="shared" si="41"/>
        <v>[ "Hectors Hardware", 42.991042962963, -78.7550407407407, '716-688-4488', '14221'],</v>
      </c>
    </row>
    <row r="446" spans="1:7" hidden="1" x14ac:dyDescent="0.2">
      <c r="A446" t="s">
        <v>456</v>
      </c>
      <c r="B446" t="str">
        <f t="shared" si="36"/>
        <v>Sears</v>
      </c>
      <c r="C446" t="str">
        <f t="shared" si="37"/>
        <v>42.9088948979592</v>
      </c>
      <c r="D446" t="str">
        <f t="shared" si="38"/>
        <v>-78.7619793877551</v>
      </c>
      <c r="E446" t="str">
        <f t="shared" si="39"/>
        <v>716-686-6276</v>
      </c>
      <c r="F446" t="str">
        <f t="shared" si="40"/>
        <v>14225</v>
      </c>
      <c r="G446" t="str">
        <f t="shared" si="41"/>
        <v>[ "Sears", 42.9088948979592, -78.7619793877551, '716-686-6276', '14225'],</v>
      </c>
    </row>
    <row r="447" spans="1:7" hidden="1" x14ac:dyDescent="0.2">
      <c r="A447" t="s">
        <v>457</v>
      </c>
      <c r="B447" t="str">
        <f t="shared" si="36"/>
        <v>CVS Pharmacy</v>
      </c>
      <c r="C447" t="str">
        <f t="shared" si="37"/>
        <v>43.14327</v>
      </c>
      <c r="D447" t="str">
        <f t="shared" si="38"/>
        <v>-78.88343</v>
      </c>
      <c r="E447" t="str">
        <f t="shared" si="39"/>
        <v>0--</v>
      </c>
      <c r="F447" t="str">
        <f t="shared" si="40"/>
        <v>14132</v>
      </c>
      <c r="G447" t="str">
        <f t="shared" si="41"/>
        <v>[ "CVS Pharmacy", 43.14327, -78.88343, '0--', '14132'],</v>
      </c>
    </row>
    <row r="448" spans="1:7" x14ac:dyDescent="0.2">
      <c r="A448" t="s">
        <v>458</v>
      </c>
      <c r="B448" t="str">
        <f t="shared" si="36"/>
        <v>Best Buy</v>
      </c>
      <c r="C448" t="str">
        <f t="shared" si="37"/>
        <v>42.90886</v>
      </c>
      <c r="D448" t="str">
        <f t="shared" si="38"/>
        <v>-78.76198</v>
      </c>
      <c r="E448" t="str">
        <f t="shared" si="39"/>
        <v>716-681-5406</v>
      </c>
      <c r="F448" t="str">
        <f t="shared" si="40"/>
        <v>14225</v>
      </c>
      <c r="G448" t="str">
        <f t="shared" si="41"/>
        <v>[ "Best Buy", 42.90886, -78.76198, '716-681-5406', '14225'],</v>
      </c>
    </row>
    <row r="449" spans="1:7" hidden="1" x14ac:dyDescent="0.2">
      <c r="A449" t="s">
        <v>459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Ontario Public Service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42.9940204820926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-79.249069578359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905-735-1660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L3B 5X6</v>
      </c>
      <c r="G449" t="str">
        <f t="shared" ref="G449:G512" si="47">"[ "&amp;CHAR(34)&amp;B449&amp;CHAR(34)&amp;", "&amp;C449&amp;", "&amp;D449&amp;", '"&amp;E449&amp;"', '"&amp;F449&amp;"'],"</f>
        <v>[ "Ontario Public Service", 42.9940204820926, -79.249069578359, '905-735-1660', 'L3B 5X6'],</v>
      </c>
    </row>
    <row r="450" spans="1:7" hidden="1" x14ac:dyDescent="0.2">
      <c r="A450" t="s">
        <v>460</v>
      </c>
      <c r="B450" t="str">
        <f t="shared" si="42"/>
        <v>ListenUp! Canada</v>
      </c>
      <c r="C450" t="str">
        <f t="shared" si="43"/>
        <v>42.99222</v>
      </c>
      <c r="D450" t="str">
        <f t="shared" si="44"/>
        <v>-79.24764</v>
      </c>
      <c r="E450" t="str">
        <f t="shared" si="45"/>
        <v>905-734-7300</v>
      </c>
      <c r="F450" t="str">
        <f t="shared" si="46"/>
        <v>L3B 3W5</v>
      </c>
      <c r="G450" t="str">
        <f t="shared" si="47"/>
        <v>[ "ListenUp! Canada", 42.99222, -79.24764, '905-734-7300', 'L3B 3W5'],</v>
      </c>
    </row>
    <row r="451" spans="1:7" hidden="1" x14ac:dyDescent="0.2">
      <c r="A451" t="s">
        <v>461</v>
      </c>
      <c r="B451" t="str">
        <f t="shared" si="42"/>
        <v>The Source</v>
      </c>
      <c r="C451" t="str">
        <f t="shared" si="43"/>
        <v>43.01479</v>
      </c>
      <c r="D451" t="str">
        <f t="shared" si="44"/>
        <v>-79.24987</v>
      </c>
      <c r="E451" t="str">
        <f t="shared" si="45"/>
        <v>905-735-0887</v>
      </c>
      <c r="F451" t="str">
        <f t="shared" si="46"/>
        <v>L3C 5Z4</v>
      </c>
      <c r="G451" t="str">
        <f t="shared" si="47"/>
        <v>[ "The Source", 43.01479, -79.24987, '905-735-0887', 'L3C 5Z4'],</v>
      </c>
    </row>
    <row r="452" spans="1:7" x14ac:dyDescent="0.2">
      <c r="A452" t="s">
        <v>462</v>
      </c>
      <c r="B452" t="str">
        <f t="shared" si="42"/>
        <v>Staples</v>
      </c>
      <c r="C452" t="str">
        <f t="shared" si="43"/>
        <v>43.01479</v>
      </c>
      <c r="D452" t="str">
        <f t="shared" si="44"/>
        <v>-79.24987</v>
      </c>
      <c r="E452" t="str">
        <f t="shared" si="45"/>
        <v>905-714-7607</v>
      </c>
      <c r="F452" t="str">
        <f t="shared" si="46"/>
        <v>L3C 5Z4</v>
      </c>
      <c r="G452" t="str">
        <f t="shared" si="47"/>
        <v>[ "Staples", 43.01479, -79.24987, '905-714-7607', 'L3C 5Z4'],</v>
      </c>
    </row>
    <row r="453" spans="1:7" hidden="1" x14ac:dyDescent="0.2">
      <c r="A453" t="s">
        <v>463</v>
      </c>
      <c r="B453" t="str">
        <f t="shared" si="42"/>
        <v>Rona Welland</v>
      </c>
      <c r="C453" t="str">
        <f t="shared" si="43"/>
        <v>43.0143557171621</v>
      </c>
      <c r="D453" t="str">
        <f t="shared" si="44"/>
        <v>-79.2291830209854</v>
      </c>
      <c r="E453" t="str">
        <f t="shared" si="45"/>
        <v>905-732-0073</v>
      </c>
      <c r="F453" t="str">
        <f t="shared" si="46"/>
        <v>L3B 0A1</v>
      </c>
      <c r="G453" t="str">
        <f t="shared" si="47"/>
        <v>[ "Rona Welland", 43.0143557171621, -79.2291830209854, '905-732-0073', 'L3B 0A1'],</v>
      </c>
    </row>
    <row r="454" spans="1:7" x14ac:dyDescent="0.2">
      <c r="A454" t="s">
        <v>464</v>
      </c>
      <c r="B454" t="str">
        <f t="shared" si="42"/>
        <v>Staples</v>
      </c>
      <c r="C454" t="str">
        <f t="shared" si="43"/>
        <v>43.1763769718819</v>
      </c>
      <c r="D454" t="str">
        <f t="shared" si="44"/>
        <v>-79.7903986495485</v>
      </c>
      <c r="E454" t="str">
        <f t="shared" si="45"/>
        <v>905-692-7215</v>
      </c>
      <c r="F454" t="str">
        <f t="shared" si="46"/>
        <v>L0R 1P0</v>
      </c>
      <c r="G454" t="str">
        <f t="shared" si="47"/>
        <v>[ "Staples", 43.1763769718819, -79.7903986495485, '905-692-7215', 'L0R 1P0'],</v>
      </c>
    </row>
    <row r="455" spans="1:7" hidden="1" x14ac:dyDescent="0.2">
      <c r="A455" t="s">
        <v>465</v>
      </c>
      <c r="B455" t="str">
        <f t="shared" si="42"/>
        <v>Sayer Home Hardware Ltd.</v>
      </c>
      <c r="C455" t="str">
        <f t="shared" si="43"/>
        <v>42.7846446666667</v>
      </c>
      <c r="D455" t="str">
        <f t="shared" si="44"/>
        <v>-80.2006908888889</v>
      </c>
      <c r="E455" t="str">
        <f t="shared" si="45"/>
        <v>905-768-3431</v>
      </c>
      <c r="F455" t="str">
        <f t="shared" si="46"/>
        <v>N0A 1H0</v>
      </c>
      <c r="G455" t="str">
        <f t="shared" si="47"/>
        <v>[ "Sayer Home Hardware Ltd.", 42.7846446666667, -80.2006908888889, '905-768-3431', 'N0A 1H0'],</v>
      </c>
    </row>
    <row r="456" spans="1:7" hidden="1" x14ac:dyDescent="0.2">
      <c r="A456" t="s">
        <v>466</v>
      </c>
      <c r="B456" t="str">
        <f t="shared" si="42"/>
        <v>The Source</v>
      </c>
      <c r="C456" t="str">
        <f t="shared" si="43"/>
        <v>42.836844</v>
      </c>
      <c r="D456" t="str">
        <f t="shared" si="44"/>
        <v>-80.303794</v>
      </c>
      <c r="E456" t="str">
        <f t="shared" si="45"/>
        <v>519-426-4385</v>
      </c>
      <c r="F456" t="str">
        <f t="shared" si="46"/>
        <v>N3Y 2V9</v>
      </c>
      <c r="G456" t="str">
        <f t="shared" si="47"/>
        <v>[ "The Source", 42.836844, -80.303794, '519-426-4385', 'N3Y 2V9'],</v>
      </c>
    </row>
    <row r="457" spans="1:7" hidden="1" x14ac:dyDescent="0.2">
      <c r="A457" t="s">
        <v>467</v>
      </c>
      <c r="B457" t="str">
        <f t="shared" si="42"/>
        <v>ListenUp! Canada</v>
      </c>
      <c r="C457" t="str">
        <f t="shared" si="43"/>
        <v>42.83526</v>
      </c>
      <c r="D457" t="str">
        <f t="shared" si="44"/>
        <v>-80.31054</v>
      </c>
      <c r="E457" t="str">
        <f t="shared" si="45"/>
        <v>519-428-1964</v>
      </c>
      <c r="F457" t="str">
        <f t="shared" si="46"/>
        <v>N3Y 1S8</v>
      </c>
      <c r="G457" t="str">
        <f t="shared" si="47"/>
        <v>[ "ListenUp! Canada", 42.83526, -80.31054, '519-428-1964', 'N3Y 1S8'],</v>
      </c>
    </row>
    <row r="458" spans="1:7" hidden="1" x14ac:dyDescent="0.2">
      <c r="A458" t="s">
        <v>468</v>
      </c>
      <c r="B458" t="str">
        <f t="shared" si="42"/>
        <v>Ministry of Agriculture Food and Rural Affairs</v>
      </c>
      <c r="C458" t="str">
        <f t="shared" si="43"/>
        <v>42.8402495</v>
      </c>
      <c r="D458" t="str">
        <f t="shared" si="44"/>
        <v>-80.3057285</v>
      </c>
      <c r="E458" t="str">
        <f t="shared" si="45"/>
        <v>519-426-7123</v>
      </c>
      <c r="F458" t="str">
        <f t="shared" si="46"/>
        <v>N3Y 4N5</v>
      </c>
      <c r="G458" t="str">
        <f t="shared" si="47"/>
        <v>[ "Ministry of Agriculture Food and Rural Affairs", 42.8402495, -80.3057285, '519-426-7123', 'N3Y 4N5'],</v>
      </c>
    </row>
    <row r="459" spans="1:7" x14ac:dyDescent="0.2">
      <c r="A459" t="s">
        <v>469</v>
      </c>
      <c r="B459" t="str">
        <f t="shared" si="42"/>
        <v>Staples</v>
      </c>
      <c r="C459" t="str">
        <f t="shared" si="43"/>
        <v>42.8461</v>
      </c>
      <c r="D459" t="str">
        <f t="shared" si="44"/>
        <v>-80.30788</v>
      </c>
      <c r="E459" t="str">
        <f t="shared" si="45"/>
        <v>519-426-4060</v>
      </c>
      <c r="F459" t="str">
        <f t="shared" si="46"/>
        <v>N3Y 2M7</v>
      </c>
      <c r="G459" t="str">
        <f t="shared" si="47"/>
        <v>[ "Staples", 42.8461, -80.30788, '519-426-4060', 'N3Y 2M7'],</v>
      </c>
    </row>
    <row r="460" spans="1:7" hidden="1" x14ac:dyDescent="0.2">
      <c r="A460" t="s">
        <v>470</v>
      </c>
      <c r="B460" t="str">
        <f t="shared" si="42"/>
        <v>RONA</v>
      </c>
      <c r="C460" t="str">
        <f t="shared" si="43"/>
        <v>42.852505519481</v>
      </c>
      <c r="D460" t="str">
        <f t="shared" si="44"/>
        <v>-80.3089040584248</v>
      </c>
      <c r="E460" t="str">
        <f t="shared" si="45"/>
        <v>519-426-2740</v>
      </c>
      <c r="F460" t="str">
        <f t="shared" si="46"/>
        <v>N3Y 4N5</v>
      </c>
      <c r="G460" t="str">
        <f t="shared" si="47"/>
        <v>[ "RONA", 42.852505519481, -80.3089040584248, '519-426-2740', 'N3Y 4N5'],</v>
      </c>
    </row>
    <row r="461" spans="1:7" hidden="1" x14ac:dyDescent="0.2">
      <c r="A461" t="s">
        <v>472</v>
      </c>
      <c r="B461" t="str">
        <f t="shared" si="42"/>
        <v>The Source</v>
      </c>
      <c r="C461" t="str">
        <f t="shared" si="43"/>
        <v>42.86217</v>
      </c>
      <c r="D461" t="str">
        <f t="shared" si="44"/>
        <v>-80.72937</v>
      </c>
      <c r="E461" t="str">
        <f t="shared" si="45"/>
        <v>519-842-7916</v>
      </c>
      <c r="F461" t="str">
        <f t="shared" si="46"/>
        <v>N4G 5A7</v>
      </c>
      <c r="G461" t="str">
        <f t="shared" si="47"/>
        <v>[ "The Source", 42.86217, -80.72937, '519-842-7916', 'N4G 5A7'],</v>
      </c>
    </row>
    <row r="462" spans="1:7" x14ac:dyDescent="0.2">
      <c r="A462" t="s">
        <v>473</v>
      </c>
      <c r="B462" t="str">
        <f t="shared" si="42"/>
        <v>Staples</v>
      </c>
      <c r="C462" t="str">
        <f t="shared" si="43"/>
        <v>42.86217</v>
      </c>
      <c r="D462" t="str">
        <f t="shared" si="44"/>
        <v>-80.72937</v>
      </c>
      <c r="E462" t="str">
        <f t="shared" si="45"/>
        <v>519-688-2196</v>
      </c>
      <c r="F462" t="str">
        <f t="shared" si="46"/>
        <v>N4G 5A7</v>
      </c>
      <c r="G462" t="str">
        <f t="shared" si="47"/>
        <v>[ "Staples", 42.86217, -80.72937, '519-688-2196', 'N4G 5A7'],</v>
      </c>
    </row>
    <row r="463" spans="1:7" hidden="1" x14ac:dyDescent="0.2">
      <c r="A463" t="s">
        <v>475</v>
      </c>
      <c r="B463" t="str">
        <f t="shared" si="42"/>
        <v>Home Essentials</v>
      </c>
      <c r="C463" t="str">
        <f t="shared" si="43"/>
        <v>43.355283</v>
      </c>
      <c r="D463" t="str">
        <f t="shared" si="44"/>
        <v>-80.31844</v>
      </c>
      <c r="E463" t="str">
        <f t="shared" si="45"/>
        <v>519-622-6046</v>
      </c>
      <c r="F463" t="str">
        <f t="shared" si="46"/>
        <v>N1S 2L8</v>
      </c>
      <c r="G463" t="str">
        <f t="shared" si="47"/>
        <v>[ "Home Essentials", 43.355283, -80.31844, '519-622-6046', 'N1S 2L8'],</v>
      </c>
    </row>
    <row r="464" spans="1:7" hidden="1" x14ac:dyDescent="0.2">
      <c r="A464" t="s">
        <v>476</v>
      </c>
      <c r="B464" t="str">
        <f t="shared" si="42"/>
        <v>The Source</v>
      </c>
      <c r="C464" t="str">
        <f t="shared" si="43"/>
        <v>43.35466</v>
      </c>
      <c r="D464" t="str">
        <f t="shared" si="44"/>
        <v>-80.28745</v>
      </c>
      <c r="E464" t="str">
        <f t="shared" si="45"/>
        <v>519-623-5210</v>
      </c>
      <c r="F464" t="str">
        <f t="shared" si="46"/>
        <v>N1R 8N8</v>
      </c>
      <c r="G464" t="str">
        <f t="shared" si="47"/>
        <v>[ "The Source", 43.35466, -80.28745, '519-623-5210', 'N1R 8N8'],</v>
      </c>
    </row>
    <row r="465" spans="1:7" hidden="1" x14ac:dyDescent="0.2">
      <c r="A465" t="s">
        <v>477</v>
      </c>
      <c r="B465" t="str">
        <f t="shared" si="42"/>
        <v>ListenUp! Canada</v>
      </c>
      <c r="C465" t="str">
        <f t="shared" si="43"/>
        <v>43.37387</v>
      </c>
      <c r="D465" t="str">
        <f t="shared" si="44"/>
        <v>-80.31864</v>
      </c>
      <c r="E465" t="str">
        <f t="shared" si="45"/>
        <v>519-624-9092</v>
      </c>
      <c r="F465" t="str">
        <f t="shared" si="46"/>
        <v>N1R 8L4</v>
      </c>
      <c r="G465" t="str">
        <f t="shared" si="47"/>
        <v>[ "ListenUp! Canada", 43.37387, -80.31864, '519-624-9092', 'N1R 8L4'],</v>
      </c>
    </row>
    <row r="466" spans="1:7" hidden="1" x14ac:dyDescent="0.2">
      <c r="A466" t="s">
        <v>478</v>
      </c>
      <c r="B466" t="str">
        <f t="shared" si="42"/>
        <v>Princess Auto</v>
      </c>
      <c r="C466" t="str">
        <f t="shared" si="43"/>
        <v>43.37967</v>
      </c>
      <c r="D466" t="str">
        <f t="shared" si="44"/>
        <v>-80.40888</v>
      </c>
      <c r="E466" t="str">
        <f t="shared" si="45"/>
        <v>519-743-0742</v>
      </c>
      <c r="F466" t="str">
        <f t="shared" si="46"/>
        <v>N2P 2N4</v>
      </c>
      <c r="G466" t="str">
        <f t="shared" si="47"/>
        <v>[ "Princess Auto", 43.37967, -80.40888, '519-743-0742', 'N2P 2N4'],</v>
      </c>
    </row>
    <row r="467" spans="1:7" x14ac:dyDescent="0.2">
      <c r="A467" t="s">
        <v>479</v>
      </c>
      <c r="B467" t="str">
        <f t="shared" si="42"/>
        <v>Best Buy</v>
      </c>
      <c r="C467" t="str">
        <f t="shared" si="43"/>
        <v>43.39061</v>
      </c>
      <c r="D467" t="str">
        <f t="shared" si="44"/>
        <v>-80.32256</v>
      </c>
      <c r="E467" t="str">
        <f t="shared" si="45"/>
        <v>--</v>
      </c>
      <c r="F467" t="str">
        <f t="shared" si="46"/>
        <v>N1R 6B3</v>
      </c>
      <c r="G467" t="str">
        <f t="shared" si="47"/>
        <v>[ "Best Buy", 43.39061, -80.32256, '--', 'N1R 6B3'],</v>
      </c>
    </row>
    <row r="468" spans="1:7" hidden="1" x14ac:dyDescent="0.2">
      <c r="A468" t="s">
        <v>480</v>
      </c>
      <c r="B468" t="str">
        <f t="shared" si="42"/>
        <v>The Source</v>
      </c>
      <c r="C468" t="str">
        <f t="shared" si="43"/>
        <v>43.1733746666667</v>
      </c>
      <c r="D468" t="str">
        <f t="shared" si="44"/>
        <v>-80.242096</v>
      </c>
      <c r="E468" t="str">
        <f t="shared" si="45"/>
        <v>519-759-8462</v>
      </c>
      <c r="F468" t="str">
        <f t="shared" si="46"/>
        <v>N3R 6B8</v>
      </c>
      <c r="G468" t="str">
        <f t="shared" si="47"/>
        <v>[ "The Source", 43.1733746666667, -80.242096, '519-759-8462', 'N3R 6B8'],</v>
      </c>
    </row>
    <row r="469" spans="1:7" x14ac:dyDescent="0.2">
      <c r="A469" t="s">
        <v>481</v>
      </c>
      <c r="B469" t="str">
        <f t="shared" si="42"/>
        <v>Staples</v>
      </c>
      <c r="C469" t="str">
        <f t="shared" si="43"/>
        <v>43.1693666109149</v>
      </c>
      <c r="D469" t="str">
        <f t="shared" si="44"/>
        <v>-80.2479792495133</v>
      </c>
      <c r="E469" t="str">
        <f t="shared" si="45"/>
        <v>519-752-3367</v>
      </c>
      <c r="F469" t="str">
        <f t="shared" si="46"/>
        <v>N3R 7C5</v>
      </c>
      <c r="G469" t="str">
        <f t="shared" si="47"/>
        <v>[ "Staples", 43.1693666109149, -80.2479792495133, '519-752-3367', 'N3R 7C5'],</v>
      </c>
    </row>
    <row r="470" spans="1:7" hidden="1" x14ac:dyDescent="0.2">
      <c r="A470" t="s">
        <v>482</v>
      </c>
      <c r="B470" t="str">
        <f t="shared" si="42"/>
        <v>Home Depot</v>
      </c>
      <c r="C470" t="str">
        <f t="shared" si="43"/>
        <v>43.1630392918477</v>
      </c>
      <c r="D470" t="str">
        <f t="shared" si="44"/>
        <v>-80.2414100444489</v>
      </c>
      <c r="E470" t="str">
        <f t="shared" si="45"/>
        <v>519-757-3534</v>
      </c>
      <c r="F470" t="str">
        <f t="shared" si="46"/>
        <v>N3R 7J4</v>
      </c>
      <c r="G470" t="str">
        <f t="shared" si="47"/>
        <v>[ "Home Depot", 43.1630392918477, -80.2414100444489, '519-757-3534', 'N3R 7J4'],</v>
      </c>
    </row>
    <row r="471" spans="1:7" hidden="1" x14ac:dyDescent="0.2">
      <c r="A471" t="s">
        <v>483</v>
      </c>
      <c r="B471" t="str">
        <f t="shared" si="42"/>
        <v>Lowes</v>
      </c>
      <c r="C471" t="str">
        <f t="shared" si="43"/>
        <v>43.155372</v>
      </c>
      <c r="D471" t="str">
        <f t="shared" si="44"/>
        <v>-80.237796</v>
      </c>
      <c r="E471" t="str">
        <f t="shared" si="45"/>
        <v>519-720-2060</v>
      </c>
      <c r="F471" t="str">
        <f t="shared" si="46"/>
        <v>N3S 7R4</v>
      </c>
      <c r="G471" t="str">
        <f t="shared" si="47"/>
        <v>[ "Lowes", 43.155372, -80.237796, '519-720-2060', 'N3S 7R4'],</v>
      </c>
    </row>
    <row r="472" spans="1:7" hidden="1" x14ac:dyDescent="0.2">
      <c r="A472" t="s">
        <v>484</v>
      </c>
      <c r="B472" t="str">
        <f t="shared" si="42"/>
        <v>Princess Auto</v>
      </c>
      <c r="C472" t="str">
        <f t="shared" si="43"/>
        <v>43.155558</v>
      </c>
      <c r="D472" t="str">
        <f t="shared" si="44"/>
        <v>-80.236674</v>
      </c>
      <c r="E472" t="str">
        <f t="shared" si="45"/>
        <v>226-227-9440</v>
      </c>
      <c r="F472" t="str">
        <f t="shared" si="46"/>
        <v>N3S 7R4</v>
      </c>
      <c r="G472" t="str">
        <f t="shared" si="47"/>
        <v>[ "Princess Auto", 43.155558, -80.236674, '226-227-9440', 'N3S 7R4'],</v>
      </c>
    </row>
    <row r="473" spans="1:7" hidden="1" x14ac:dyDescent="0.2">
      <c r="A473" t="s">
        <v>485</v>
      </c>
      <c r="B473" t="str">
        <f t="shared" si="42"/>
        <v>Home Depot</v>
      </c>
      <c r="C473" t="str">
        <f t="shared" si="43"/>
        <v>43.4083843478261</v>
      </c>
      <c r="D473" t="str">
        <f t="shared" si="44"/>
        <v>-80.3258882608696</v>
      </c>
      <c r="E473" t="str">
        <f t="shared" si="45"/>
        <v>519-624-2700</v>
      </c>
      <c r="F473" t="str">
        <f t="shared" si="46"/>
        <v>N1R 8E2</v>
      </c>
      <c r="G473" t="str">
        <f t="shared" si="47"/>
        <v>[ "Home Depot", 43.4083843478261, -80.3258882608696, '519-624-2700', 'N1R 8E2'],</v>
      </c>
    </row>
    <row r="474" spans="1:7" x14ac:dyDescent="0.2">
      <c r="A474" t="s">
        <v>486</v>
      </c>
      <c r="B474" t="str">
        <f t="shared" si="42"/>
        <v>Staples</v>
      </c>
      <c r="C474" t="str">
        <f t="shared" si="43"/>
        <v>43.40852</v>
      </c>
      <c r="D474" t="str">
        <f t="shared" si="44"/>
        <v>-80.32515</v>
      </c>
      <c r="E474" t="str">
        <f t="shared" si="45"/>
        <v>519-622-5280</v>
      </c>
      <c r="F474" t="str">
        <f t="shared" si="46"/>
        <v>N1R 8K5</v>
      </c>
      <c r="G474" t="str">
        <f t="shared" si="47"/>
        <v>[ "Staples", 43.40852, -80.32515, '519-622-5280', 'N1R 8K5'],</v>
      </c>
    </row>
    <row r="475" spans="1:7" hidden="1" x14ac:dyDescent="0.2">
      <c r="A475" t="s">
        <v>487</v>
      </c>
      <c r="B475" t="str">
        <f t="shared" si="42"/>
        <v>Home Depot</v>
      </c>
      <c r="C475" t="str">
        <f t="shared" si="43"/>
        <v>43.40717</v>
      </c>
      <c r="D475" t="str">
        <f t="shared" si="44"/>
        <v>-80.38879</v>
      </c>
      <c r="E475" t="str">
        <f t="shared" si="45"/>
        <v>519-650-3900</v>
      </c>
      <c r="F475" t="str">
        <f t="shared" si="46"/>
        <v>N2P 2J4</v>
      </c>
      <c r="G475" t="str">
        <f t="shared" si="47"/>
        <v>[ "Home Depot", 43.40717, -80.38879, '519-650-3900', 'N2P 2J4'],</v>
      </c>
    </row>
    <row r="476" spans="1:7" hidden="1" x14ac:dyDescent="0.2">
      <c r="A476" t="s">
        <v>488</v>
      </c>
      <c r="B476" t="str">
        <f t="shared" si="42"/>
        <v>RONA</v>
      </c>
      <c r="C476" t="str">
        <f t="shared" si="43"/>
        <v>43.4093093872598</v>
      </c>
      <c r="D476" t="str">
        <f t="shared" si="44"/>
        <v>-80.3206893040419</v>
      </c>
      <c r="E476" t="str">
        <f t="shared" si="45"/>
        <v>519-623-5666</v>
      </c>
      <c r="F476" t="str">
        <f t="shared" si="46"/>
        <v>N1R 8K5</v>
      </c>
      <c r="G476" t="str">
        <f t="shared" si="47"/>
        <v>[ "RONA", 43.4093093872598, -80.3206893040419, '519-623-5666', 'N1R 8K5'],</v>
      </c>
    </row>
    <row r="477" spans="1:7" hidden="1" x14ac:dyDescent="0.2">
      <c r="A477" t="s">
        <v>489</v>
      </c>
      <c r="B477" t="str">
        <f t="shared" si="42"/>
        <v>Franklin Empire</v>
      </c>
      <c r="C477" t="str">
        <f t="shared" si="43"/>
        <v>43.4135169155933</v>
      </c>
      <c r="D477" t="str">
        <f t="shared" si="44"/>
        <v>-80.3784116489889</v>
      </c>
      <c r="E477" t="str">
        <f t="shared" si="45"/>
        <v>519-650-1182</v>
      </c>
      <c r="F477" t="str">
        <f t="shared" si="46"/>
        <v>N3H 4R7</v>
      </c>
      <c r="G477" t="str">
        <f t="shared" si="47"/>
        <v>[ "Franklin Empire", 43.4135169155933, -80.3784116489889, '519-650-1182', 'N3H 4R7'],</v>
      </c>
    </row>
    <row r="478" spans="1:7" hidden="1" x14ac:dyDescent="0.2">
      <c r="A478" t="s">
        <v>490</v>
      </c>
      <c r="B478" t="str">
        <f t="shared" si="42"/>
        <v>ListenUp! Canada</v>
      </c>
      <c r="C478" t="str">
        <f t="shared" si="43"/>
        <v>43.1474446153846</v>
      </c>
      <c r="D478" t="str">
        <f t="shared" si="44"/>
        <v>-80.2361169230769</v>
      </c>
      <c r="E478" t="str">
        <f t="shared" si="45"/>
        <v>519-753-4182</v>
      </c>
      <c r="F478" t="str">
        <f t="shared" si="46"/>
        <v>N3R 4X8</v>
      </c>
      <c r="G478" t="str">
        <f t="shared" si="47"/>
        <v>[ "ListenUp! Canada", 43.1474446153846, -80.2361169230769, '519-753-4182', 'N3R 4X8'],</v>
      </c>
    </row>
    <row r="479" spans="1:7" hidden="1" x14ac:dyDescent="0.2">
      <c r="A479" t="s">
        <v>491</v>
      </c>
      <c r="B479" t="str">
        <f t="shared" si="42"/>
        <v>Sears (Canada)</v>
      </c>
      <c r="C479" t="str">
        <f t="shared" si="43"/>
        <v>43.42337</v>
      </c>
      <c r="D479" t="str">
        <f t="shared" si="44"/>
        <v>-80.4358</v>
      </c>
      <c r="E479" t="str">
        <f t="shared" si="45"/>
        <v>519-894-2300</v>
      </c>
      <c r="F479" t="str">
        <f t="shared" si="46"/>
        <v>N2C 1W9</v>
      </c>
      <c r="G479" t="str">
        <f t="shared" si="47"/>
        <v>[ "Sears (Canada)", 43.42337, -80.4358, '519-894-2300', 'N2C 1W9'],</v>
      </c>
    </row>
    <row r="480" spans="1:7" hidden="1" x14ac:dyDescent="0.2">
      <c r="A480" t="s">
        <v>492</v>
      </c>
      <c r="B480" t="str">
        <f t="shared" si="42"/>
        <v>The Source</v>
      </c>
      <c r="C480" t="str">
        <f t="shared" si="43"/>
        <v>43.42442</v>
      </c>
      <c r="D480" t="str">
        <f t="shared" si="44"/>
        <v>-80.44121</v>
      </c>
      <c r="E480" t="str">
        <f t="shared" si="45"/>
        <v>519-893-2916</v>
      </c>
      <c r="F480" t="str">
        <f t="shared" si="46"/>
        <v>N2C 1X1</v>
      </c>
      <c r="G480" t="str">
        <f t="shared" si="47"/>
        <v>[ "The Source", 43.42442, -80.44121, '519-893-2916', 'N2C 1X1'],</v>
      </c>
    </row>
    <row r="481" spans="1:7" x14ac:dyDescent="0.2">
      <c r="A481" t="s">
        <v>493</v>
      </c>
      <c r="B481" t="str">
        <f t="shared" si="42"/>
        <v>Best Buy</v>
      </c>
      <c r="C481" t="str">
        <f t="shared" si="43"/>
        <v>43.42442</v>
      </c>
      <c r="D481" t="str">
        <f t="shared" si="44"/>
        <v>-80.44121</v>
      </c>
      <c r="E481" t="str">
        <f t="shared" si="45"/>
        <v>--</v>
      </c>
      <c r="F481" t="str">
        <f t="shared" si="46"/>
        <v>N2C 1X1</v>
      </c>
      <c r="G481" t="str">
        <f t="shared" si="47"/>
        <v>[ "Best Buy", 43.42442, -80.44121, '--', 'N2C 1X1'],</v>
      </c>
    </row>
    <row r="482" spans="1:7" hidden="1" x14ac:dyDescent="0.2">
      <c r="A482" t="s">
        <v>494</v>
      </c>
      <c r="B482" t="str">
        <f t="shared" si="42"/>
        <v>MRC Systems Inc.</v>
      </c>
      <c r="C482" t="str">
        <f t="shared" si="43"/>
        <v>43.4234743216091</v>
      </c>
      <c r="D482" t="str">
        <f t="shared" si="44"/>
        <v>-80.4780417587932</v>
      </c>
      <c r="E482" t="str">
        <f t="shared" si="45"/>
        <v>519-749-1763</v>
      </c>
      <c r="F482" t="str">
        <f t="shared" si="46"/>
        <v>N2E 2M7</v>
      </c>
      <c r="G482" t="str">
        <f t="shared" si="47"/>
        <v>[ "MRC Systems Inc.", 43.4234743216091, -80.4780417587932, '519-749-1763', 'N2E 2M7'],</v>
      </c>
    </row>
    <row r="483" spans="1:7" x14ac:dyDescent="0.2">
      <c r="A483" t="s">
        <v>495</v>
      </c>
      <c r="B483" t="str">
        <f t="shared" si="42"/>
        <v>Staples</v>
      </c>
      <c r="C483" t="str">
        <f t="shared" si="43"/>
        <v>43.4243164273263</v>
      </c>
      <c r="D483" t="str">
        <f t="shared" si="44"/>
        <v>-80.4892616533735</v>
      </c>
      <c r="E483" t="str">
        <f t="shared" si="45"/>
        <v>519-571-7420</v>
      </c>
      <c r="F483" t="str">
        <f t="shared" si="46"/>
        <v>N2E 3W7</v>
      </c>
      <c r="G483" t="str">
        <f t="shared" si="47"/>
        <v>[ "Staples", 43.4243164273263, -80.4892616533735, '519-571-7420', 'N2E 3W7'],</v>
      </c>
    </row>
    <row r="484" spans="1:7" hidden="1" x14ac:dyDescent="0.2">
      <c r="A484" t="s">
        <v>496</v>
      </c>
      <c r="B484" t="str">
        <f t="shared" si="42"/>
        <v>Batteries Expert</v>
      </c>
      <c r="C484" t="str">
        <f t="shared" si="43"/>
        <v>43.4316403871121</v>
      </c>
      <c r="D484" t="str">
        <f t="shared" si="44"/>
        <v>-80.4788023226726</v>
      </c>
      <c r="E484" t="str">
        <f t="shared" si="45"/>
        <v>519-578-0938</v>
      </c>
      <c r="F484" t="str">
        <f t="shared" si="46"/>
        <v>N2M 3M4</v>
      </c>
      <c r="G484" t="str">
        <f t="shared" si="47"/>
        <v>[ "Batteries Expert", 43.4316403871121, -80.4788023226726, '519-578-0938', 'N2M 3M4'],</v>
      </c>
    </row>
    <row r="485" spans="1:7" hidden="1" x14ac:dyDescent="0.2">
      <c r="A485" t="s">
        <v>497</v>
      </c>
      <c r="B485" t="str">
        <f t="shared" si="42"/>
        <v>Home Depot</v>
      </c>
      <c r="C485" t="str">
        <f t="shared" si="43"/>
        <v>43.4142537565135</v>
      </c>
      <c r="D485" t="str">
        <f t="shared" si="44"/>
        <v>-80.5141950333888</v>
      </c>
      <c r="E485" t="str">
        <f t="shared" si="45"/>
        <v>519-569-4300</v>
      </c>
      <c r="F485" t="str">
        <f t="shared" si="46"/>
        <v>N2E 4E2</v>
      </c>
      <c r="G485" t="str">
        <f t="shared" si="47"/>
        <v>[ "Home Depot", 43.4142537565135, -80.5141950333888, '519-569-4300', 'N2E 4E2'],</v>
      </c>
    </row>
    <row r="486" spans="1:7" hidden="1" x14ac:dyDescent="0.2">
      <c r="A486" t="s">
        <v>499</v>
      </c>
      <c r="B486" t="str">
        <f t="shared" si="42"/>
        <v>The Source</v>
      </c>
      <c r="C486" t="str">
        <f t="shared" si="43"/>
        <v>43.6381556155065</v>
      </c>
      <c r="D486" t="str">
        <f t="shared" si="44"/>
        <v>-80.027431468731</v>
      </c>
      <c r="E486" t="str">
        <f t="shared" si="45"/>
        <v>519-853-1066</v>
      </c>
      <c r="F486" t="str">
        <f t="shared" si="46"/>
        <v>L7J 2Y5</v>
      </c>
      <c r="G486" t="str">
        <f t="shared" si="47"/>
        <v>[ "The Source", 43.6381556155065, -80.027431468731, '519-853-1066', 'L7J 2Y5'],</v>
      </c>
    </row>
    <row r="487" spans="1:7" hidden="1" x14ac:dyDescent="0.2">
      <c r="A487" t="s">
        <v>500</v>
      </c>
      <c r="B487" t="str">
        <f t="shared" si="42"/>
        <v>City of Guelph HHW Depot</v>
      </c>
      <c r="C487" t="str">
        <f t="shared" si="43"/>
        <v>43.5547519800794</v>
      </c>
      <c r="D487" t="str">
        <f t="shared" si="44"/>
        <v>-80.1998674375443</v>
      </c>
      <c r="E487" t="str">
        <f t="shared" si="45"/>
        <v>519-767-0598</v>
      </c>
      <c r="F487" t="str">
        <f t="shared" si="46"/>
        <v>N1L 1P4</v>
      </c>
      <c r="G487" t="str">
        <f t="shared" si="47"/>
        <v>[ "City of Guelph HHW Depot", 43.5547519800794, -80.1998674375443, '519-767-0598', 'N1L 1P4'],</v>
      </c>
    </row>
    <row r="488" spans="1:7" hidden="1" x14ac:dyDescent="0.2">
      <c r="A488" t="s">
        <v>501</v>
      </c>
      <c r="B488" t="str">
        <f t="shared" si="42"/>
        <v>Deker Electric Ltd</v>
      </c>
      <c r="C488" t="str">
        <f t="shared" si="43"/>
        <v>43.65154</v>
      </c>
      <c r="D488" t="str">
        <f t="shared" si="44"/>
        <v>-79.92861</v>
      </c>
      <c r="E488" t="str">
        <f t="shared" si="45"/>
        <v>905-702-0515</v>
      </c>
      <c r="F488" t="str">
        <f t="shared" si="46"/>
        <v>L7G 4B5</v>
      </c>
      <c r="G488" t="str">
        <f t="shared" si="47"/>
        <v>[ "Deker Electric Ltd", 43.65154, -79.92861, '905-702-0515', 'L7G 4B5'],</v>
      </c>
    </row>
    <row r="489" spans="1:7" hidden="1" x14ac:dyDescent="0.2">
      <c r="A489" t="s">
        <v>502</v>
      </c>
      <c r="B489" t="str">
        <f t="shared" si="42"/>
        <v>The UPS Store</v>
      </c>
      <c r="C489" t="str">
        <f t="shared" si="43"/>
        <v>43.6505627272727</v>
      </c>
      <c r="D489" t="str">
        <f t="shared" si="44"/>
        <v>-79.9088590909091</v>
      </c>
      <c r="E489" t="str">
        <f t="shared" si="45"/>
        <v>905-873-2781</v>
      </c>
      <c r="F489" t="str">
        <f t="shared" si="46"/>
        <v>L7G 5X7</v>
      </c>
      <c r="G489" t="str">
        <f t="shared" si="47"/>
        <v>[ "The UPS Store", 43.6505627272727, -79.9088590909091, '905-873-2781', 'L7G 5X7'],</v>
      </c>
    </row>
    <row r="490" spans="1:7" hidden="1" x14ac:dyDescent="0.2">
      <c r="A490" t="s">
        <v>503</v>
      </c>
      <c r="B490" t="str">
        <f t="shared" si="42"/>
        <v>The Source</v>
      </c>
      <c r="C490" t="str">
        <f t="shared" si="43"/>
        <v>43.6498857142857</v>
      </c>
      <c r="D490" t="str">
        <f t="shared" si="44"/>
        <v>-79.8959142857143</v>
      </c>
      <c r="E490" t="str">
        <f t="shared" si="45"/>
        <v>905-877-8693</v>
      </c>
      <c r="F490" t="str">
        <f t="shared" si="46"/>
        <v>L7G 4B1</v>
      </c>
      <c r="G490" t="str">
        <f t="shared" si="47"/>
        <v>[ "The Source", 43.6498857142857, -79.8959142857143, '905-877-8693', 'L7G 4B1'],</v>
      </c>
    </row>
    <row r="491" spans="1:7" hidden="1" x14ac:dyDescent="0.2">
      <c r="A491" t="s">
        <v>504</v>
      </c>
      <c r="B491" t="str">
        <f t="shared" si="42"/>
        <v>ListenUp! Canada</v>
      </c>
      <c r="C491" t="str">
        <f t="shared" si="43"/>
        <v>43.5605428595857</v>
      </c>
      <c r="D491" t="str">
        <f t="shared" si="44"/>
        <v>-80.2712401819304</v>
      </c>
      <c r="E491" t="str">
        <f t="shared" si="45"/>
        <v>519-767-5500</v>
      </c>
      <c r="F491" t="str">
        <f t="shared" si="46"/>
        <v>N1H 3Z1</v>
      </c>
      <c r="G491" t="str">
        <f t="shared" si="47"/>
        <v>[ "ListenUp! Canada", 43.5605428595857, -80.2712401819304, '519-767-5500', 'N1H 3Z1'],</v>
      </c>
    </row>
    <row r="492" spans="1:7" x14ac:dyDescent="0.2">
      <c r="A492" t="s">
        <v>505</v>
      </c>
      <c r="B492" t="str">
        <f t="shared" si="42"/>
        <v>Staples</v>
      </c>
      <c r="C492" t="str">
        <f t="shared" si="43"/>
        <v>43.5659664168708</v>
      </c>
      <c r="D492" t="str">
        <f t="shared" si="44"/>
        <v>-80.2761626391892</v>
      </c>
      <c r="E492" t="str">
        <f t="shared" si="45"/>
        <v>519-822-2344</v>
      </c>
      <c r="F492" t="str">
        <f t="shared" si="46"/>
        <v>N1H 1G7</v>
      </c>
      <c r="G492" t="str">
        <f t="shared" si="47"/>
        <v>[ "Staples", 43.5659664168708, -80.2761626391892, '519-822-2344', 'N1H 1G7'],</v>
      </c>
    </row>
    <row r="493" spans="1:7" hidden="1" x14ac:dyDescent="0.2">
      <c r="A493" t="s">
        <v>506</v>
      </c>
      <c r="B493" t="str">
        <f t="shared" si="42"/>
        <v>ListenUp! Canada</v>
      </c>
      <c r="C493" t="str">
        <f t="shared" si="43"/>
        <v>43.6495412602003</v>
      </c>
      <c r="D493" t="str">
        <f t="shared" si="44"/>
        <v>-79.8896765710905</v>
      </c>
      <c r="E493" t="str">
        <f t="shared" si="45"/>
        <v>905-702-1945</v>
      </c>
      <c r="F493" t="str">
        <f t="shared" si="46"/>
        <v>L7G 4B5</v>
      </c>
      <c r="G493" t="str">
        <f t="shared" si="47"/>
        <v>[ "ListenUp! Canada", 43.6495412602003, -79.8896765710905, '905-702-1945', 'L7G 4B5'],</v>
      </c>
    </row>
    <row r="494" spans="1:7" hidden="1" x14ac:dyDescent="0.2">
      <c r="A494" t="s">
        <v>507</v>
      </c>
      <c r="B494" t="str">
        <f t="shared" si="42"/>
        <v>Canadian Tire</v>
      </c>
      <c r="C494" t="str">
        <f t="shared" si="43"/>
        <v>43.6493977405453</v>
      </c>
      <c r="D494" t="str">
        <f t="shared" si="44"/>
        <v>-79.8871084649661</v>
      </c>
      <c r="E494" t="str">
        <f t="shared" si="45"/>
        <v>905-877-5289</v>
      </c>
      <c r="F494" t="str">
        <f t="shared" si="46"/>
        <v>L7G 4B3</v>
      </c>
      <c r="G494" t="str">
        <f t="shared" si="47"/>
        <v>[ "Canadian Tire", 43.6493977405453, -79.8871084649661, '905-877-5289', 'L7G 4B3'],</v>
      </c>
    </row>
    <row r="495" spans="1:7" hidden="1" x14ac:dyDescent="0.2">
      <c r="A495" t="s">
        <v>508</v>
      </c>
      <c r="B495" t="str">
        <f t="shared" si="42"/>
        <v>Home Depot</v>
      </c>
      <c r="C495" t="str">
        <f t="shared" si="43"/>
        <v>43.56155</v>
      </c>
      <c r="D495" t="str">
        <f t="shared" si="44"/>
        <v>-80.2822</v>
      </c>
      <c r="E495" t="str">
        <f t="shared" si="45"/>
        <v>519-780-3400</v>
      </c>
      <c r="F495" t="str">
        <f t="shared" si="46"/>
        <v>N1H 1G8</v>
      </c>
      <c r="G495" t="str">
        <f t="shared" si="47"/>
        <v>[ "Home Depot", 43.56155, -80.2822, '519-780-3400', 'N1H 1G8'],</v>
      </c>
    </row>
    <row r="496" spans="1:7" x14ac:dyDescent="0.2">
      <c r="A496" t="s">
        <v>509</v>
      </c>
      <c r="B496" t="str">
        <f t="shared" si="42"/>
        <v>Staples</v>
      </c>
      <c r="C496" t="str">
        <f t="shared" si="43"/>
        <v>43.51797</v>
      </c>
      <c r="D496" t="str">
        <f t="shared" si="44"/>
        <v>-80.23639</v>
      </c>
      <c r="E496" t="str">
        <f t="shared" si="45"/>
        <v>519-763-4205</v>
      </c>
      <c r="F496" t="str">
        <f t="shared" si="46"/>
        <v>N1G 4V9</v>
      </c>
      <c r="G496" t="str">
        <f t="shared" si="47"/>
        <v>[ "Staples", 43.51797, -80.23639, '519-763-4205', 'N1G 4V9'],</v>
      </c>
    </row>
    <row r="497" spans="1:7" hidden="1" x14ac:dyDescent="0.2">
      <c r="A497" t="s">
        <v>510</v>
      </c>
      <c r="B497" t="str">
        <f t="shared" si="42"/>
        <v>The Source</v>
      </c>
      <c r="C497" t="str">
        <f t="shared" si="43"/>
        <v>43.5168533333333</v>
      </c>
      <c r="D497" t="str">
        <f t="shared" si="44"/>
        <v>-80.2378733333333</v>
      </c>
      <c r="E497" t="str">
        <f t="shared" si="45"/>
        <v>519-822-9929</v>
      </c>
      <c r="F497" t="str">
        <f t="shared" si="46"/>
        <v>N1G 2X6</v>
      </c>
      <c r="G497" t="str">
        <f t="shared" si="47"/>
        <v>[ "The Source", 43.5168533333333, -80.2378733333333, '519-822-9929', 'N1G 2X6'],</v>
      </c>
    </row>
    <row r="498" spans="1:7" hidden="1" x14ac:dyDescent="0.2">
      <c r="A498" t="s">
        <v>511</v>
      </c>
      <c r="B498" t="str">
        <f t="shared" si="42"/>
        <v>Canadian Tire</v>
      </c>
      <c r="C498" t="str">
        <f t="shared" si="43"/>
        <v>43.5415727</v>
      </c>
      <c r="D498" t="str">
        <f t="shared" si="44"/>
        <v>-79.8715343</v>
      </c>
      <c r="E498" t="str">
        <f t="shared" si="45"/>
        <v>905-878-2349</v>
      </c>
      <c r="F498" t="str">
        <f t="shared" si="46"/>
        <v>L9T 6R1</v>
      </c>
      <c r="G498" t="str">
        <f t="shared" si="47"/>
        <v>[ "Canadian Tire", 43.5415727, -79.8715343, '905-878-2349', 'L9T 6R1'],</v>
      </c>
    </row>
    <row r="499" spans="1:7" x14ac:dyDescent="0.2">
      <c r="A499" t="s">
        <v>512</v>
      </c>
      <c r="B499" t="str">
        <f t="shared" si="42"/>
        <v>Staples</v>
      </c>
      <c r="C499" t="str">
        <f t="shared" si="43"/>
        <v>43.5417045</v>
      </c>
      <c r="D499" t="str">
        <f t="shared" si="44"/>
        <v>-79.8713099</v>
      </c>
      <c r="E499" t="str">
        <f t="shared" si="45"/>
        <v>905-878-2434</v>
      </c>
      <c r="F499" t="str">
        <f t="shared" si="46"/>
        <v>L9T 6R1</v>
      </c>
      <c r="G499" t="str">
        <f t="shared" si="47"/>
        <v>[ "Staples", 43.5417045, -79.8713099, '905-878-2434', 'L9T 6R1'],</v>
      </c>
    </row>
    <row r="500" spans="1:7" hidden="1" x14ac:dyDescent="0.2">
      <c r="A500" t="s">
        <v>513</v>
      </c>
      <c r="B500" t="str">
        <f t="shared" si="42"/>
        <v>Home Depot</v>
      </c>
      <c r="C500" t="str">
        <f t="shared" si="43"/>
        <v>43.53572</v>
      </c>
      <c r="D500" t="str">
        <f t="shared" si="44"/>
        <v>-79.87415</v>
      </c>
      <c r="E500" t="str">
        <f t="shared" si="45"/>
        <v>905-864-1200</v>
      </c>
      <c r="F500" t="str">
        <f t="shared" si="46"/>
        <v>L9T 0A5</v>
      </c>
      <c r="G500" t="str">
        <f t="shared" si="47"/>
        <v>[ "Home Depot", 43.53572, -79.87415, '905-864-1200', 'L9T 0A5'],</v>
      </c>
    </row>
    <row r="501" spans="1:7" hidden="1" x14ac:dyDescent="0.2">
      <c r="A501" t="s">
        <v>514</v>
      </c>
      <c r="B501" t="str">
        <f t="shared" si="42"/>
        <v>Canadian Tire</v>
      </c>
      <c r="C501" t="str">
        <f t="shared" si="43"/>
        <v>43.6914476674055</v>
      </c>
      <c r="D501" t="str">
        <f t="shared" si="44"/>
        <v>-80.3603031196803</v>
      </c>
      <c r="E501" t="str">
        <f t="shared" si="45"/>
        <v>519-843-3680</v>
      </c>
      <c r="F501" t="str">
        <f t="shared" si="46"/>
        <v>N1M 3N7</v>
      </c>
      <c r="G501" t="str">
        <f t="shared" si="47"/>
        <v>[ "Canadian Tire", 43.6914476674055, -80.3603031196803, '519-843-3680', 'N1M 3N7'],</v>
      </c>
    </row>
    <row r="502" spans="1:7" hidden="1" x14ac:dyDescent="0.2">
      <c r="A502" t="s">
        <v>515</v>
      </c>
      <c r="B502" t="str">
        <f t="shared" si="42"/>
        <v>The Source</v>
      </c>
      <c r="C502" t="str">
        <f t="shared" si="43"/>
        <v>43.6945291057203</v>
      </c>
      <c r="D502" t="str">
        <f t="shared" si="44"/>
        <v>-80.3645413918637</v>
      </c>
      <c r="E502" t="str">
        <f t="shared" si="45"/>
        <v>519-843-2982</v>
      </c>
      <c r="F502" t="str">
        <f t="shared" si="46"/>
        <v>N1M 3N7</v>
      </c>
      <c r="G502" t="str">
        <f t="shared" si="47"/>
        <v>[ "The Source", 43.6945291057203, -80.3645413918637, '519-843-2982', 'N1M 3N7'],</v>
      </c>
    </row>
    <row r="503" spans="1:7" hidden="1" x14ac:dyDescent="0.2">
      <c r="A503" t="s">
        <v>516</v>
      </c>
      <c r="B503" t="str">
        <f t="shared" si="42"/>
        <v>Home Depot</v>
      </c>
      <c r="C503" t="str">
        <f t="shared" si="43"/>
        <v>43.6573580898888</v>
      </c>
      <c r="D503" t="str">
        <f t="shared" si="44"/>
        <v>-79.8165908828266</v>
      </c>
      <c r="E503" t="str">
        <f t="shared" si="45"/>
        <v>905-457-1800</v>
      </c>
      <c r="F503" t="str">
        <f t="shared" si="46"/>
        <v>L6X 0Z8</v>
      </c>
      <c r="G503" t="str">
        <f t="shared" si="47"/>
        <v>[ "Home Depot", 43.6573580898888, -79.8165908828266, '905-457-1800', 'L6X 0Z8'],</v>
      </c>
    </row>
    <row r="504" spans="1:7" hidden="1" x14ac:dyDescent="0.2">
      <c r="A504" t="s">
        <v>518</v>
      </c>
      <c r="B504" t="str">
        <f t="shared" si="42"/>
        <v>Home Depot</v>
      </c>
      <c r="C504" t="str">
        <f t="shared" si="43"/>
        <v>43.11613</v>
      </c>
      <c r="D504" t="str">
        <f t="shared" si="44"/>
        <v>-80.72925</v>
      </c>
      <c r="E504" t="str">
        <f t="shared" si="45"/>
        <v>519-421-5500</v>
      </c>
      <c r="F504" t="str">
        <f t="shared" si="46"/>
        <v>N4V 1B9</v>
      </c>
      <c r="G504" t="str">
        <f t="shared" si="47"/>
        <v>[ "Home Depot", 43.11613, -80.72925, '519-421-5500', 'N4V 1B9'],</v>
      </c>
    </row>
    <row r="505" spans="1:7" hidden="1" x14ac:dyDescent="0.2">
      <c r="A505" t="s">
        <v>519</v>
      </c>
      <c r="B505" t="str">
        <f t="shared" si="42"/>
        <v>K.C.s Repair Centre</v>
      </c>
      <c r="C505" t="str">
        <f t="shared" si="43"/>
        <v>43.2072454545455</v>
      </c>
      <c r="D505" t="str">
        <f t="shared" si="44"/>
        <v>-80.6978127272727</v>
      </c>
      <c r="E505" t="str">
        <f t="shared" si="45"/>
        <v>519-469-3351</v>
      </c>
      <c r="F505" t="str">
        <f t="shared" si="46"/>
        <v>N0J 1M0</v>
      </c>
      <c r="G505" t="str">
        <f t="shared" si="47"/>
        <v>[ "K.C.s Repair Centre", 43.2072454545455, -80.6978127272727, '519-469-3351', 'N0J 1M0'],</v>
      </c>
    </row>
    <row r="506" spans="1:7" x14ac:dyDescent="0.2">
      <c r="A506" t="s">
        <v>520</v>
      </c>
      <c r="B506" t="str">
        <f t="shared" si="42"/>
        <v>Staples</v>
      </c>
      <c r="C506" t="str">
        <f t="shared" si="43"/>
        <v>43.1158086046512</v>
      </c>
      <c r="D506" t="str">
        <f t="shared" si="44"/>
        <v>-80.7378265116279</v>
      </c>
      <c r="E506" t="str">
        <f t="shared" si="45"/>
        <v>519-421-3202</v>
      </c>
      <c r="F506" t="str">
        <f t="shared" si="46"/>
        <v>N4S 9A2</v>
      </c>
      <c r="G506" t="str">
        <f t="shared" si="47"/>
        <v>[ "Staples", 43.1158086046512, -80.7378265116279, '519-421-3202', 'N4S 9A2'],</v>
      </c>
    </row>
    <row r="507" spans="1:7" hidden="1" x14ac:dyDescent="0.2">
      <c r="A507" t="s">
        <v>521</v>
      </c>
      <c r="B507" t="str">
        <f t="shared" si="42"/>
        <v>The Source</v>
      </c>
      <c r="C507" t="str">
        <f t="shared" si="43"/>
        <v>43.1162686666667</v>
      </c>
      <c r="D507" t="str">
        <f t="shared" si="44"/>
        <v>-80.7379913333333</v>
      </c>
      <c r="E507" t="str">
        <f t="shared" si="45"/>
        <v>519-539-3339</v>
      </c>
      <c r="F507" t="str">
        <f t="shared" si="46"/>
        <v>N4S 9A2</v>
      </c>
      <c r="G507" t="str">
        <f t="shared" si="47"/>
        <v>[ "The Source", 43.1162686666667, -80.7379913333333, '519-539-3339', 'N4S 9A2'],</v>
      </c>
    </row>
    <row r="508" spans="1:7" hidden="1" x14ac:dyDescent="0.2">
      <c r="A508" t="s">
        <v>522</v>
      </c>
      <c r="B508" t="str">
        <f t="shared" si="42"/>
        <v>ListenUp! Canada</v>
      </c>
      <c r="C508" t="str">
        <f t="shared" si="43"/>
        <v>43.13</v>
      </c>
      <c r="D508" t="str">
        <f t="shared" si="44"/>
        <v>-80.7573725</v>
      </c>
      <c r="E508" t="str">
        <f t="shared" si="45"/>
        <v>519-537-8361</v>
      </c>
      <c r="F508" t="str">
        <f t="shared" si="46"/>
        <v>N4S 1C2</v>
      </c>
      <c r="G508" t="str">
        <f t="shared" si="47"/>
        <v>[ "ListenUp! Canada", 43.13, -80.7573725, '519-537-8361', 'N4S 1C2'],</v>
      </c>
    </row>
    <row r="509" spans="1:7" x14ac:dyDescent="0.2">
      <c r="A509" t="s">
        <v>523</v>
      </c>
      <c r="B509" t="str">
        <f t="shared" si="42"/>
        <v>Staples</v>
      </c>
      <c r="C509" t="str">
        <f t="shared" si="43"/>
        <v>43.1693666109149</v>
      </c>
      <c r="D509" t="str">
        <f t="shared" si="44"/>
        <v>-80.2479792495133</v>
      </c>
      <c r="E509" t="str">
        <f t="shared" si="45"/>
        <v>519-752-3367</v>
      </c>
      <c r="F509" t="str">
        <f t="shared" si="46"/>
        <v>N3R 7C5</v>
      </c>
      <c r="G509" t="str">
        <f t="shared" si="47"/>
        <v>[ "Staples", 43.1693666109149, -80.2479792495133, '519-752-3367', 'N3R 7C5'],</v>
      </c>
    </row>
    <row r="510" spans="1:7" hidden="1" x14ac:dyDescent="0.2">
      <c r="A510" t="s">
        <v>524</v>
      </c>
      <c r="B510" t="str">
        <f t="shared" si="42"/>
        <v>Home Depot</v>
      </c>
      <c r="C510" t="str">
        <f t="shared" si="43"/>
        <v>43.1630392918477</v>
      </c>
      <c r="D510" t="str">
        <f t="shared" si="44"/>
        <v>-80.2414100444489</v>
      </c>
      <c r="E510" t="str">
        <f t="shared" si="45"/>
        <v>519-757-3534</v>
      </c>
      <c r="F510" t="str">
        <f t="shared" si="46"/>
        <v>N3R 7J4</v>
      </c>
      <c r="G510" t="str">
        <f t="shared" si="47"/>
        <v>[ "Home Depot", 43.1630392918477, -80.2414100444489, '519-757-3534', 'N3R 7J4'],</v>
      </c>
    </row>
    <row r="511" spans="1:7" hidden="1" x14ac:dyDescent="0.2">
      <c r="A511" t="s">
        <v>525</v>
      </c>
      <c r="B511" t="str">
        <f t="shared" si="42"/>
        <v>ListenUp! Canada</v>
      </c>
      <c r="C511" t="str">
        <f t="shared" si="43"/>
        <v>43.1474446153846</v>
      </c>
      <c r="D511" t="str">
        <f t="shared" si="44"/>
        <v>-80.2361169230769</v>
      </c>
      <c r="E511" t="str">
        <f t="shared" si="45"/>
        <v>519-753-4182</v>
      </c>
      <c r="F511" t="str">
        <f t="shared" si="46"/>
        <v>N3R 4X8</v>
      </c>
      <c r="G511" t="str">
        <f t="shared" si="47"/>
        <v>[ "ListenUp! Canada", 43.1474446153846, -80.2361169230769, '519-753-4182', 'N3R 4X8'],</v>
      </c>
    </row>
    <row r="512" spans="1:7" hidden="1" x14ac:dyDescent="0.2">
      <c r="A512" t="s">
        <v>526</v>
      </c>
      <c r="B512" t="str">
        <f t="shared" si="42"/>
        <v>Lowes</v>
      </c>
      <c r="C512" t="str">
        <f t="shared" si="43"/>
        <v>43.155372</v>
      </c>
      <c r="D512" t="str">
        <f t="shared" si="44"/>
        <v>-80.237796</v>
      </c>
      <c r="E512" t="str">
        <f t="shared" si="45"/>
        <v>519-720-2060</v>
      </c>
      <c r="F512" t="str">
        <f t="shared" si="46"/>
        <v>N3S 7R4</v>
      </c>
      <c r="G512" t="str">
        <f t="shared" si="47"/>
        <v>[ "Lowes", 43.155372, -80.237796, '519-720-2060', 'N3S 7R4'],</v>
      </c>
    </row>
    <row r="513" spans="1:7" hidden="1" x14ac:dyDescent="0.2">
      <c r="A513" t="s">
        <v>527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The Source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43.1733746666667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-80.242096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519-759-8462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N3R 6B8</v>
      </c>
      <c r="G513" t="str">
        <f t="shared" ref="G513:G576" si="53">"[ "&amp;CHAR(34)&amp;B513&amp;CHAR(34)&amp;", "&amp;C513&amp;", "&amp;D513&amp;", '"&amp;E513&amp;"', '"&amp;F513&amp;"'],"</f>
        <v>[ "The Source", 43.1733746666667, -80.242096, '519-759-8462', 'N3R 6B8'],</v>
      </c>
    </row>
    <row r="514" spans="1:7" hidden="1" x14ac:dyDescent="0.2">
      <c r="A514" t="s">
        <v>528</v>
      </c>
      <c r="B514" t="str">
        <f t="shared" si="48"/>
        <v>Princess Auto</v>
      </c>
      <c r="C514" t="str">
        <f t="shared" si="49"/>
        <v>43.155558</v>
      </c>
      <c r="D514" t="str">
        <f t="shared" si="50"/>
        <v>-80.236674</v>
      </c>
      <c r="E514" t="str">
        <f t="shared" si="51"/>
        <v>226-227-9440</v>
      </c>
      <c r="F514" t="str">
        <f t="shared" si="52"/>
        <v>N3S 7R4</v>
      </c>
      <c r="G514" t="str">
        <f t="shared" si="53"/>
        <v>[ "Princess Auto", 43.155558, -80.236674, '226-227-9440', 'N3S 7R4'],</v>
      </c>
    </row>
    <row r="515" spans="1:7" hidden="1" x14ac:dyDescent="0.2">
      <c r="A515" t="s">
        <v>530</v>
      </c>
      <c r="B515" t="str">
        <f t="shared" si="48"/>
        <v>ListenUp Canada</v>
      </c>
      <c r="C515" t="str">
        <f t="shared" si="49"/>
        <v>43.0405984210526</v>
      </c>
      <c r="D515" t="str">
        <f t="shared" si="50"/>
        <v>-80.8850492105263</v>
      </c>
      <c r="E515" t="str">
        <f t="shared" si="51"/>
        <v>519-485-1671</v>
      </c>
      <c r="F515" t="str">
        <f t="shared" si="52"/>
        <v>N5C 4B1</v>
      </c>
      <c r="G515" t="str">
        <f t="shared" si="53"/>
        <v>[ "ListenUp Canada", 43.0405984210526, -80.8850492105263, '519-485-1671', 'N5C 4B1'],</v>
      </c>
    </row>
    <row r="516" spans="1:7" hidden="1" x14ac:dyDescent="0.2">
      <c r="A516" t="s">
        <v>531</v>
      </c>
      <c r="B516" t="str">
        <f t="shared" si="48"/>
        <v>Canadian Tire</v>
      </c>
      <c r="C516" t="str">
        <f t="shared" si="49"/>
        <v>43.0416027272727</v>
      </c>
      <c r="D516" t="str">
        <f t="shared" si="50"/>
        <v>-80.8822027272727</v>
      </c>
      <c r="E516" t="str">
        <f t="shared" si="51"/>
        <v>519-485-3900</v>
      </c>
      <c r="F516" t="str">
        <f t="shared" si="52"/>
        <v>N5C 1S5</v>
      </c>
      <c r="G516" t="str">
        <f t="shared" si="53"/>
        <v>[ "Canadian Tire", 43.0416027272727, -80.8822027272727, '519-485-3900', 'N5C 1S5'],</v>
      </c>
    </row>
    <row r="517" spans="1:7" hidden="1" x14ac:dyDescent="0.2">
      <c r="A517" t="s">
        <v>532</v>
      </c>
      <c r="B517" t="str">
        <f t="shared" si="48"/>
        <v>The Source</v>
      </c>
      <c r="C517" t="str">
        <f t="shared" si="49"/>
        <v>42.86217</v>
      </c>
      <c r="D517" t="str">
        <f t="shared" si="50"/>
        <v>-80.72937</v>
      </c>
      <c r="E517" t="str">
        <f t="shared" si="51"/>
        <v>519-842-7916</v>
      </c>
      <c r="F517" t="str">
        <f t="shared" si="52"/>
        <v>N4G 5A7</v>
      </c>
      <c r="G517" t="str">
        <f t="shared" si="53"/>
        <v>[ "The Source", 42.86217, -80.72937, '519-842-7916', 'N4G 5A7'],</v>
      </c>
    </row>
    <row r="518" spans="1:7" x14ac:dyDescent="0.2">
      <c r="A518" t="s">
        <v>533</v>
      </c>
      <c r="B518" t="str">
        <f t="shared" si="48"/>
        <v>Staples</v>
      </c>
      <c r="C518" t="str">
        <f t="shared" si="49"/>
        <v>42.86217</v>
      </c>
      <c r="D518" t="str">
        <f t="shared" si="50"/>
        <v>-80.72937</v>
      </c>
      <c r="E518" t="str">
        <f t="shared" si="51"/>
        <v>519-688-2196</v>
      </c>
      <c r="F518" t="str">
        <f t="shared" si="52"/>
        <v>N4G 5A7</v>
      </c>
      <c r="G518" t="str">
        <f t="shared" si="53"/>
        <v>[ "Staples", 42.86217, -80.72937, '519-688-2196', 'N4G 5A7'],</v>
      </c>
    </row>
    <row r="519" spans="1:7" hidden="1" x14ac:dyDescent="0.2">
      <c r="A519" t="s">
        <v>534</v>
      </c>
      <c r="B519" t="str">
        <f t="shared" si="48"/>
        <v>Canadian Tire</v>
      </c>
      <c r="C519" t="str">
        <f t="shared" si="49"/>
        <v>43.0062405882353</v>
      </c>
      <c r="D519" t="str">
        <f t="shared" si="50"/>
        <v>-81.1704935294118</v>
      </c>
      <c r="E519" t="str">
        <f t="shared" si="51"/>
        <v>519-451-6260</v>
      </c>
      <c r="F519" t="str">
        <f t="shared" si="52"/>
        <v>N5V 4Y5</v>
      </c>
      <c r="G519" t="str">
        <f t="shared" si="53"/>
        <v>[ "Canadian Tire", 43.0062405882353, -81.1704935294118, '519-451-6260', 'N5V 4Y5'],</v>
      </c>
    </row>
    <row r="520" spans="1:7" hidden="1" x14ac:dyDescent="0.2">
      <c r="A520" t="s">
        <v>535</v>
      </c>
      <c r="B520" t="str">
        <f t="shared" si="48"/>
        <v>The Source</v>
      </c>
      <c r="C520" t="str">
        <f t="shared" si="49"/>
        <v>43.00147</v>
      </c>
      <c r="D520" t="str">
        <f t="shared" si="50"/>
        <v>-81.17418</v>
      </c>
      <c r="E520" t="str">
        <f t="shared" si="51"/>
        <v>519-453-2780</v>
      </c>
      <c r="F520" t="str">
        <f t="shared" si="52"/>
        <v>N5V 1P7</v>
      </c>
      <c r="G520" t="str">
        <f t="shared" si="53"/>
        <v>[ "The Source", 43.00147, -81.17418, '519-453-2780', 'N5V 1P7'],</v>
      </c>
    </row>
    <row r="521" spans="1:7" x14ac:dyDescent="0.2">
      <c r="A521" t="s">
        <v>536</v>
      </c>
      <c r="B521" t="str">
        <f t="shared" si="48"/>
        <v>Staples</v>
      </c>
      <c r="C521" t="str">
        <f t="shared" si="49"/>
        <v>43.00526</v>
      </c>
      <c r="D521" t="str">
        <f t="shared" si="50"/>
        <v>-81.17402</v>
      </c>
      <c r="E521" t="str">
        <f t="shared" si="51"/>
        <v>519-659-3428</v>
      </c>
      <c r="F521" t="str">
        <f t="shared" si="52"/>
        <v>N5V 1P7</v>
      </c>
      <c r="G521" t="str">
        <f t="shared" si="53"/>
        <v>[ "Staples", 43.00526, -81.17402, '519-659-3428', 'N5V 1P7'],</v>
      </c>
    </row>
    <row r="522" spans="1:7" hidden="1" x14ac:dyDescent="0.2">
      <c r="A522" t="s">
        <v>537</v>
      </c>
      <c r="B522" t="str">
        <f t="shared" si="48"/>
        <v>Home Depot</v>
      </c>
      <c r="C522" t="str">
        <f t="shared" si="49"/>
        <v>43.00669</v>
      </c>
      <c r="D522" t="str">
        <f t="shared" si="50"/>
        <v>-81.1768</v>
      </c>
      <c r="E522" t="str">
        <f t="shared" si="51"/>
        <v>519-457-5800</v>
      </c>
      <c r="F522" t="str">
        <f t="shared" si="52"/>
        <v>N5W 6H1</v>
      </c>
      <c r="G522" t="str">
        <f t="shared" si="53"/>
        <v>[ "Home Depot", 43.00669, -81.1768, '519-457-5800', 'N5W 6H1'],</v>
      </c>
    </row>
    <row r="523" spans="1:7" hidden="1" x14ac:dyDescent="0.2">
      <c r="A523" t="s">
        <v>538</v>
      </c>
      <c r="B523" t="str">
        <f t="shared" si="48"/>
        <v>DeWalt Factory Service (Canada)</v>
      </c>
      <c r="C523" t="str">
        <f t="shared" si="49"/>
        <v>42.9615917315216</v>
      </c>
      <c r="D523" t="str">
        <f t="shared" si="50"/>
        <v>-81.2186812885449</v>
      </c>
      <c r="E523" t="str">
        <f t="shared" si="51"/>
        <v>519-649-2407</v>
      </c>
      <c r="F523" t="str">
        <f t="shared" si="52"/>
        <v>N5Z 3L1</v>
      </c>
      <c r="G523" t="str">
        <f t="shared" si="53"/>
        <v>[ "DeWalt Factory Service (Canada)", 42.9615917315216, -81.2186812885449, '519-649-2407', 'N5Z 3L1'],</v>
      </c>
    </row>
    <row r="524" spans="1:7" hidden="1" x14ac:dyDescent="0.2">
      <c r="A524" t="s">
        <v>539</v>
      </c>
      <c r="B524" t="str">
        <f t="shared" si="48"/>
        <v>Mountain Equipment Co-op</v>
      </c>
      <c r="C524" t="str">
        <f t="shared" si="49"/>
        <v>42.927951232845</v>
      </c>
      <c r="D524" t="str">
        <f t="shared" si="50"/>
        <v>-81.2188128202866</v>
      </c>
      <c r="E524" t="str">
        <f t="shared" si="51"/>
        <v>519-668-7734</v>
      </c>
      <c r="F524" t="str">
        <f t="shared" si="52"/>
        <v>N6E 1M3</v>
      </c>
      <c r="G524" t="str">
        <f t="shared" si="53"/>
        <v>[ "Mountain Equipment Co-op", 42.927951232845, -81.2188128202866, '519-668-7734', 'N6E 1M3'],</v>
      </c>
    </row>
    <row r="525" spans="1:7" hidden="1" x14ac:dyDescent="0.2">
      <c r="A525" t="s">
        <v>541</v>
      </c>
      <c r="B525" t="str">
        <f t="shared" si="48"/>
        <v>Princess Auto</v>
      </c>
      <c r="C525" t="str">
        <f t="shared" si="49"/>
        <v>42.9248020437138</v>
      </c>
      <c r="D525" t="str">
        <f t="shared" si="50"/>
        <v>-81.2291344937418</v>
      </c>
      <c r="E525" t="str">
        <f t="shared" si="51"/>
        <v>519-649-7001</v>
      </c>
      <c r="F525" t="str">
        <f t="shared" si="52"/>
        <v>N6E 2Z2</v>
      </c>
      <c r="G525" t="str">
        <f t="shared" si="53"/>
        <v>[ "Princess Auto", 42.9248020437138, -81.2291344937418, '519-649-7001', 'N6E 2Z2'],</v>
      </c>
    </row>
    <row r="526" spans="1:7" x14ac:dyDescent="0.2">
      <c r="A526" t="s">
        <v>542</v>
      </c>
      <c r="B526" t="str">
        <f t="shared" si="48"/>
        <v>Staples</v>
      </c>
      <c r="C526" t="str">
        <f t="shared" si="49"/>
        <v>42.936906337748</v>
      </c>
      <c r="D526" t="str">
        <f t="shared" si="50"/>
        <v>-81.2809181670529</v>
      </c>
      <c r="E526" t="str">
        <f t="shared" si="51"/>
        <v>519-690-2049</v>
      </c>
      <c r="F526" t="str">
        <f t="shared" si="52"/>
        <v>N6L 1A6</v>
      </c>
      <c r="G526" t="str">
        <f t="shared" si="53"/>
        <v>[ "Staples", 42.936906337748, -81.2809181670529, '519-690-2049', 'N6L 1A6'],</v>
      </c>
    </row>
    <row r="527" spans="1:7" hidden="1" x14ac:dyDescent="0.2">
      <c r="A527" t="s">
        <v>543</v>
      </c>
      <c r="B527" t="str">
        <f t="shared" si="48"/>
        <v>Home Depot</v>
      </c>
      <c r="C527" t="str">
        <f t="shared" si="49"/>
        <v>42.9381032981888</v>
      </c>
      <c r="D527" t="str">
        <f t="shared" si="50"/>
        <v>-81.2811966905401</v>
      </c>
      <c r="E527" t="str">
        <f t="shared" si="51"/>
        <v>519-691-1400</v>
      </c>
      <c r="F527" t="str">
        <f t="shared" si="52"/>
        <v>N6L 1R4</v>
      </c>
      <c r="G527" t="str">
        <f t="shared" si="53"/>
        <v>[ "Home Depot", 42.9381032981888, -81.2811966905401, '519-691-1400', 'N6L 1R4'],</v>
      </c>
    </row>
    <row r="528" spans="1:7" hidden="1" x14ac:dyDescent="0.2">
      <c r="A528" t="s">
        <v>544</v>
      </c>
      <c r="B528" t="str">
        <f t="shared" si="48"/>
        <v>FCC</v>
      </c>
      <c r="C528" t="str">
        <f t="shared" si="49"/>
        <v>42.93705</v>
      </c>
      <c r="D528" t="str">
        <f t="shared" si="50"/>
        <v>-81.3083131428571</v>
      </c>
      <c r="E528" t="str">
        <f t="shared" si="51"/>
        <v>519-681-2179</v>
      </c>
      <c r="F528" t="str">
        <f t="shared" si="52"/>
        <v>N6P 0C6</v>
      </c>
      <c r="G528" t="str">
        <f t="shared" si="53"/>
        <v>[ "FCC", 42.93705, -81.3083131428571, '519-681-2179', 'N6P 0C6'],</v>
      </c>
    </row>
    <row r="529" spans="1:7" hidden="1" x14ac:dyDescent="0.2">
      <c r="A529" t="s">
        <v>545</v>
      </c>
      <c r="B529" t="str">
        <f t="shared" si="48"/>
        <v>ListenUp! Canada</v>
      </c>
      <c r="C529" t="str">
        <f t="shared" si="49"/>
        <v>42.93903125</v>
      </c>
      <c r="D529" t="str">
        <f t="shared" si="50"/>
        <v>-81.2812578125</v>
      </c>
      <c r="E529" t="str">
        <f t="shared" si="51"/>
        <v>519-668-6279</v>
      </c>
      <c r="F529" t="str">
        <f t="shared" si="52"/>
        <v>N6J 4G8</v>
      </c>
      <c r="G529" t="str">
        <f t="shared" si="53"/>
        <v>[ "ListenUp! Canada", 42.93903125, -81.2812578125, '519-668-6279', 'N6J 4G8'],</v>
      </c>
    </row>
    <row r="530" spans="1:7" hidden="1" x14ac:dyDescent="0.2">
      <c r="A530" t="s">
        <v>546</v>
      </c>
      <c r="B530" t="str">
        <f t="shared" si="48"/>
        <v>Mountain Equipment Co-op</v>
      </c>
      <c r="C530" t="str">
        <f t="shared" si="49"/>
        <v>42.927951232845</v>
      </c>
      <c r="D530" t="str">
        <f t="shared" si="50"/>
        <v>-81.2188128202866</v>
      </c>
      <c r="E530" t="str">
        <f t="shared" si="51"/>
        <v>519-668-7734</v>
      </c>
      <c r="F530" t="str">
        <f t="shared" si="52"/>
        <v>N6E 1M3</v>
      </c>
      <c r="G530" t="str">
        <f t="shared" si="53"/>
        <v>[ "Mountain Equipment Co-op", 42.927951232845, -81.2188128202866, '519-668-7734', 'N6E 1M3'],</v>
      </c>
    </row>
    <row r="531" spans="1:7" hidden="1" x14ac:dyDescent="0.2">
      <c r="A531" t="s">
        <v>547</v>
      </c>
      <c r="B531" t="str">
        <f t="shared" si="48"/>
        <v>RONA</v>
      </c>
      <c r="C531" t="str">
        <f t="shared" si="49"/>
        <v>42.7859033333333</v>
      </c>
      <c r="D531" t="str">
        <f t="shared" si="50"/>
        <v>-81.1773933333333</v>
      </c>
      <c r="E531" t="str">
        <f t="shared" si="51"/>
        <v>519-631-2250</v>
      </c>
      <c r="F531" t="str">
        <f t="shared" si="52"/>
        <v>N5P 1Y8</v>
      </c>
      <c r="G531" t="str">
        <f t="shared" si="53"/>
        <v>[ "RONA", 42.7859033333333, -81.1773933333333, '519-631-2250', 'N5P 1Y8'],</v>
      </c>
    </row>
    <row r="532" spans="1:7" hidden="1" x14ac:dyDescent="0.2">
      <c r="A532" t="s">
        <v>548</v>
      </c>
      <c r="B532" t="str">
        <f t="shared" si="48"/>
        <v>The Source</v>
      </c>
      <c r="C532" t="str">
        <f t="shared" si="49"/>
        <v>42.9316311111111</v>
      </c>
      <c r="D532" t="str">
        <f t="shared" si="50"/>
        <v>-81.2214222222222</v>
      </c>
      <c r="E532" t="str">
        <f t="shared" si="51"/>
        <v>519-681-5914</v>
      </c>
      <c r="F532" t="str">
        <f t="shared" si="52"/>
        <v>N6E 1V4</v>
      </c>
      <c r="G532" t="str">
        <f t="shared" si="53"/>
        <v>[ "The Source", 42.9316311111111, -81.2214222222222, '519-681-5914', 'N6E 1V4'],</v>
      </c>
    </row>
    <row r="533" spans="1:7" x14ac:dyDescent="0.2">
      <c r="A533" t="s">
        <v>549</v>
      </c>
      <c r="B533" t="str">
        <f t="shared" si="48"/>
        <v>Best Buy</v>
      </c>
      <c r="C533" t="str">
        <f t="shared" si="49"/>
        <v>42.93354</v>
      </c>
      <c r="D533" t="str">
        <f t="shared" si="50"/>
        <v>-81.22307</v>
      </c>
      <c r="E533" t="str">
        <f t="shared" si="51"/>
        <v>519-686-2160</v>
      </c>
      <c r="F533" t="str">
        <f t="shared" si="52"/>
        <v>N6E 1M2</v>
      </c>
      <c r="G533" t="str">
        <f t="shared" si="53"/>
        <v>[ "Best Buy", 42.93354, -81.22307, '519-686-2160', 'N6E 1M2'],</v>
      </c>
    </row>
    <row r="534" spans="1:7" x14ac:dyDescent="0.2">
      <c r="A534" t="s">
        <v>550</v>
      </c>
      <c r="B534" t="str">
        <f t="shared" si="48"/>
        <v>Staples</v>
      </c>
      <c r="C534" t="str">
        <f t="shared" si="49"/>
        <v>42.77878</v>
      </c>
      <c r="D534" t="str">
        <f t="shared" si="50"/>
        <v>-81.1723</v>
      </c>
      <c r="E534" t="str">
        <f t="shared" si="51"/>
        <v>519-631-1810</v>
      </c>
      <c r="F534" t="str">
        <f t="shared" si="52"/>
        <v>N5P 1G4</v>
      </c>
      <c r="G534" t="str">
        <f t="shared" si="53"/>
        <v>[ "Staples", 42.77878, -81.1723, '519-631-1810', 'N5P 1G4'],</v>
      </c>
    </row>
    <row r="535" spans="1:7" hidden="1" x14ac:dyDescent="0.2">
      <c r="A535" t="s">
        <v>551</v>
      </c>
      <c r="B535" t="str">
        <f t="shared" si="48"/>
        <v>The Source</v>
      </c>
      <c r="C535" t="str">
        <f t="shared" si="49"/>
        <v>42.77878</v>
      </c>
      <c r="D535" t="str">
        <f t="shared" si="50"/>
        <v>-81.1723</v>
      </c>
      <c r="E535" t="str">
        <f t="shared" si="51"/>
        <v>519-633-8119</v>
      </c>
      <c r="F535" t="str">
        <f t="shared" si="52"/>
        <v>N5P 1G4</v>
      </c>
      <c r="G535" t="str">
        <f t="shared" si="53"/>
        <v>[ "The Source", 42.77878, -81.1723, '519-633-8119', 'N5P 1G4'],</v>
      </c>
    </row>
    <row r="536" spans="1:7" hidden="1" x14ac:dyDescent="0.2">
      <c r="A536" t="s">
        <v>552</v>
      </c>
      <c r="B536" t="str">
        <f t="shared" si="48"/>
        <v>ListenUp! Canada</v>
      </c>
      <c r="C536" t="str">
        <f t="shared" si="49"/>
        <v>42.7752223</v>
      </c>
      <c r="D536" t="str">
        <f t="shared" si="50"/>
        <v>-81.1751688</v>
      </c>
      <c r="E536" t="str">
        <f t="shared" si="51"/>
        <v>519-633-3330</v>
      </c>
      <c r="F536" t="str">
        <f t="shared" si="52"/>
        <v>N5R 4M5</v>
      </c>
      <c r="G536" t="str">
        <f t="shared" si="53"/>
        <v>[ "ListenUp! Canada", 42.7752223, -81.1751688, '519-633-3330', 'N5R 4M5'],</v>
      </c>
    </row>
    <row r="537" spans="1:7" x14ac:dyDescent="0.2">
      <c r="A537" t="s">
        <v>553</v>
      </c>
      <c r="B537" t="str">
        <f t="shared" si="48"/>
        <v>Staples</v>
      </c>
      <c r="C537" t="str">
        <f t="shared" si="49"/>
        <v>42.96328</v>
      </c>
      <c r="D537" t="str">
        <f t="shared" si="50"/>
        <v>-81.23147</v>
      </c>
      <c r="E537" t="str">
        <f t="shared" si="51"/>
        <v>519-645-7042</v>
      </c>
      <c r="F537" t="str">
        <f t="shared" si="52"/>
        <v>N6C 4P6</v>
      </c>
      <c r="G537" t="str">
        <f t="shared" si="53"/>
        <v>[ "Staples", 42.96328, -81.23147, '519-645-7042', 'N6C 4P6'],</v>
      </c>
    </row>
    <row r="538" spans="1:7" hidden="1" x14ac:dyDescent="0.2">
      <c r="A538" t="s">
        <v>554</v>
      </c>
      <c r="B538" t="str">
        <f t="shared" si="48"/>
        <v>DeWalt Factory Service (Canada)</v>
      </c>
      <c r="C538" t="str">
        <f t="shared" si="49"/>
        <v>42.9615917315216</v>
      </c>
      <c r="D538" t="str">
        <f t="shared" si="50"/>
        <v>-81.2186812885449</v>
      </c>
      <c r="E538" t="str">
        <f t="shared" si="51"/>
        <v>519-649-2407</v>
      </c>
      <c r="F538" t="str">
        <f t="shared" si="52"/>
        <v>N5Z 3L1</v>
      </c>
      <c r="G538" t="str">
        <f t="shared" si="53"/>
        <v>[ "DeWalt Factory Service (Canada)", 42.9615917315216, -81.2186812885449, '519-649-2407', 'N5Z 3L1'],</v>
      </c>
    </row>
    <row r="539" spans="1:7" hidden="1" x14ac:dyDescent="0.2">
      <c r="A539" t="s">
        <v>555</v>
      </c>
      <c r="B539" t="str">
        <f t="shared" si="48"/>
        <v>Pharmasave</v>
      </c>
      <c r="C539" t="str">
        <f t="shared" si="49"/>
        <v>42.9713077777778</v>
      </c>
      <c r="D539" t="str">
        <f t="shared" si="50"/>
        <v>-81.2523133333333</v>
      </c>
      <c r="E539" t="str">
        <f t="shared" si="51"/>
        <v>519-438-6600</v>
      </c>
      <c r="F539" t="str">
        <f t="shared" si="52"/>
        <v>N6C 4Y7</v>
      </c>
      <c r="G539" t="str">
        <f t="shared" si="53"/>
        <v>[ "Pharmasave", 42.9713077777778, -81.2523133333333, '519-438-6600', 'N6C 4Y7'],</v>
      </c>
    </row>
    <row r="540" spans="1:7" hidden="1" x14ac:dyDescent="0.2">
      <c r="A540" t="s">
        <v>556</v>
      </c>
      <c r="B540" t="str">
        <f t="shared" si="48"/>
        <v>Henrys</v>
      </c>
      <c r="C540" t="str">
        <f t="shared" si="49"/>
        <v>42.9724794444444</v>
      </c>
      <c r="D540" t="str">
        <f t="shared" si="50"/>
        <v>-81.2382733333333</v>
      </c>
      <c r="E540" t="str">
        <f t="shared" si="51"/>
        <v>519-686-7481</v>
      </c>
      <c r="F540" t="str">
        <f t="shared" si="52"/>
        <v>N6E 3V8</v>
      </c>
      <c r="G540" t="str">
        <f t="shared" si="53"/>
        <v>[ "Henrys", 42.9724794444444, -81.2382733333333, '519-686-7481', 'N6E 3V8'],</v>
      </c>
    </row>
    <row r="541" spans="1:7" hidden="1" x14ac:dyDescent="0.2">
      <c r="A541" t="s">
        <v>557</v>
      </c>
      <c r="B541" t="str">
        <f t="shared" si="48"/>
        <v>Spectrum Communications</v>
      </c>
      <c r="C541" t="str">
        <f t="shared" si="49"/>
        <v>42.9751614941291</v>
      </c>
      <c r="D541" t="str">
        <f t="shared" si="50"/>
        <v>-81.2403128906191</v>
      </c>
      <c r="E541" t="str">
        <f t="shared" si="51"/>
        <v>519-663-2109</v>
      </c>
      <c r="F541" t="str">
        <f t="shared" si="52"/>
        <v>N6B 2K4</v>
      </c>
      <c r="G541" t="str">
        <f t="shared" si="53"/>
        <v>[ "Spectrum Communications", 42.9751614941291, -81.2403128906191, '519-663-2109', 'N6B 2K4'],</v>
      </c>
    </row>
    <row r="542" spans="1:7" hidden="1" x14ac:dyDescent="0.2">
      <c r="A542" t="s">
        <v>558</v>
      </c>
      <c r="B542" t="str">
        <f t="shared" si="48"/>
        <v>Forest City Communications Ltd.</v>
      </c>
      <c r="C542" t="str">
        <f t="shared" si="49"/>
        <v>42.9751614941291</v>
      </c>
      <c r="D542" t="str">
        <f t="shared" si="50"/>
        <v>-81.2403128906191</v>
      </c>
      <c r="E542" t="str">
        <f t="shared" si="51"/>
        <v>519-686-3046</v>
      </c>
      <c r="F542" t="str">
        <f t="shared" si="52"/>
        <v>N6B 2K4</v>
      </c>
      <c r="G542" t="str">
        <f t="shared" si="53"/>
        <v>[ "Forest City Communications Ltd.", 42.9751614941291, -81.2403128906191, '519-686-3046', 'N6B 2K4'],</v>
      </c>
    </row>
    <row r="543" spans="1:7" hidden="1" x14ac:dyDescent="0.2">
      <c r="A543" t="s">
        <v>559</v>
      </c>
      <c r="B543" t="str">
        <f t="shared" si="48"/>
        <v>The Source</v>
      </c>
      <c r="C543" t="str">
        <f t="shared" si="49"/>
        <v>42.983266</v>
      </c>
      <c r="D543" t="str">
        <f t="shared" si="50"/>
        <v>-81.24441</v>
      </c>
      <c r="E543" t="str">
        <f t="shared" si="51"/>
        <v>519-672-9986</v>
      </c>
      <c r="F543" t="str">
        <f t="shared" si="52"/>
        <v>N6A 3N7</v>
      </c>
      <c r="G543" t="str">
        <f t="shared" si="53"/>
        <v>[ "The Source", 42.983266, -81.24441, '519-672-9986', 'N6A 3N7'],</v>
      </c>
    </row>
    <row r="544" spans="1:7" hidden="1" x14ac:dyDescent="0.2">
      <c r="A544" t="s">
        <v>560</v>
      </c>
      <c r="B544" t="str">
        <f t="shared" si="48"/>
        <v>RONA</v>
      </c>
      <c r="C544" t="str">
        <f t="shared" si="49"/>
        <v>42.9911473069883</v>
      </c>
      <c r="D544" t="str">
        <f t="shared" si="50"/>
        <v>-81.3002761337478</v>
      </c>
      <c r="E544" t="str">
        <f t="shared" si="51"/>
        <v>519-471-6621</v>
      </c>
      <c r="F544" t="str">
        <f t="shared" si="52"/>
        <v>N6H 4L1</v>
      </c>
      <c r="G544" t="str">
        <f t="shared" si="53"/>
        <v>[ "RONA", 42.9911473069883, -81.3002761337478, '519-471-6621', 'N6H 4L1'],</v>
      </c>
    </row>
    <row r="545" spans="1:7" hidden="1" x14ac:dyDescent="0.2">
      <c r="A545" t="s">
        <v>561</v>
      </c>
      <c r="B545" t="str">
        <f t="shared" si="48"/>
        <v>Andersons Electronics Inc</v>
      </c>
      <c r="C545" t="str">
        <f t="shared" si="49"/>
        <v>43.00564</v>
      </c>
      <c r="D545" t="str">
        <f t="shared" si="50"/>
        <v>-81.34093</v>
      </c>
      <c r="E545" t="str">
        <f t="shared" si="51"/>
        <v>519-657-2063</v>
      </c>
      <c r="F545" t="str">
        <f t="shared" si="52"/>
        <v>N6H 5L8</v>
      </c>
      <c r="G545" t="str">
        <f t="shared" si="53"/>
        <v>[ "Andersons Electronics Inc", 43.00564, -81.34093, '519-657-2063', 'N6H 5L8'],</v>
      </c>
    </row>
    <row r="546" spans="1:7" hidden="1" x14ac:dyDescent="0.2">
      <c r="A546" t="s">
        <v>562</v>
      </c>
      <c r="B546" t="str">
        <f t="shared" si="48"/>
        <v>Lowes</v>
      </c>
      <c r="C546" t="str">
        <f t="shared" si="49"/>
        <v>43.01158</v>
      </c>
      <c r="D546" t="str">
        <f t="shared" si="50"/>
        <v>-81.33416</v>
      </c>
      <c r="E546" t="str">
        <f t="shared" si="51"/>
        <v>--</v>
      </c>
      <c r="F546" t="str">
        <f t="shared" si="52"/>
        <v>N6G 0E3</v>
      </c>
      <c r="G546" t="str">
        <f t="shared" si="53"/>
        <v>[ "Lowes", 43.01158, -81.33416, '--', 'N6G 0E3'],</v>
      </c>
    </row>
    <row r="547" spans="1:7" x14ac:dyDescent="0.2">
      <c r="A547" t="s">
        <v>563</v>
      </c>
      <c r="B547" t="str">
        <f t="shared" si="48"/>
        <v>Best Buy</v>
      </c>
      <c r="C547" t="str">
        <f t="shared" si="49"/>
        <v>43.01705</v>
      </c>
      <c r="D547" t="str">
        <f t="shared" si="50"/>
        <v>-81.27336</v>
      </c>
      <c r="E547" t="str">
        <f t="shared" si="51"/>
        <v>--</v>
      </c>
      <c r="F547" t="str">
        <f t="shared" si="52"/>
        <v>N6G 3Y9</v>
      </c>
      <c r="G547" t="str">
        <f t="shared" si="53"/>
        <v>[ "Best Buy", 43.01705, -81.27336, '--', 'N6G 3Y9'],</v>
      </c>
    </row>
    <row r="548" spans="1:7" hidden="1" x14ac:dyDescent="0.2">
      <c r="A548" t="s">
        <v>564</v>
      </c>
      <c r="B548" t="str">
        <f t="shared" si="48"/>
        <v>The Source</v>
      </c>
      <c r="C548" t="str">
        <f t="shared" si="49"/>
        <v>43.00147</v>
      </c>
      <c r="D548" t="str">
        <f t="shared" si="50"/>
        <v>-81.17418</v>
      </c>
      <c r="E548" t="str">
        <f t="shared" si="51"/>
        <v>519-453-2780</v>
      </c>
      <c r="F548" t="str">
        <f t="shared" si="52"/>
        <v>N5V 1P7</v>
      </c>
      <c r="G548" t="str">
        <f t="shared" si="53"/>
        <v>[ "The Source", 43.00147, -81.17418, '519-453-2780', 'N5V 1P7'],</v>
      </c>
    </row>
    <row r="549" spans="1:7" x14ac:dyDescent="0.2">
      <c r="A549" t="s">
        <v>565</v>
      </c>
      <c r="B549" t="str">
        <f t="shared" si="48"/>
        <v>Staples</v>
      </c>
      <c r="C549" t="str">
        <f t="shared" si="49"/>
        <v>43.00526</v>
      </c>
      <c r="D549" t="str">
        <f t="shared" si="50"/>
        <v>-81.17402</v>
      </c>
      <c r="E549" t="str">
        <f t="shared" si="51"/>
        <v>519-659-3428</v>
      </c>
      <c r="F549" t="str">
        <f t="shared" si="52"/>
        <v>N5V 1P7</v>
      </c>
      <c r="G549" t="str">
        <f t="shared" si="53"/>
        <v>[ "Staples", 43.00526, -81.17402, '519-659-3428', 'N5V 1P7'],</v>
      </c>
    </row>
    <row r="550" spans="1:7" hidden="1" x14ac:dyDescent="0.2">
      <c r="A550" t="s">
        <v>566</v>
      </c>
      <c r="B550" t="str">
        <f t="shared" si="48"/>
        <v>Home Depot</v>
      </c>
      <c r="C550" t="str">
        <f t="shared" si="49"/>
        <v>43.00669</v>
      </c>
      <c r="D550" t="str">
        <f t="shared" si="50"/>
        <v>-81.1768</v>
      </c>
      <c r="E550" t="str">
        <f t="shared" si="51"/>
        <v>519-457-5800</v>
      </c>
      <c r="F550" t="str">
        <f t="shared" si="52"/>
        <v>N5W 6H1</v>
      </c>
      <c r="G550" t="str">
        <f t="shared" si="53"/>
        <v>[ "Home Depot", 43.00669, -81.1768, '519-457-5800', 'N5W 6H1'],</v>
      </c>
    </row>
    <row r="551" spans="1:7" hidden="1" x14ac:dyDescent="0.2">
      <c r="A551" t="s">
        <v>567</v>
      </c>
      <c r="B551" t="str">
        <f t="shared" si="48"/>
        <v>The Source</v>
      </c>
      <c r="C551" t="str">
        <f t="shared" si="49"/>
        <v>43.02498</v>
      </c>
      <c r="D551" t="str">
        <f t="shared" si="50"/>
        <v>-81.28175</v>
      </c>
      <c r="E551" t="str">
        <f t="shared" si="51"/>
        <v>519-660-1984</v>
      </c>
      <c r="F551" t="str">
        <f t="shared" si="52"/>
        <v>N6G 3Y9</v>
      </c>
      <c r="G551" t="str">
        <f t="shared" si="53"/>
        <v>[ "The Source", 43.02498, -81.28175, '519-660-1984', 'N6G 3Y9'],</v>
      </c>
    </row>
    <row r="552" spans="1:7" hidden="1" x14ac:dyDescent="0.2">
      <c r="A552" t="s">
        <v>568</v>
      </c>
      <c r="B552" t="str">
        <f t="shared" si="48"/>
        <v>ListenUp! Canada</v>
      </c>
      <c r="C552" t="str">
        <f t="shared" si="49"/>
        <v>43.0254633333333</v>
      </c>
      <c r="D552" t="str">
        <f t="shared" si="50"/>
        <v>-81.2820055555556</v>
      </c>
      <c r="E552" t="str">
        <f t="shared" si="51"/>
        <v>519-667-0303</v>
      </c>
      <c r="F552" t="str">
        <f t="shared" si="52"/>
        <v>N6G 2N3</v>
      </c>
      <c r="G552" t="str">
        <f t="shared" si="53"/>
        <v>[ "ListenUp! Canada", 43.0254633333333, -81.2820055555556, '519-667-0303', 'N6G 2N3'],</v>
      </c>
    </row>
    <row r="553" spans="1:7" hidden="1" x14ac:dyDescent="0.2">
      <c r="A553" t="s">
        <v>569</v>
      </c>
      <c r="B553" t="str">
        <f t="shared" si="48"/>
        <v>Canadian Tire</v>
      </c>
      <c r="C553" t="str">
        <f t="shared" si="49"/>
        <v>43.0062405882353</v>
      </c>
      <c r="D553" t="str">
        <f t="shared" si="50"/>
        <v>-81.1704935294118</v>
      </c>
      <c r="E553" t="str">
        <f t="shared" si="51"/>
        <v>519-451-6260</v>
      </c>
      <c r="F553" t="str">
        <f t="shared" si="52"/>
        <v>N5V 4Y5</v>
      </c>
      <c r="G553" t="str">
        <f t="shared" si="53"/>
        <v>[ "Canadian Tire", 43.0062405882353, -81.1704935294118, '519-451-6260', 'N5V 4Y5'],</v>
      </c>
    </row>
    <row r="554" spans="1:7" x14ac:dyDescent="0.2">
      <c r="A554" t="s">
        <v>570</v>
      </c>
      <c r="B554" t="str">
        <f t="shared" si="48"/>
        <v>Staples</v>
      </c>
      <c r="C554" t="str">
        <f t="shared" si="49"/>
        <v>43.0277044897959</v>
      </c>
      <c r="D554" t="str">
        <f t="shared" si="50"/>
        <v>-81.2831842857143</v>
      </c>
      <c r="E554" t="str">
        <f t="shared" si="51"/>
        <v>519-661-0888</v>
      </c>
      <c r="F554" t="str">
        <f t="shared" si="52"/>
        <v>N5X 3Y2</v>
      </c>
      <c r="G554" t="str">
        <f t="shared" si="53"/>
        <v>[ "Staples", 43.0277044897959, -81.2831842857143, '519-661-0888', 'N5X 3Y2'],</v>
      </c>
    </row>
    <row r="555" spans="1:7" hidden="1" x14ac:dyDescent="0.2">
      <c r="A555" t="s">
        <v>571</v>
      </c>
      <c r="B555" t="str">
        <f t="shared" si="48"/>
        <v>Home Depot</v>
      </c>
      <c r="C555" t="str">
        <f t="shared" si="49"/>
        <v>43.034694137931</v>
      </c>
      <c r="D555" t="str">
        <f t="shared" si="50"/>
        <v>-81.2553737931034</v>
      </c>
      <c r="E555" t="str">
        <f t="shared" si="51"/>
        <v>519-850-5900</v>
      </c>
      <c r="F555" t="str">
        <f t="shared" si="52"/>
        <v>N5X 1L1</v>
      </c>
      <c r="G555" t="str">
        <f t="shared" si="53"/>
        <v>[ "Home Depot", 43.034694137931, -81.2553737931034, '519-850-5900', 'N5X 1L1'],</v>
      </c>
    </row>
    <row r="556" spans="1:7" x14ac:dyDescent="0.2">
      <c r="A556" t="s">
        <v>572</v>
      </c>
      <c r="B556" t="str">
        <f t="shared" si="48"/>
        <v>Best Buy</v>
      </c>
      <c r="C556" t="str">
        <f t="shared" si="49"/>
        <v>43.03662</v>
      </c>
      <c r="D556" t="str">
        <f t="shared" si="50"/>
        <v>-81.28786</v>
      </c>
      <c r="E556" t="str">
        <f t="shared" si="51"/>
        <v>519-963-8494</v>
      </c>
      <c r="F556" t="str">
        <f t="shared" si="52"/>
        <v>N5X 3Y2</v>
      </c>
      <c r="G556" t="str">
        <f t="shared" si="53"/>
        <v>[ "Best Buy", 43.03662, -81.28786, '519-963-8494', 'N5X 3Y2'],</v>
      </c>
    </row>
    <row r="557" spans="1:7" hidden="1" x14ac:dyDescent="0.2">
      <c r="A557" t="s">
        <v>573</v>
      </c>
      <c r="B557" t="str">
        <f t="shared" si="48"/>
        <v>Municipality of Dutton/Dunwich</v>
      </c>
      <c r="C557" t="str">
        <f t="shared" si="49"/>
        <v>42.66374</v>
      </c>
      <c r="D557" t="str">
        <f t="shared" si="50"/>
        <v>-81.50269</v>
      </c>
      <c r="E557" t="str">
        <f t="shared" si="51"/>
        <v>519-762-2204</v>
      </c>
      <c r="F557" t="str">
        <f t="shared" si="52"/>
        <v>N0L 1J0</v>
      </c>
      <c r="G557" t="str">
        <f t="shared" si="53"/>
        <v>[ "Municipality of Dutton/Dunwich", 42.66374, -81.50269, '519-762-2204', 'N0L 1J0'],</v>
      </c>
    </row>
    <row r="558" spans="1:7" hidden="1" x14ac:dyDescent="0.2">
      <c r="A558" t="s">
        <v>574</v>
      </c>
      <c r="B558" t="str">
        <f t="shared" si="48"/>
        <v>Dutton Dunwich Community Centre</v>
      </c>
      <c r="C558" t="str">
        <f t="shared" si="49"/>
        <v>42.66185</v>
      </c>
      <c r="D558" t="str">
        <f t="shared" si="50"/>
        <v>-81.50551</v>
      </c>
      <c r="E558" t="str">
        <f t="shared" si="51"/>
        <v>519-762-2204</v>
      </c>
      <c r="F558" t="str">
        <f t="shared" si="52"/>
        <v>N0L 1J0</v>
      </c>
      <c r="G558" t="str">
        <f t="shared" si="53"/>
        <v>[ "Dutton Dunwich Community Centre", 42.66185, -81.50551, '519-762-2204', 'N0L 1J0'],</v>
      </c>
    </row>
    <row r="559" spans="1:7" hidden="1" x14ac:dyDescent="0.2">
      <c r="A559" t="s">
        <v>575</v>
      </c>
      <c r="B559" t="str">
        <f t="shared" si="48"/>
        <v>John Kenneth Galbraith Reference Library</v>
      </c>
      <c r="C559" t="str">
        <f t="shared" si="49"/>
        <v>42.6617606666667</v>
      </c>
      <c r="D559" t="str">
        <f t="shared" si="50"/>
        <v>-81.5026606666667</v>
      </c>
      <c r="E559" t="str">
        <f t="shared" si="51"/>
        <v>519-762-2204</v>
      </c>
      <c r="F559" t="str">
        <f t="shared" si="52"/>
        <v>N0L 1J0</v>
      </c>
      <c r="G559" t="str">
        <f t="shared" si="53"/>
        <v>[ "John Kenneth Galbraith Reference Library", 42.6617606666667, -81.5026606666667, '519-762-2204', 'N0L 1J0'],</v>
      </c>
    </row>
    <row r="560" spans="1:7" hidden="1" x14ac:dyDescent="0.2">
      <c r="A560" t="s">
        <v>576</v>
      </c>
      <c r="B560" t="str">
        <f t="shared" si="48"/>
        <v>Mcnaughton Home Hardware Building Centre</v>
      </c>
      <c r="C560" t="str">
        <f t="shared" si="49"/>
        <v>42.6814763636364</v>
      </c>
      <c r="D560" t="str">
        <f t="shared" si="50"/>
        <v>-81.7933845454545</v>
      </c>
      <c r="E560" t="str">
        <f t="shared" si="51"/>
        <v>519-693-4449</v>
      </c>
      <c r="F560" t="str">
        <f t="shared" si="52"/>
        <v>N0L 1Z0</v>
      </c>
      <c r="G560" t="str">
        <f t="shared" si="53"/>
        <v>[ "Mcnaughton Home Hardware Building Centre", 42.6814763636364, -81.7933845454545, '519-693-4449', 'N0L 1Z0'],</v>
      </c>
    </row>
    <row r="561" spans="1:7" hidden="1" x14ac:dyDescent="0.2">
      <c r="A561" t="s">
        <v>577</v>
      </c>
      <c r="B561" t="str">
        <f t="shared" si="48"/>
        <v>Newbury Community Services</v>
      </c>
      <c r="C561" t="str">
        <f t="shared" si="49"/>
        <v>42.6846520044148</v>
      </c>
      <c r="D561" t="str">
        <f t="shared" si="50"/>
        <v>-81.7995860132445</v>
      </c>
      <c r="E561" t="str">
        <f t="shared" si="51"/>
        <v>519-693-4941</v>
      </c>
      <c r="F561" t="str">
        <f t="shared" si="52"/>
        <v>N0L 1Z0</v>
      </c>
      <c r="G561" t="str">
        <f t="shared" si="53"/>
        <v>[ "Newbury Community Services", 42.6846520044148, -81.7995860132445, '519-693-4941', 'N0L 1Z0'],</v>
      </c>
    </row>
    <row r="562" spans="1:7" x14ac:dyDescent="0.2">
      <c r="A562" t="s">
        <v>578</v>
      </c>
      <c r="B562" t="str">
        <f t="shared" si="48"/>
        <v>Staples</v>
      </c>
      <c r="C562" t="str">
        <f t="shared" si="49"/>
        <v>42.9470654794521</v>
      </c>
      <c r="D562" t="str">
        <f t="shared" si="50"/>
        <v>-81.6128139726027</v>
      </c>
      <c r="E562" t="str">
        <f t="shared" si="51"/>
        <v>519-245-5665</v>
      </c>
      <c r="F562" t="str">
        <f t="shared" si="52"/>
        <v>N7G 2P5</v>
      </c>
      <c r="G562" t="str">
        <f t="shared" si="53"/>
        <v>[ "Staples", 42.9470654794521, -81.6128139726027, '519-245-5665', 'N7G 2P5'],</v>
      </c>
    </row>
    <row r="563" spans="1:7" hidden="1" x14ac:dyDescent="0.2">
      <c r="A563" t="s">
        <v>579</v>
      </c>
      <c r="B563" t="str">
        <f t="shared" si="48"/>
        <v>Spectrum Communications</v>
      </c>
      <c r="C563" t="str">
        <f t="shared" si="49"/>
        <v>42.960192</v>
      </c>
      <c r="D563" t="str">
        <f t="shared" si="50"/>
        <v>-82.357514</v>
      </c>
      <c r="E563" t="str">
        <f t="shared" si="51"/>
        <v>519-332-4224</v>
      </c>
      <c r="F563" t="str">
        <f t="shared" si="52"/>
        <v>N7S 5P1</v>
      </c>
      <c r="G563" t="str">
        <f t="shared" si="53"/>
        <v>[ "Spectrum Communications", 42.960192, -82.357514, '519-332-4224', 'N7S 5P1'],</v>
      </c>
    </row>
    <row r="564" spans="1:7" hidden="1" x14ac:dyDescent="0.2">
      <c r="A564" t="s">
        <v>580</v>
      </c>
      <c r="B564" t="str">
        <f t="shared" si="48"/>
        <v>Gregs Electronics</v>
      </c>
      <c r="C564" t="str">
        <f t="shared" si="49"/>
        <v>42.8141918309859</v>
      </c>
      <c r="D564" t="str">
        <f t="shared" si="50"/>
        <v>-81.9824474647887</v>
      </c>
      <c r="E564" t="str">
        <f t="shared" si="51"/>
        <v>519-844-2442</v>
      </c>
      <c r="F564" t="str">
        <f t="shared" si="52"/>
        <v>N0N 1K0</v>
      </c>
      <c r="G564" t="str">
        <f t="shared" si="53"/>
        <v>[ "Gregs Electronics", 42.8141918309859, -81.9824474647887, '519-844-2442', 'N0N 1K0'],</v>
      </c>
    </row>
    <row r="565" spans="1:7" hidden="1" x14ac:dyDescent="0.2">
      <c r="A565" t="s">
        <v>581</v>
      </c>
      <c r="B565" t="str">
        <f t="shared" si="48"/>
        <v>Lambton County Administration Building</v>
      </c>
      <c r="C565" t="str">
        <f t="shared" si="49"/>
        <v>42.9590421810257</v>
      </c>
      <c r="D565" t="str">
        <f t="shared" si="50"/>
        <v>-82.1184700008745</v>
      </c>
      <c r="E565" t="str">
        <f t="shared" si="51"/>
        <v>519-845-0801</v>
      </c>
      <c r="F565" t="str">
        <f t="shared" si="52"/>
        <v>N0N 1T0</v>
      </c>
      <c r="G565" t="str">
        <f t="shared" si="53"/>
        <v>[ "Lambton County Administration Building", 42.9590421810257, -82.1184700008745, '519-845-0801', 'N0N 1T0'],</v>
      </c>
    </row>
    <row r="566" spans="1:7" x14ac:dyDescent="0.2">
      <c r="A566" t="s">
        <v>582</v>
      </c>
      <c r="B566" t="str">
        <f t="shared" si="48"/>
        <v>Staples</v>
      </c>
      <c r="C566" t="str">
        <f t="shared" si="49"/>
        <v>42.98041</v>
      </c>
      <c r="D566" t="str">
        <f t="shared" si="50"/>
        <v>-82.35197</v>
      </c>
      <c r="E566" t="str">
        <f t="shared" si="51"/>
        <v>519-542-4461</v>
      </c>
      <c r="F566" t="str">
        <f t="shared" si="52"/>
        <v>N7S 1P6</v>
      </c>
      <c r="G566" t="str">
        <f t="shared" si="53"/>
        <v>[ "Staples", 42.98041, -82.35197, '519-542-4461', 'N7S 1P6'],</v>
      </c>
    </row>
    <row r="567" spans="1:7" x14ac:dyDescent="0.2">
      <c r="A567" t="s">
        <v>583</v>
      </c>
      <c r="B567" t="str">
        <f t="shared" si="48"/>
        <v>Staples Canada</v>
      </c>
      <c r="C567" t="str">
        <f t="shared" si="49"/>
        <v>42.98041</v>
      </c>
      <c r="D567" t="str">
        <f t="shared" si="50"/>
        <v>-82.35197</v>
      </c>
      <c r="E567" t="str">
        <f t="shared" si="51"/>
        <v>519-542-3639</v>
      </c>
      <c r="F567" t="str">
        <f t="shared" si="52"/>
        <v>N7S 1P6</v>
      </c>
      <c r="G567" t="str">
        <f t="shared" si="53"/>
        <v>[ "Staples Canada", 42.98041, -82.35197, '519-542-3639', 'N7S 1P6'],</v>
      </c>
    </row>
    <row r="568" spans="1:7" hidden="1" x14ac:dyDescent="0.2">
      <c r="A568" t="s">
        <v>584</v>
      </c>
      <c r="B568" t="str">
        <f t="shared" si="48"/>
        <v>The Source</v>
      </c>
      <c r="C568" t="str">
        <f t="shared" si="49"/>
        <v>42.9803011111111</v>
      </c>
      <c r="D568" t="str">
        <f t="shared" si="50"/>
        <v>-82.3531288888889</v>
      </c>
      <c r="E568" t="str">
        <f t="shared" si="51"/>
        <v>519-541-9543</v>
      </c>
      <c r="F568" t="str">
        <f t="shared" si="52"/>
        <v>N7S 1P8</v>
      </c>
      <c r="G568" t="str">
        <f t="shared" si="53"/>
        <v>[ "The Source", 42.9803011111111, -82.3531288888889, '519-541-9543', 'N7S 1P8'],</v>
      </c>
    </row>
    <row r="569" spans="1:7" hidden="1" x14ac:dyDescent="0.2">
      <c r="A569" t="s">
        <v>585</v>
      </c>
      <c r="B569" t="str">
        <f t="shared" si="48"/>
        <v>Sears (Canada)</v>
      </c>
      <c r="C569" t="str">
        <f t="shared" si="49"/>
        <v>42.9803011111111</v>
      </c>
      <c r="D569" t="str">
        <f t="shared" si="50"/>
        <v>-82.3531288888889</v>
      </c>
      <c r="E569" t="str">
        <f t="shared" si="51"/>
        <v>519-542-2121</v>
      </c>
      <c r="F569" t="str">
        <f t="shared" si="52"/>
        <v>N7S 6L7</v>
      </c>
      <c r="G569" t="str">
        <f t="shared" si="53"/>
        <v>[ "Sears (Canada)", 42.9803011111111, -82.3531288888889, '519-542-2121', 'N7S 6L7'],</v>
      </c>
    </row>
    <row r="570" spans="1:7" hidden="1" x14ac:dyDescent="0.2">
      <c r="A570" t="s">
        <v>586</v>
      </c>
      <c r="B570" t="str">
        <f t="shared" si="48"/>
        <v>The Source</v>
      </c>
      <c r="C570" t="str">
        <f t="shared" si="49"/>
        <v>42.4152357142857</v>
      </c>
      <c r="D570" t="str">
        <f t="shared" si="50"/>
        <v>-82.2002357142857</v>
      </c>
      <c r="E570" t="str">
        <f t="shared" si="51"/>
        <v>519-351-4001</v>
      </c>
      <c r="F570" t="str">
        <f t="shared" si="52"/>
        <v>N7L 3K5</v>
      </c>
      <c r="G570" t="str">
        <f t="shared" si="53"/>
        <v>[ "The Source", 42.4152357142857, -82.2002357142857, '519-351-4001', 'N7L 3K5'],</v>
      </c>
    </row>
    <row r="571" spans="1:7" hidden="1" x14ac:dyDescent="0.2">
      <c r="A571" t="s">
        <v>587</v>
      </c>
      <c r="B571" t="str">
        <f t="shared" si="48"/>
        <v>ListenUp! Canada</v>
      </c>
      <c r="C571" t="str">
        <f t="shared" si="49"/>
        <v>42.4068083</v>
      </c>
      <c r="D571" t="str">
        <f t="shared" si="50"/>
        <v>-82.1923201</v>
      </c>
      <c r="E571" t="str">
        <f t="shared" si="51"/>
        <v>519-351-1810</v>
      </c>
      <c r="F571" t="str">
        <f t="shared" si="52"/>
        <v>N7L 1B5</v>
      </c>
      <c r="G571" t="str">
        <f t="shared" si="53"/>
        <v>[ "ListenUp! Canada", 42.4068083, -82.1923201, '519-351-1810', 'N7L 1B5'],</v>
      </c>
    </row>
    <row r="572" spans="1:7" x14ac:dyDescent="0.2">
      <c r="A572" t="s">
        <v>588</v>
      </c>
      <c r="B572" t="str">
        <f t="shared" si="48"/>
        <v>Staples</v>
      </c>
      <c r="C572" t="str">
        <f t="shared" si="49"/>
        <v>42.4294472916667</v>
      </c>
      <c r="D572" t="str">
        <f t="shared" si="50"/>
        <v>-82.2177283333333</v>
      </c>
      <c r="E572" t="str">
        <f t="shared" si="51"/>
        <v>519-360-1344</v>
      </c>
      <c r="F572" t="str">
        <f t="shared" si="52"/>
        <v>N7L 0E8</v>
      </c>
      <c r="G572" t="str">
        <f t="shared" si="53"/>
        <v>[ "Staples", 42.4294472916667, -82.2177283333333, '519-360-1344', 'N7L 0E8'],</v>
      </c>
    </row>
    <row r="573" spans="1:7" hidden="1" x14ac:dyDescent="0.2">
      <c r="A573" t="s">
        <v>589</v>
      </c>
      <c r="B573" t="str">
        <f t="shared" si="48"/>
        <v>Home Depot</v>
      </c>
      <c r="C573" t="str">
        <f t="shared" si="49"/>
        <v>42.432877979798</v>
      </c>
      <c r="D573" t="str">
        <f t="shared" si="50"/>
        <v>-82.2240496969697</v>
      </c>
      <c r="E573" t="str">
        <f t="shared" si="51"/>
        <v>519-380-2040</v>
      </c>
      <c r="F573" t="str">
        <f t="shared" si="52"/>
        <v>N7M 5J1</v>
      </c>
      <c r="G573" t="str">
        <f t="shared" si="53"/>
        <v>[ "Home Depot", 42.432877979798, -82.2240496969697, '519-380-2040', 'N7M 5J1'],</v>
      </c>
    </row>
    <row r="574" spans="1:7" hidden="1" x14ac:dyDescent="0.2">
      <c r="A574" t="s">
        <v>590</v>
      </c>
      <c r="B574" t="str">
        <f t="shared" si="48"/>
        <v>Chatham-Kent Home Hardware Bldg Ctr</v>
      </c>
      <c r="C574" t="str">
        <f t="shared" si="49"/>
        <v>42.3907847058824</v>
      </c>
      <c r="D574" t="str">
        <f t="shared" si="50"/>
        <v>-82.2059329411765</v>
      </c>
      <c r="E574" t="str">
        <f t="shared" si="51"/>
        <v>519-354-0700</v>
      </c>
      <c r="F574" t="str">
        <f t="shared" si="52"/>
        <v>N7M 3H1</v>
      </c>
      <c r="G574" t="str">
        <f t="shared" si="53"/>
        <v>[ "Chatham-Kent Home Hardware Bldg Ctr", 42.3907847058824, -82.2059329411765, '519-354-0700', 'N7M 3H1'],</v>
      </c>
    </row>
    <row r="575" spans="1:7" hidden="1" x14ac:dyDescent="0.2">
      <c r="A575" t="s">
        <v>592</v>
      </c>
      <c r="B575" t="str">
        <f t="shared" si="48"/>
        <v>Chatham-Kent Home Hardware Bldg Ctr</v>
      </c>
      <c r="C575" t="str">
        <f t="shared" si="49"/>
        <v>42.3907847058824</v>
      </c>
      <c r="D575" t="str">
        <f t="shared" si="50"/>
        <v>-82.2059329411765</v>
      </c>
      <c r="E575" t="str">
        <f t="shared" si="51"/>
        <v>519-354-0700</v>
      </c>
      <c r="F575" t="str">
        <f t="shared" si="52"/>
        <v>N7M 3H1</v>
      </c>
      <c r="G575" t="str">
        <f t="shared" si="53"/>
        <v>[ "Chatham-Kent Home Hardware Bldg Ctr", 42.3907847058824, -82.2059329411765, '519-354-0700', 'N7M 3H1'],</v>
      </c>
    </row>
    <row r="576" spans="1:7" hidden="1" x14ac:dyDescent="0.2">
      <c r="A576" t="s">
        <v>594</v>
      </c>
      <c r="B576" t="str">
        <f t="shared" si="48"/>
        <v>ListenUp! Canada</v>
      </c>
      <c r="C576" t="str">
        <f t="shared" si="49"/>
        <v>42.0384704540773</v>
      </c>
      <c r="D576" t="str">
        <f t="shared" si="50"/>
        <v>-82.7256786274688</v>
      </c>
      <c r="E576" t="str">
        <f t="shared" si="51"/>
        <v>519-733-3331</v>
      </c>
      <c r="F576" t="str">
        <f t="shared" si="52"/>
        <v>N9Y 1A7</v>
      </c>
      <c r="G576" t="str">
        <f t="shared" si="53"/>
        <v>[ "ListenUp! Canada", 42.0384704540773, -82.7256786274688, '519-733-3331', 'N9Y 1A7'],</v>
      </c>
    </row>
    <row r="577" spans="1:7" hidden="1" x14ac:dyDescent="0.2">
      <c r="A577" t="s">
        <v>595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Ontario Clean Water Agency - Essex East (North) Hub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42.2899317647059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-82.7344741176471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519-727-6256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N0R 1A0</v>
      </c>
      <c r="G577" t="str">
        <f t="shared" ref="G577:G640" si="59">"[ "&amp;CHAR(34)&amp;B577&amp;CHAR(34)&amp;", "&amp;C577&amp;", "&amp;D577&amp;", '"&amp;E577&amp;"', '"&amp;F577&amp;"'],"</f>
        <v>[ "Ontario Clean Water Agency - Essex East (North) Hub", 42.2899317647059, -82.7344741176471, '519-727-6256', 'N0R 1A0'],</v>
      </c>
    </row>
    <row r="578" spans="1:7" hidden="1" x14ac:dyDescent="0.2">
      <c r="A578" t="s">
        <v>596</v>
      </c>
      <c r="B578" t="str">
        <f t="shared" si="54"/>
        <v>RONA</v>
      </c>
      <c r="C578" t="str">
        <f t="shared" si="55"/>
        <v>42.0475540404885</v>
      </c>
      <c r="D578" t="str">
        <f t="shared" si="56"/>
        <v>-82.6224780931071</v>
      </c>
      <c r="E578" t="str">
        <f t="shared" si="57"/>
        <v>519-322-4908</v>
      </c>
      <c r="F578" t="str">
        <f t="shared" si="58"/>
        <v>N8H 4H3</v>
      </c>
      <c r="G578" t="str">
        <f t="shared" si="59"/>
        <v>[ "RONA", 42.0475540404885, -82.6224780931071, '519-322-4908', 'N8H 4H3'],</v>
      </c>
    </row>
    <row r="579" spans="1:7" hidden="1" x14ac:dyDescent="0.2">
      <c r="A579" t="s">
        <v>597</v>
      </c>
      <c r="B579" t="str">
        <f t="shared" si="54"/>
        <v>The Source</v>
      </c>
      <c r="C579" t="str">
        <f t="shared" si="55"/>
        <v>42.0376591564033</v>
      </c>
      <c r="D579" t="str">
        <f t="shared" si="56"/>
        <v>-82.6008447851261</v>
      </c>
      <c r="E579" t="str">
        <f t="shared" si="57"/>
        <v>519-326-5009</v>
      </c>
      <c r="F579" t="str">
        <f t="shared" si="58"/>
        <v>N8H 3C4</v>
      </c>
      <c r="G579" t="str">
        <f t="shared" si="59"/>
        <v>[ "The Source", 42.0376591564033, -82.6008447851261, '519-326-5009', 'N8H 3C4'],</v>
      </c>
    </row>
    <row r="580" spans="1:7" x14ac:dyDescent="0.2">
      <c r="A580" t="s">
        <v>598</v>
      </c>
      <c r="B580" t="str">
        <f t="shared" si="54"/>
        <v>Staples</v>
      </c>
      <c r="C580" t="str">
        <f t="shared" si="55"/>
        <v>42.0337584782609</v>
      </c>
      <c r="D580" t="str">
        <f t="shared" si="56"/>
        <v>-82.5972702173913</v>
      </c>
      <c r="E580" t="str">
        <f t="shared" si="57"/>
        <v>519-324-1370</v>
      </c>
      <c r="F580" t="str">
        <f t="shared" si="58"/>
        <v>N8H 2L2</v>
      </c>
      <c r="G580" t="str">
        <f t="shared" si="59"/>
        <v>[ "Staples", 42.0337584782609, -82.5972702173913, '519-324-1370', 'N8H 2L2'],</v>
      </c>
    </row>
    <row r="581" spans="1:7" hidden="1" x14ac:dyDescent="0.2">
      <c r="A581" t="s">
        <v>599</v>
      </c>
      <c r="B581" t="str">
        <f t="shared" si="54"/>
        <v>The Source</v>
      </c>
      <c r="C581" t="str">
        <f t="shared" si="55"/>
        <v>42.307187272484</v>
      </c>
      <c r="D581" t="str">
        <f t="shared" si="56"/>
        <v>-82.8677227087863</v>
      </c>
      <c r="E581" t="str">
        <f t="shared" si="57"/>
        <v>519-735-6131</v>
      </c>
      <c r="F581" t="str">
        <f t="shared" si="58"/>
        <v>N9K 1C7</v>
      </c>
      <c r="G581" t="str">
        <f t="shared" si="59"/>
        <v>[ "The Source", 42.307187272484, -82.8677227087863, '519-735-6131', 'N9K 1C7'],</v>
      </c>
    </row>
    <row r="582" spans="1:7" hidden="1" x14ac:dyDescent="0.2">
      <c r="A582" t="s">
        <v>600</v>
      </c>
      <c r="B582" t="str">
        <f t="shared" si="54"/>
        <v>ListenUp! Canada</v>
      </c>
      <c r="C582" t="str">
        <f t="shared" si="55"/>
        <v>42.30635875</v>
      </c>
      <c r="D582" t="str">
        <f t="shared" si="56"/>
        <v>-82.8849108333333</v>
      </c>
      <c r="E582" t="str">
        <f t="shared" si="57"/>
        <v>519-735-6966</v>
      </c>
      <c r="F582" t="str">
        <f t="shared" si="58"/>
        <v>N8N 1Y3</v>
      </c>
      <c r="G582" t="str">
        <f t="shared" si="59"/>
        <v>[ "ListenUp! Canada", 42.30635875, -82.8849108333333, '519-735-6966', 'N8N 1Y3'],</v>
      </c>
    </row>
    <row r="583" spans="1:7" hidden="1" x14ac:dyDescent="0.2">
      <c r="A583" t="s">
        <v>601</v>
      </c>
      <c r="B583" t="str">
        <f t="shared" si="54"/>
        <v>Princess Auto</v>
      </c>
      <c r="C583" t="str">
        <f t="shared" si="55"/>
        <v>42.2986560494708</v>
      </c>
      <c r="D583" t="str">
        <f t="shared" si="56"/>
        <v>-82.9251618054316</v>
      </c>
      <c r="E583" t="str">
        <f t="shared" si="57"/>
        <v>519-974-1261</v>
      </c>
      <c r="F583" t="str">
        <f t="shared" si="58"/>
        <v>N8T 0A3</v>
      </c>
      <c r="G583" t="str">
        <f t="shared" si="59"/>
        <v>[ "Princess Auto", 42.2986560494708, -82.9251618054316, '519-974-1261', 'N8T 0A3'],</v>
      </c>
    </row>
    <row r="584" spans="1:7" x14ac:dyDescent="0.2">
      <c r="A584" t="s">
        <v>602</v>
      </c>
      <c r="B584" t="str">
        <f t="shared" si="54"/>
        <v>Staples</v>
      </c>
      <c r="C584" t="str">
        <f t="shared" si="55"/>
        <v>42.2549034080717</v>
      </c>
      <c r="D584" t="str">
        <f t="shared" si="56"/>
        <v>-82.9641382959641</v>
      </c>
      <c r="E584" t="str">
        <f t="shared" si="57"/>
        <v>519-972-5127</v>
      </c>
      <c r="F584" t="str">
        <f t="shared" si="58"/>
        <v>N8W 3T6</v>
      </c>
      <c r="G584" t="str">
        <f t="shared" si="59"/>
        <v>[ "Staples", 42.2549034080717, -82.9641382959641, '519-972-5127', 'N8W 3T6'],</v>
      </c>
    </row>
    <row r="585" spans="1:7" x14ac:dyDescent="0.2">
      <c r="A585" t="s">
        <v>604</v>
      </c>
      <c r="B585" t="str">
        <f t="shared" si="54"/>
        <v>Staples</v>
      </c>
      <c r="C585" t="str">
        <f t="shared" si="55"/>
        <v>42.2549034080717</v>
      </c>
      <c r="D585" t="str">
        <f t="shared" si="56"/>
        <v>-82.9641382959641</v>
      </c>
      <c r="E585" t="str">
        <f t="shared" si="57"/>
        <v>519-972-5127</v>
      </c>
      <c r="F585" t="str">
        <f t="shared" si="58"/>
        <v>N8W 3T6</v>
      </c>
      <c r="G585" t="str">
        <f t="shared" si="59"/>
        <v>[ "Staples", 42.2549034080717, -82.9641382959641, '519-972-5127', 'N8W 3T6'],</v>
      </c>
    </row>
    <row r="586" spans="1:7" hidden="1" x14ac:dyDescent="0.2">
      <c r="A586" t="s">
        <v>605</v>
      </c>
      <c r="B586" t="str">
        <f t="shared" si="54"/>
        <v>Home Depot</v>
      </c>
      <c r="C586" t="str">
        <f t="shared" si="55"/>
        <v>42.2623589795918</v>
      </c>
      <c r="D586" t="str">
        <f t="shared" si="56"/>
        <v>-82.973536122449</v>
      </c>
      <c r="E586" t="str">
        <f t="shared" si="57"/>
        <v>519-967-3700</v>
      </c>
      <c r="F586" t="str">
        <f t="shared" si="58"/>
        <v>N8W 1Z7</v>
      </c>
      <c r="G586" t="str">
        <f t="shared" si="59"/>
        <v>[ "Home Depot", 42.2623589795918, -82.973536122449, '519-967-3700', 'N8W 1Z7'],</v>
      </c>
    </row>
    <row r="587" spans="1:7" hidden="1" x14ac:dyDescent="0.2">
      <c r="A587" t="s">
        <v>606</v>
      </c>
      <c r="B587" t="str">
        <f t="shared" si="54"/>
        <v>Sears (Canada)</v>
      </c>
      <c r="C587" t="str">
        <f t="shared" si="55"/>
        <v>42.2742911889364</v>
      </c>
      <c r="D587" t="str">
        <f t="shared" si="56"/>
        <v>-83.0051525767869</v>
      </c>
      <c r="E587" t="str">
        <f t="shared" si="57"/>
        <v>519-966-2822</v>
      </c>
      <c r="F587" t="str">
        <f t="shared" si="58"/>
        <v>N8X 3Y7</v>
      </c>
      <c r="G587" t="str">
        <f t="shared" si="59"/>
        <v>[ "Sears (Canada)", 42.2742911889364, -83.0051525767869, '519-966-2822', 'N8X 3Y7'],</v>
      </c>
    </row>
    <row r="588" spans="1:7" hidden="1" x14ac:dyDescent="0.2">
      <c r="A588" t="s">
        <v>607</v>
      </c>
      <c r="B588" t="str">
        <f t="shared" si="54"/>
        <v>Franklin Empire</v>
      </c>
      <c r="C588" t="str">
        <f t="shared" si="55"/>
        <v>42.28679</v>
      </c>
      <c r="D588" t="str">
        <f t="shared" si="56"/>
        <v>-82.95502</v>
      </c>
      <c r="E588" t="str">
        <f t="shared" si="57"/>
        <v>519-945-7550</v>
      </c>
      <c r="F588" t="str">
        <f t="shared" si="58"/>
        <v>N8N 2M1</v>
      </c>
      <c r="G588" t="str">
        <f t="shared" si="59"/>
        <v>[ "Franklin Empire", 42.28679, -82.95502, '519-945-7550', 'N8N 2M1'],</v>
      </c>
    </row>
    <row r="589" spans="1:7" hidden="1" x14ac:dyDescent="0.2">
      <c r="A589" t="s">
        <v>608</v>
      </c>
      <c r="B589" t="str">
        <f t="shared" si="54"/>
        <v>The Source</v>
      </c>
      <c r="C589" t="str">
        <f t="shared" si="55"/>
        <v>42.09741</v>
      </c>
      <c r="D589" t="str">
        <f t="shared" si="56"/>
        <v>-83.10814</v>
      </c>
      <c r="E589" t="str">
        <f t="shared" si="57"/>
        <v>519-736-7153</v>
      </c>
      <c r="F589" t="str">
        <f t="shared" si="58"/>
        <v>N9V 3L4</v>
      </c>
      <c r="G589" t="str">
        <f t="shared" si="59"/>
        <v>[ "The Source", 42.09741, -83.10814, '519-736-7153', 'N9V 3L4'],</v>
      </c>
    </row>
    <row r="590" spans="1:7" hidden="1" x14ac:dyDescent="0.2">
      <c r="A590" t="s">
        <v>609</v>
      </c>
      <c r="B590" t="str">
        <f t="shared" si="54"/>
        <v>The Corporation of the Town of Amherstburg</v>
      </c>
      <c r="C590" t="str">
        <f t="shared" si="55"/>
        <v>42.093229349766</v>
      </c>
      <c r="D590" t="str">
        <f t="shared" si="56"/>
        <v>-83.1077009589504</v>
      </c>
      <c r="E590" t="str">
        <f t="shared" si="57"/>
        <v>519-736-3664</v>
      </c>
      <c r="F590" t="str">
        <f t="shared" si="58"/>
        <v>N9V 3R2</v>
      </c>
      <c r="G590" t="str">
        <f t="shared" si="59"/>
        <v>[ "The Corporation of the Town of Amherstburg", 42.093229349766, -83.1077009589504, '519-736-3664', 'N9V 3R2'],</v>
      </c>
    </row>
    <row r="591" spans="1:7" x14ac:dyDescent="0.2">
      <c r="A591" t="s">
        <v>610</v>
      </c>
      <c r="B591" t="str">
        <f t="shared" si="54"/>
        <v>Staples</v>
      </c>
      <c r="C591" t="str">
        <f t="shared" si="55"/>
        <v>42.2851328123105</v>
      </c>
      <c r="D591" t="str">
        <f t="shared" si="56"/>
        <v>-83.0182925347012</v>
      </c>
      <c r="E591" t="str">
        <f t="shared" si="57"/>
        <v>519-966-9495</v>
      </c>
      <c r="F591" t="str">
        <f t="shared" si="58"/>
        <v>N8X 1L7</v>
      </c>
      <c r="G591" t="str">
        <f t="shared" si="59"/>
        <v>[ "Staples", 42.2851328123105, -83.0182925347012, '519-966-9495', 'N8X 1L7'],</v>
      </c>
    </row>
    <row r="592" spans="1:7" hidden="1" x14ac:dyDescent="0.2">
      <c r="A592" t="s">
        <v>611</v>
      </c>
      <c r="B592" t="str">
        <f t="shared" si="54"/>
        <v>Princess Auto</v>
      </c>
      <c r="C592" t="str">
        <f t="shared" si="55"/>
        <v>42.2986560494708</v>
      </c>
      <c r="D592" t="str">
        <f t="shared" si="56"/>
        <v>-82.9251618054316</v>
      </c>
      <c r="E592" t="str">
        <f t="shared" si="57"/>
        <v>519-974-1261</v>
      </c>
      <c r="F592" t="str">
        <f t="shared" si="58"/>
        <v>N8T 0A3</v>
      </c>
      <c r="G592" t="str">
        <f t="shared" si="59"/>
        <v>[ "Princess Auto", 42.2986560494708, -82.9251618054316, '519-974-1261', 'N8T 0A3'],</v>
      </c>
    </row>
    <row r="593" spans="1:7" hidden="1" x14ac:dyDescent="0.2">
      <c r="A593" t="s">
        <v>612</v>
      </c>
      <c r="B593" t="str">
        <f t="shared" si="54"/>
        <v>Kelcom (H.O.)</v>
      </c>
      <c r="C593" t="str">
        <f t="shared" si="55"/>
        <v>42.2793168548387</v>
      </c>
      <c r="D593" t="str">
        <f t="shared" si="56"/>
        <v>-83.0554799193548</v>
      </c>
      <c r="E593" t="str">
        <f t="shared" si="57"/>
        <v>519-250-9100</v>
      </c>
      <c r="F593" t="str">
        <f t="shared" si="58"/>
        <v>N9C 3R5</v>
      </c>
      <c r="G593" t="str">
        <f t="shared" si="59"/>
        <v>[ "Kelcom (H.O.)", 42.2793168548387, -83.0554799193548, '519-250-9100', 'N9C 3R5'],</v>
      </c>
    </row>
    <row r="594" spans="1:7" hidden="1" x14ac:dyDescent="0.2">
      <c r="A594" t="s">
        <v>613</v>
      </c>
      <c r="B594" t="str">
        <f t="shared" si="54"/>
        <v>Batteries and More</v>
      </c>
      <c r="C594" t="str">
        <f t="shared" si="55"/>
        <v>42.3088938718444</v>
      </c>
      <c r="D594" t="str">
        <f t="shared" si="56"/>
        <v>-82.9474942723306</v>
      </c>
      <c r="E594" t="str">
        <f t="shared" si="57"/>
        <v>519-962-7737</v>
      </c>
      <c r="F594" t="str">
        <f t="shared" si="58"/>
        <v>N9A 6J3</v>
      </c>
      <c r="G594" t="str">
        <f t="shared" si="59"/>
        <v>[ "Batteries and More", 42.3088938718444, -82.9474942723306, '519-962-7737', 'N9A 6J3'],</v>
      </c>
    </row>
    <row r="595" spans="1:7" hidden="1" x14ac:dyDescent="0.2">
      <c r="A595" t="s">
        <v>614</v>
      </c>
      <c r="B595" t="str">
        <f t="shared" si="54"/>
        <v>Appliance Medic</v>
      </c>
      <c r="C595" t="str">
        <f t="shared" si="55"/>
        <v>42.29867</v>
      </c>
      <c r="D595" t="str">
        <f t="shared" si="56"/>
        <v>-83.01356</v>
      </c>
      <c r="E595" t="str">
        <f t="shared" si="57"/>
        <v>519-252-1500</v>
      </c>
      <c r="F595" t="str">
        <f t="shared" si="58"/>
        <v>N8X 2S2</v>
      </c>
      <c r="G595" t="str">
        <f t="shared" si="59"/>
        <v>[ "Appliance Medic", 42.29867, -83.01356, '519-252-1500', 'N8X 2S2'],</v>
      </c>
    </row>
    <row r="596" spans="1:7" hidden="1" x14ac:dyDescent="0.2">
      <c r="A596" t="s">
        <v>615</v>
      </c>
      <c r="B596" t="str">
        <f t="shared" si="54"/>
        <v>ListenUp! Canada</v>
      </c>
      <c r="C596" t="str">
        <f t="shared" si="55"/>
        <v>42.2982581203008</v>
      </c>
      <c r="D596" t="str">
        <f t="shared" si="56"/>
        <v>-83.0157816541353</v>
      </c>
      <c r="E596" t="str">
        <f t="shared" si="57"/>
        <v>519-256-6868</v>
      </c>
      <c r="F596" t="str">
        <f t="shared" si="58"/>
        <v>N8X 4X9</v>
      </c>
      <c r="G596" t="str">
        <f t="shared" si="59"/>
        <v>[ "ListenUp! Canada", 42.2982581203008, -83.0157816541353, '519-256-6868', 'N8X 4X9'],</v>
      </c>
    </row>
    <row r="597" spans="1:7" hidden="1" x14ac:dyDescent="0.2">
      <c r="A597" t="s">
        <v>616</v>
      </c>
      <c r="B597" t="str">
        <f t="shared" si="54"/>
        <v>ListenUp! Canada</v>
      </c>
      <c r="C597" t="str">
        <f t="shared" si="55"/>
        <v>42.30635875</v>
      </c>
      <c r="D597" t="str">
        <f t="shared" si="56"/>
        <v>-82.8849108333333</v>
      </c>
      <c r="E597" t="str">
        <f t="shared" si="57"/>
        <v>519-735-6966</v>
      </c>
      <c r="F597" t="str">
        <f t="shared" si="58"/>
        <v>N8N 1Y3</v>
      </c>
      <c r="G597" t="str">
        <f t="shared" si="59"/>
        <v>[ "ListenUp! Canada", 42.30635875, -82.8849108333333, '519-735-6966', 'N8N 1Y3'],</v>
      </c>
    </row>
    <row r="598" spans="1:7" hidden="1" x14ac:dyDescent="0.2">
      <c r="A598" t="s">
        <v>617</v>
      </c>
      <c r="B598" t="str">
        <f t="shared" si="54"/>
        <v>Home Depot</v>
      </c>
      <c r="C598" t="str">
        <f t="shared" si="55"/>
        <v>42.3115110344828</v>
      </c>
      <c r="D598" t="str">
        <f t="shared" si="56"/>
        <v>-82.9461636781609</v>
      </c>
      <c r="E598" t="str">
        <f t="shared" si="57"/>
        <v>519-974-5420</v>
      </c>
      <c r="F598" t="str">
        <f t="shared" si="58"/>
        <v>N8T 1E6</v>
      </c>
      <c r="G598" t="str">
        <f t="shared" si="59"/>
        <v>[ "Home Depot", 42.3115110344828, -82.9461636781609, '519-974-5420', 'N8T 1E6'],</v>
      </c>
    </row>
    <row r="599" spans="1:7" x14ac:dyDescent="0.2">
      <c r="A599" t="s">
        <v>618</v>
      </c>
      <c r="B599" t="str">
        <f t="shared" si="54"/>
        <v>Staples</v>
      </c>
      <c r="C599" t="str">
        <f t="shared" si="55"/>
        <v>42.31242</v>
      </c>
      <c r="D599" t="str">
        <f t="shared" si="56"/>
        <v>-82.94135</v>
      </c>
      <c r="E599" t="str">
        <f t="shared" si="57"/>
        <v>519-948-1283</v>
      </c>
      <c r="F599" t="str">
        <f t="shared" si="58"/>
        <v>N8T 1E6</v>
      </c>
      <c r="G599" t="str">
        <f t="shared" si="59"/>
        <v>[ "Staples", 42.31242, -82.94135, '519-948-1283', 'N8T 1E6'],</v>
      </c>
    </row>
    <row r="600" spans="1:7" hidden="1" x14ac:dyDescent="0.2">
      <c r="A600" t="s">
        <v>619</v>
      </c>
      <c r="B600" t="str">
        <f t="shared" si="54"/>
        <v>The Source</v>
      </c>
      <c r="C600" t="str">
        <f t="shared" si="55"/>
        <v>42.307187272484</v>
      </c>
      <c r="D600" t="str">
        <f t="shared" si="56"/>
        <v>-82.8677227087863</v>
      </c>
      <c r="E600" t="str">
        <f t="shared" si="57"/>
        <v>519-735-6131</v>
      </c>
      <c r="F600" t="str">
        <f t="shared" si="58"/>
        <v>N9K 1C7</v>
      </c>
      <c r="G600" t="str">
        <f t="shared" si="59"/>
        <v>[ "The Source", 42.307187272484, -82.8677227087863, '519-735-6131', 'N9K 1C7'],</v>
      </c>
    </row>
    <row r="601" spans="1:7" hidden="1" x14ac:dyDescent="0.2">
      <c r="A601" t="s">
        <v>620</v>
      </c>
      <c r="B601" t="str">
        <f t="shared" si="54"/>
        <v>Lowes</v>
      </c>
      <c r="C601" t="str">
        <f t="shared" si="55"/>
        <v>42.1883091835448</v>
      </c>
      <c r="D601" t="str">
        <f t="shared" si="56"/>
        <v>-83.1925567531649</v>
      </c>
      <c r="E601" t="str">
        <f t="shared" si="57"/>
        <v>734-284-6843</v>
      </c>
      <c r="F601" t="str">
        <f t="shared" si="58"/>
        <v>48195</v>
      </c>
      <c r="G601" t="str">
        <f t="shared" si="59"/>
        <v>[ "Lowes", 42.1883091835448, -83.1925567531649, '734-284-6843', '48195'],</v>
      </c>
    </row>
    <row r="602" spans="1:7" hidden="1" x14ac:dyDescent="0.2">
      <c r="A602" t="s">
        <v>621</v>
      </c>
      <c r="B602" t="str">
        <f t="shared" si="54"/>
        <v>Grainger</v>
      </c>
      <c r="C602" t="str">
        <f t="shared" si="55"/>
        <v>42.32707</v>
      </c>
      <c r="D602" t="str">
        <f t="shared" si="56"/>
        <v>-83.05858</v>
      </c>
      <c r="E602" t="str">
        <f t="shared" si="57"/>
        <v>313-965-3500</v>
      </c>
      <c r="F602" t="str">
        <f t="shared" si="58"/>
        <v>48226</v>
      </c>
      <c r="G602" t="str">
        <f t="shared" si="59"/>
        <v>[ "Grainger", 42.32707, -83.05858, '313-965-3500', '48226'],</v>
      </c>
    </row>
    <row r="603" spans="1:7" hidden="1" x14ac:dyDescent="0.2">
      <c r="A603" t="s">
        <v>622</v>
      </c>
      <c r="B603" t="str">
        <f t="shared" si="54"/>
        <v>ListenUp! Canada</v>
      </c>
      <c r="C603" t="str">
        <f t="shared" si="55"/>
        <v>42.0384704540773</v>
      </c>
      <c r="D603" t="str">
        <f t="shared" si="56"/>
        <v>-82.7256786274688</v>
      </c>
      <c r="E603" t="str">
        <f t="shared" si="57"/>
        <v>519-733-3331</v>
      </c>
      <c r="F603" t="str">
        <f t="shared" si="58"/>
        <v>N9Y 1A7</v>
      </c>
      <c r="G603" t="str">
        <f t="shared" si="59"/>
        <v>[ "ListenUp! Canada", 42.0384704540773, -82.7256786274688, '519-733-3331', 'N9Y 1A7'],</v>
      </c>
    </row>
    <row r="604" spans="1:7" hidden="1" x14ac:dyDescent="0.2">
      <c r="A604" t="s">
        <v>623</v>
      </c>
      <c r="B604" t="str">
        <f t="shared" si="54"/>
        <v>Ontario Clean Water Agency - Essex East (North) Hub</v>
      </c>
      <c r="C604" t="str">
        <f t="shared" si="55"/>
        <v>42.2899317647059</v>
      </c>
      <c r="D604" t="str">
        <f t="shared" si="56"/>
        <v>-82.7344741176471</v>
      </c>
      <c r="E604" t="str">
        <f t="shared" si="57"/>
        <v>519-727-6256</v>
      </c>
      <c r="F604" t="str">
        <f t="shared" si="58"/>
        <v>N0R 1A0</v>
      </c>
      <c r="G604" t="str">
        <f t="shared" si="59"/>
        <v>[ "Ontario Clean Water Agency - Essex East (North) Hub", 42.2899317647059, -82.7344741176471, '519-727-6256', 'N0R 1A0'],</v>
      </c>
    </row>
    <row r="605" spans="1:7" hidden="1" x14ac:dyDescent="0.2">
      <c r="A605" t="s">
        <v>624</v>
      </c>
      <c r="B605" t="str">
        <f t="shared" si="54"/>
        <v>RadioShack</v>
      </c>
      <c r="C605" t="str">
        <f t="shared" si="55"/>
        <v>42.2543057894737</v>
      </c>
      <c r="D605" t="str">
        <f t="shared" si="56"/>
        <v>-83.1912273684211</v>
      </c>
      <c r="E605" t="str">
        <f t="shared" si="57"/>
        <v>313-388-1120</v>
      </c>
      <c r="F605" t="str">
        <f t="shared" si="58"/>
        <v>48146</v>
      </c>
      <c r="G605" t="str">
        <f t="shared" si="59"/>
        <v>[ "RadioShack", 42.2543057894737, -83.1912273684211, '313-388-1120', '48146'],</v>
      </c>
    </row>
    <row r="606" spans="1:7" hidden="1" x14ac:dyDescent="0.2">
      <c r="A606" t="s">
        <v>625</v>
      </c>
      <c r="B606" t="str">
        <f t="shared" si="54"/>
        <v>The Home Depot</v>
      </c>
      <c r="C606" t="str">
        <f t="shared" si="55"/>
        <v>42.1393206748466</v>
      </c>
      <c r="D606" t="str">
        <f t="shared" si="56"/>
        <v>-83.2260723312883</v>
      </c>
      <c r="E606" t="str">
        <f t="shared" si="57"/>
        <v>734-671-4400</v>
      </c>
      <c r="F606" t="str">
        <f t="shared" si="58"/>
        <v>48183</v>
      </c>
      <c r="G606" t="str">
        <f t="shared" si="59"/>
        <v>[ "The Home Depot", 42.1393206748466, -83.2260723312883, '734-671-4400', '48183'],</v>
      </c>
    </row>
    <row r="607" spans="1:7" hidden="1" x14ac:dyDescent="0.2">
      <c r="A607" t="s">
        <v>626</v>
      </c>
      <c r="B607" t="str">
        <f t="shared" si="54"/>
        <v>Longs Home Hardware Building Center</v>
      </c>
      <c r="C607" t="str">
        <f t="shared" si="55"/>
        <v>43.83706</v>
      </c>
      <c r="D607" t="str">
        <f t="shared" si="56"/>
        <v>-80.48081</v>
      </c>
      <c r="E607" t="str">
        <f t="shared" si="57"/>
        <v>519-848-2444</v>
      </c>
      <c r="F607" t="str">
        <f t="shared" si="58"/>
        <v>N0G 1A0</v>
      </c>
      <c r="G607" t="str">
        <f t="shared" si="59"/>
        <v>[ "Longs Home Hardware Building Center", 43.83706, -80.48081, '519-848-2444', 'N0G 1A0'],</v>
      </c>
    </row>
    <row r="608" spans="1:7" hidden="1" x14ac:dyDescent="0.2">
      <c r="A608" t="s">
        <v>627</v>
      </c>
      <c r="B608" t="str">
        <f t="shared" si="54"/>
        <v>Belmatic Battery Systems Inc.</v>
      </c>
      <c r="C608" t="str">
        <f t="shared" si="55"/>
        <v>44.1562580701754</v>
      </c>
      <c r="D608" t="str">
        <f t="shared" si="56"/>
        <v>-81.0243749122807</v>
      </c>
      <c r="E608" t="str">
        <f t="shared" si="57"/>
        <v>519-364-7029</v>
      </c>
      <c r="F608" t="str">
        <f t="shared" si="58"/>
        <v>N4N 2V6</v>
      </c>
      <c r="G608" t="str">
        <f t="shared" si="59"/>
        <v>[ "Belmatic Battery Systems Inc.", 44.1562580701754, -81.0243749122807, '519-364-7029', 'N4N 2V6'],</v>
      </c>
    </row>
    <row r="609" spans="1:7" hidden="1" x14ac:dyDescent="0.2">
      <c r="A609" t="s">
        <v>628</v>
      </c>
      <c r="B609" t="str">
        <f t="shared" si="54"/>
        <v>Princess Auto</v>
      </c>
      <c r="C609" t="str">
        <f t="shared" si="55"/>
        <v>44.5766641395434</v>
      </c>
      <c r="D609" t="str">
        <f t="shared" si="56"/>
        <v>-80.8997548332625</v>
      </c>
      <c r="E609" t="str">
        <f t="shared" si="57"/>
        <v>226-256-8260</v>
      </c>
      <c r="F609" t="str">
        <f t="shared" si="58"/>
        <v>N4K 0E2</v>
      </c>
      <c r="G609" t="str">
        <f t="shared" si="59"/>
        <v>[ "Princess Auto", 44.5766641395434, -80.8997548332625, '226-256-8260', 'N4K 0E2'],</v>
      </c>
    </row>
    <row r="610" spans="1:7" hidden="1" x14ac:dyDescent="0.2">
      <c r="A610" t="s">
        <v>629</v>
      </c>
      <c r="B610" t="str">
        <f t="shared" si="54"/>
        <v>The Source</v>
      </c>
      <c r="C610" t="str">
        <f t="shared" si="55"/>
        <v>44.5756734802963</v>
      </c>
      <c r="D610" t="str">
        <f t="shared" si="56"/>
        <v>-80.9084239243326</v>
      </c>
      <c r="E610" t="str">
        <f t="shared" si="57"/>
        <v>519-376-5041</v>
      </c>
      <c r="F610" t="str">
        <f t="shared" si="58"/>
        <v>N4K 5N3</v>
      </c>
      <c r="G610" t="str">
        <f t="shared" si="59"/>
        <v>[ "The Source", 44.5756734802963, -80.9084239243326, '519-376-5041', 'N4K 5N3'],</v>
      </c>
    </row>
    <row r="611" spans="1:7" x14ac:dyDescent="0.2">
      <c r="A611" t="s">
        <v>630</v>
      </c>
      <c r="B611" t="str">
        <f t="shared" si="54"/>
        <v>Staples</v>
      </c>
      <c r="C611" t="str">
        <f t="shared" si="55"/>
        <v>44.57018</v>
      </c>
      <c r="D611" t="str">
        <f t="shared" si="56"/>
        <v>-80.92203</v>
      </c>
      <c r="E611" t="str">
        <f t="shared" si="57"/>
        <v>519-372-2228</v>
      </c>
      <c r="F611" t="str">
        <f t="shared" si="58"/>
        <v>N4K 5S2</v>
      </c>
      <c r="G611" t="str">
        <f t="shared" si="59"/>
        <v>[ "Staples", 44.57018, -80.92203, '519-372-2228', 'N4K 5S2'],</v>
      </c>
    </row>
    <row r="612" spans="1:7" hidden="1" x14ac:dyDescent="0.2">
      <c r="A612" t="s">
        <v>631</v>
      </c>
      <c r="B612" t="str">
        <f t="shared" si="54"/>
        <v>Sears (Canada)</v>
      </c>
      <c r="C612" t="str">
        <f t="shared" si="55"/>
        <v>44.5741628282828</v>
      </c>
      <c r="D612" t="str">
        <f t="shared" si="56"/>
        <v>-80.9216897979798</v>
      </c>
      <c r="E612" t="str">
        <f t="shared" si="57"/>
        <v>519-376-8080</v>
      </c>
      <c r="F612" t="str">
        <f t="shared" si="58"/>
        <v>N4K 6N7</v>
      </c>
      <c r="G612" t="str">
        <f t="shared" si="59"/>
        <v>[ "Sears (Canada)", 44.5741628282828, -80.9216897979798, '519-376-8080', 'N4K 6N7'],</v>
      </c>
    </row>
    <row r="613" spans="1:7" hidden="1" x14ac:dyDescent="0.2">
      <c r="A613" t="s">
        <v>632</v>
      </c>
      <c r="B613" t="str">
        <f t="shared" si="54"/>
        <v>City of Owen Sound</v>
      </c>
      <c r="C613" t="str">
        <f t="shared" si="55"/>
        <v>44.5838226929319</v>
      </c>
      <c r="D613" t="str">
        <f t="shared" si="56"/>
        <v>-80.9002807372817</v>
      </c>
      <c r="E613" t="str">
        <f t="shared" si="57"/>
        <v>519-376-4274</v>
      </c>
      <c r="F613" t="str">
        <f t="shared" si="58"/>
        <v>N4K 5N3</v>
      </c>
      <c r="G613" t="str">
        <f t="shared" si="59"/>
        <v>[ "City of Owen Sound", 44.5838226929319, -80.9002807372817, '519-376-4274', 'N4K 5N3'],</v>
      </c>
    </row>
    <row r="614" spans="1:7" hidden="1" x14ac:dyDescent="0.2">
      <c r="A614" t="s">
        <v>633</v>
      </c>
      <c r="B614" t="str">
        <f t="shared" si="54"/>
        <v>Home Depot</v>
      </c>
      <c r="C614" t="str">
        <f t="shared" si="55"/>
        <v>44.5832195483447</v>
      </c>
      <c r="D614" t="str">
        <f t="shared" si="56"/>
        <v>-80.9055115611075</v>
      </c>
      <c r="E614" t="str">
        <f t="shared" si="57"/>
        <v>519-372-3970</v>
      </c>
      <c r="F614" t="str">
        <f t="shared" si="58"/>
        <v>N4K 2B5</v>
      </c>
      <c r="G614" t="str">
        <f t="shared" si="59"/>
        <v>[ "Home Depot", 44.5832195483447, -80.9055115611075, '519-372-3970', 'N4K 2B5'],</v>
      </c>
    </row>
    <row r="615" spans="1:7" hidden="1" x14ac:dyDescent="0.2">
      <c r="A615" t="s">
        <v>634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</row>
    <row r="616" spans="1:7" hidden="1" x14ac:dyDescent="0.2">
      <c r="A616" t="s">
        <v>635</v>
      </c>
      <c r="B616" t="str">
        <f t="shared" si="54"/>
        <v>Murrays Sharpening &amp; Tool Repair</v>
      </c>
      <c r="C616" t="str">
        <f t="shared" si="55"/>
        <v>44.5717094</v>
      </c>
      <c r="D616" t="str">
        <f t="shared" si="56"/>
        <v>-80.9408688</v>
      </c>
      <c r="E616" t="str">
        <f t="shared" si="57"/>
        <v>519-376-2495</v>
      </c>
      <c r="F616" t="str">
        <f t="shared" si="58"/>
        <v>N4K 2H9</v>
      </c>
      <c r="G616" t="str">
        <f t="shared" si="59"/>
        <v>[ "Murrays Sharpening &amp; Tool Repair", 44.5717094, -80.9408688, '519-376-2495', 'N4K 2H9'],</v>
      </c>
    </row>
    <row r="617" spans="1:7" hidden="1" x14ac:dyDescent="0.2">
      <c r="A617" t="s">
        <v>636</v>
      </c>
      <c r="B617" t="str">
        <f t="shared" si="54"/>
        <v>RONA</v>
      </c>
      <c r="C617" t="str">
        <f t="shared" si="55"/>
        <v>44.56692</v>
      </c>
      <c r="D617" t="str">
        <f t="shared" si="56"/>
        <v>-80.95044</v>
      </c>
      <c r="E617" t="str">
        <f t="shared" si="57"/>
        <v>519-376-3181</v>
      </c>
      <c r="F617" t="str">
        <f t="shared" si="58"/>
        <v>N4K 5R4</v>
      </c>
      <c r="G617" t="str">
        <f t="shared" si="59"/>
        <v>[ "RONA", 44.56692, -80.95044, '519-376-3181', 'N4K 5R4'],</v>
      </c>
    </row>
    <row r="618" spans="1:7" hidden="1" x14ac:dyDescent="0.2">
      <c r="A618" t="s">
        <v>637</v>
      </c>
      <c r="B618" t="str">
        <f t="shared" si="54"/>
        <v>RONA</v>
      </c>
      <c r="C618" t="str">
        <f t="shared" si="55"/>
        <v>44.56692</v>
      </c>
      <c r="D618" t="str">
        <f t="shared" si="56"/>
        <v>-80.95044</v>
      </c>
      <c r="E618" t="str">
        <f t="shared" si="57"/>
        <v>519-376-3181</v>
      </c>
      <c r="F618" t="str">
        <f t="shared" si="58"/>
        <v>N4K 5R4</v>
      </c>
      <c r="G618" t="str">
        <f t="shared" si="59"/>
        <v>[ "RONA", 44.56692, -80.95044, '519-376-3181', 'N4K 5R4'],</v>
      </c>
    </row>
    <row r="619" spans="1:7" hidden="1" x14ac:dyDescent="0.2">
      <c r="A619" t="s">
        <v>638</v>
      </c>
      <c r="B619" t="str">
        <f t="shared" si="54"/>
        <v>Murrays Sharpening &amp; Tool Repair</v>
      </c>
      <c r="C619" t="str">
        <f t="shared" si="55"/>
        <v>44.5717094</v>
      </c>
      <c r="D619" t="str">
        <f t="shared" si="56"/>
        <v>-80.9408688</v>
      </c>
      <c r="E619" t="str">
        <f t="shared" si="57"/>
        <v>519-376-2495</v>
      </c>
      <c r="F619" t="str">
        <f t="shared" si="58"/>
        <v>N4K 2H9</v>
      </c>
      <c r="G619" t="str">
        <f t="shared" si="59"/>
        <v>[ "Murrays Sharpening &amp; Tool Repair", 44.5717094, -80.9408688, '519-376-2495', 'N4K 2H9'],</v>
      </c>
    </row>
    <row r="620" spans="1:7" hidden="1" x14ac:dyDescent="0.2">
      <c r="A620" t="s">
        <v>639</v>
      </c>
      <c r="B620" t="str">
        <f t="shared" si="54"/>
        <v>RONA</v>
      </c>
      <c r="C620" t="str">
        <f t="shared" si="55"/>
        <v>44.5652534</v>
      </c>
      <c r="D620" t="str">
        <f t="shared" si="56"/>
        <v>-80.9430214</v>
      </c>
      <c r="E620" t="str">
        <f t="shared" si="57"/>
        <v>519-376-7729</v>
      </c>
      <c r="F620" t="str">
        <f t="shared" si="58"/>
        <v>N4K 2H3</v>
      </c>
      <c r="G620" t="str">
        <f t="shared" si="59"/>
        <v>[ "RONA", 44.5652534, -80.9430214, '519-376-7729', 'N4K 2H3'],</v>
      </c>
    </row>
    <row r="621" spans="1:7" hidden="1" x14ac:dyDescent="0.2">
      <c r="A621" t="s">
        <v>640</v>
      </c>
      <c r="B621" t="str">
        <f t="shared" si="54"/>
        <v>Sears (Canada)</v>
      </c>
      <c r="C621" t="str">
        <f t="shared" si="55"/>
        <v>44.5741628282828</v>
      </c>
      <c r="D621" t="str">
        <f t="shared" si="56"/>
        <v>-80.9216897979798</v>
      </c>
      <c r="E621" t="str">
        <f t="shared" si="57"/>
        <v>519-376-8080</v>
      </c>
      <c r="F621" t="str">
        <f t="shared" si="58"/>
        <v>N4K 6N7</v>
      </c>
      <c r="G621" t="str">
        <f t="shared" si="59"/>
        <v>[ "Sears (Canada)", 44.5741628282828, -80.9216897979798, '519-376-8080', 'N4K 6N7'],</v>
      </c>
    </row>
    <row r="622" spans="1:7" x14ac:dyDescent="0.2">
      <c r="A622" t="s">
        <v>641</v>
      </c>
      <c r="B622" t="str">
        <f t="shared" si="54"/>
        <v>Staples</v>
      </c>
      <c r="C622" t="str">
        <f t="shared" si="55"/>
        <v>44.57018</v>
      </c>
      <c r="D622" t="str">
        <f t="shared" si="56"/>
        <v>-80.92203</v>
      </c>
      <c r="E622" t="str">
        <f t="shared" si="57"/>
        <v>519-372-2228</v>
      </c>
      <c r="F622" t="str">
        <f t="shared" si="58"/>
        <v>N4K 5S2</v>
      </c>
      <c r="G622" t="str">
        <f t="shared" si="59"/>
        <v>[ "Staples", 44.57018, -80.92203, '519-372-2228', 'N4K 5S2'],</v>
      </c>
    </row>
    <row r="623" spans="1:7" hidden="1" x14ac:dyDescent="0.2">
      <c r="A623" t="s">
        <v>642</v>
      </c>
      <c r="B623" t="str">
        <f t="shared" si="54"/>
        <v>Home Depot</v>
      </c>
      <c r="C623" t="str">
        <f t="shared" si="55"/>
        <v>44.5832195483447</v>
      </c>
      <c r="D623" t="str">
        <f t="shared" si="56"/>
        <v>-80.9055115611075</v>
      </c>
      <c r="E623" t="str">
        <f t="shared" si="57"/>
        <v>519-372-3970</v>
      </c>
      <c r="F623" t="str">
        <f t="shared" si="58"/>
        <v>N4K 2B5</v>
      </c>
      <c r="G623" t="str">
        <f t="shared" si="59"/>
        <v>[ "Home Depot", 44.5832195483447, -80.9055115611075, '519-372-3970', 'N4K 2B5'],</v>
      </c>
    </row>
    <row r="624" spans="1:7" hidden="1" x14ac:dyDescent="0.2">
      <c r="A624" t="s">
        <v>643</v>
      </c>
      <c r="B624" t="str">
        <f t="shared" si="54"/>
        <v>City of Owen Sound</v>
      </c>
      <c r="C624" t="str">
        <f t="shared" si="55"/>
        <v>44.5838226929319</v>
      </c>
      <c r="D624" t="str">
        <f t="shared" si="56"/>
        <v>-80.9002807372817</v>
      </c>
      <c r="E624" t="str">
        <f t="shared" si="57"/>
        <v>519-376-4274</v>
      </c>
      <c r="F624" t="str">
        <f t="shared" si="58"/>
        <v>N4K 5N3</v>
      </c>
      <c r="G624" t="str">
        <f t="shared" si="59"/>
        <v>[ "City of Owen Sound", 44.5838226929319, -80.9002807372817, '519-376-4274', 'N4K 5N3'],</v>
      </c>
    </row>
    <row r="625" spans="1:7" hidden="1" x14ac:dyDescent="0.2">
      <c r="A625" t="s">
        <v>644</v>
      </c>
      <c r="B625" t="str">
        <f t="shared" si="54"/>
        <v>The Source</v>
      </c>
      <c r="C625" t="str">
        <f t="shared" si="55"/>
        <v>44.5756734802963</v>
      </c>
      <c r="D625" t="str">
        <f t="shared" si="56"/>
        <v>-80.9084239243326</v>
      </c>
      <c r="E625" t="str">
        <f t="shared" si="57"/>
        <v>519-376-5041</v>
      </c>
      <c r="F625" t="str">
        <f t="shared" si="58"/>
        <v>N4K 5N3</v>
      </c>
      <c r="G625" t="str">
        <f t="shared" si="59"/>
        <v>[ "The Source", 44.5756734802963, -80.9084239243326, '519-376-5041', 'N4K 5N3'],</v>
      </c>
    </row>
    <row r="626" spans="1:7" hidden="1" x14ac:dyDescent="0.2">
      <c r="A626" t="s">
        <v>645</v>
      </c>
      <c r="B626" t="str">
        <f t="shared" si="54"/>
        <v>Princess Auto</v>
      </c>
      <c r="C626" t="str">
        <f t="shared" si="55"/>
        <v>44.5766641395434</v>
      </c>
      <c r="D626" t="str">
        <f t="shared" si="56"/>
        <v>-80.8997548332625</v>
      </c>
      <c r="E626" t="str">
        <f t="shared" si="57"/>
        <v>226-256-8260</v>
      </c>
      <c r="F626" t="str">
        <f t="shared" si="58"/>
        <v>N4K 0E2</v>
      </c>
      <c r="G626" t="str">
        <f t="shared" si="59"/>
        <v>[ "Princess Auto", 44.5766641395434, -80.8997548332625, '226-256-8260', 'N4K 0E2'],</v>
      </c>
    </row>
    <row r="627" spans="1:7" hidden="1" x14ac:dyDescent="0.2">
      <c r="A627" t="s">
        <v>646</v>
      </c>
      <c r="B627" t="str">
        <f t="shared" si="54"/>
        <v>The Source</v>
      </c>
      <c r="C627" t="str">
        <f t="shared" si="55"/>
        <v>44.42609</v>
      </c>
      <c r="D627" t="str">
        <f t="shared" si="56"/>
        <v>-81.39685</v>
      </c>
      <c r="E627" t="str">
        <f t="shared" si="57"/>
        <v>519-832-3100</v>
      </c>
      <c r="F627" t="str">
        <f t="shared" si="58"/>
        <v>N0H 2C1</v>
      </c>
      <c r="G627" t="str">
        <f t="shared" si="59"/>
        <v>[ "The Source", 44.42609, -81.39685, '519-832-3100', 'N0H 2C1'],</v>
      </c>
    </row>
    <row r="628" spans="1:7" hidden="1" x14ac:dyDescent="0.2">
      <c r="A628" t="s">
        <v>647</v>
      </c>
      <c r="B628" t="str">
        <f t="shared" si="54"/>
        <v>Princess Auto</v>
      </c>
      <c r="C628" t="str">
        <f t="shared" si="55"/>
        <v>44.3394913947389</v>
      </c>
      <c r="D628" t="str">
        <f t="shared" si="56"/>
        <v>-79.6907598235247</v>
      </c>
      <c r="E628" t="str">
        <f t="shared" si="57"/>
        <v>705-739-0575</v>
      </c>
      <c r="F628" t="str">
        <f t="shared" si="58"/>
        <v>L4N 8V4</v>
      </c>
      <c r="G628" t="str">
        <f t="shared" si="59"/>
        <v>[ "Princess Auto", 44.3394913947389, -79.6907598235247, '705-739-0575', 'L4N 8V4'],</v>
      </c>
    </row>
    <row r="629" spans="1:7" hidden="1" x14ac:dyDescent="0.2">
      <c r="A629" t="s">
        <v>648</v>
      </c>
      <c r="B629" t="str">
        <f t="shared" si="54"/>
        <v>The Source</v>
      </c>
      <c r="C629" t="str">
        <f t="shared" si="55"/>
        <v>44.3345883986964</v>
      </c>
      <c r="D629" t="str">
        <f t="shared" si="56"/>
        <v>-79.6883767061378</v>
      </c>
      <c r="E629" t="str">
        <f t="shared" si="57"/>
        <v>705-726-6965</v>
      </c>
      <c r="F629" t="str">
        <f t="shared" si="58"/>
        <v>L4N 9H5</v>
      </c>
      <c r="G629" t="str">
        <f t="shared" si="59"/>
        <v>[ "The Source", 44.3345883986964, -79.6883767061378, '705-726-6965', 'L4N 9H5'],</v>
      </c>
    </row>
    <row r="630" spans="1:7" x14ac:dyDescent="0.2">
      <c r="A630" t="s">
        <v>649</v>
      </c>
      <c r="B630" t="str">
        <f t="shared" si="54"/>
        <v>Staples</v>
      </c>
      <c r="C630" t="str">
        <f t="shared" si="55"/>
        <v>44.3378780769231</v>
      </c>
      <c r="D630" t="str">
        <f t="shared" si="56"/>
        <v>-79.68763</v>
      </c>
      <c r="E630" t="str">
        <f t="shared" si="57"/>
        <v>705-733-3329</v>
      </c>
      <c r="F630" t="str">
        <f t="shared" si="58"/>
        <v>L4N 8V4</v>
      </c>
      <c r="G630" t="str">
        <f t="shared" si="59"/>
        <v>[ "Staples", 44.3378780769231, -79.68763, '705-733-3329', 'L4N 8V4'],</v>
      </c>
    </row>
    <row r="631" spans="1:7" hidden="1" x14ac:dyDescent="0.2">
      <c r="A631" t="s">
        <v>650</v>
      </c>
      <c r="B631" t="str">
        <f t="shared" si="54"/>
        <v>Mountain Equipment Co-op</v>
      </c>
      <c r="C631" t="str">
        <f t="shared" si="55"/>
        <v>44.3555056096924</v>
      </c>
      <c r="D631" t="str">
        <f t="shared" si="56"/>
        <v>-79.6950121487654</v>
      </c>
      <c r="E631" t="str">
        <f t="shared" si="57"/>
        <v>705-792-4675</v>
      </c>
      <c r="F631" t="str">
        <f t="shared" si="58"/>
        <v>L4N 8V8</v>
      </c>
      <c r="G631" t="str">
        <f t="shared" si="59"/>
        <v>[ "Mountain Equipment Co-op", 44.3555056096924, -79.6950121487654, '705-792-4675', 'L4N 8V8'],</v>
      </c>
    </row>
    <row r="632" spans="1:7" hidden="1" x14ac:dyDescent="0.2">
      <c r="A632" t="s">
        <v>651</v>
      </c>
      <c r="B632" t="str">
        <f t="shared" si="54"/>
        <v>Home Depot</v>
      </c>
      <c r="C632" t="str">
        <f t="shared" si="55"/>
        <v>44.3383230769231</v>
      </c>
      <c r="D632" t="str">
        <f t="shared" si="56"/>
        <v>-79.6875</v>
      </c>
      <c r="E632" t="str">
        <f t="shared" si="57"/>
        <v>705-733-2800</v>
      </c>
      <c r="F632" t="str">
        <f t="shared" si="58"/>
        <v>L4N 8V4</v>
      </c>
      <c r="G632" t="str">
        <f t="shared" si="59"/>
        <v>[ "Home Depot", 44.3383230769231, -79.6875, '705-733-2800', 'L4N 8V4'],</v>
      </c>
    </row>
    <row r="633" spans="1:7" hidden="1" x14ac:dyDescent="0.2">
      <c r="A633" t="s">
        <v>652</v>
      </c>
      <c r="B633" t="str">
        <f t="shared" si="54"/>
        <v>Henrys</v>
      </c>
      <c r="C633" t="str">
        <f t="shared" si="55"/>
        <v>44.3368537264172</v>
      </c>
      <c r="D633" t="str">
        <f t="shared" si="56"/>
        <v>-79.6809685624446</v>
      </c>
      <c r="E633" t="str">
        <f t="shared" si="57"/>
        <v>705-720-2300</v>
      </c>
      <c r="F633" t="str">
        <f t="shared" si="58"/>
        <v>L4N 6P1</v>
      </c>
      <c r="G633" t="str">
        <f t="shared" si="59"/>
        <v>[ "Henrys", 44.3368537264172, -79.6809685624446, '705-720-2300', 'L4N 6P1'],</v>
      </c>
    </row>
    <row r="634" spans="1:7" hidden="1" x14ac:dyDescent="0.2">
      <c r="A634" t="s">
        <v>653</v>
      </c>
      <c r="B634" t="str">
        <f t="shared" si="54"/>
        <v>RONA</v>
      </c>
      <c r="C634" t="str">
        <f t="shared" si="55"/>
        <v>44.3364375</v>
      </c>
      <c r="D634" t="str">
        <f t="shared" si="56"/>
        <v>-79.6802366666667</v>
      </c>
      <c r="E634" t="str">
        <f t="shared" si="57"/>
        <v>705-792-6670</v>
      </c>
      <c r="F634" t="str">
        <f t="shared" si="58"/>
        <v>L4N 9H5</v>
      </c>
      <c r="G634" t="str">
        <f t="shared" si="59"/>
        <v>[ "RONA", 44.3364375, -79.6802366666667, '705-792-6670', 'L4N 9H5'],</v>
      </c>
    </row>
    <row r="635" spans="1:7" hidden="1" x14ac:dyDescent="0.2">
      <c r="A635" t="s">
        <v>654</v>
      </c>
      <c r="B635" t="str">
        <f t="shared" si="54"/>
        <v>The Source</v>
      </c>
      <c r="C635" t="str">
        <f t="shared" si="55"/>
        <v>44.3552610195549</v>
      </c>
      <c r="D635" t="str">
        <f t="shared" si="56"/>
        <v>-79.6814634338286</v>
      </c>
      <c r="E635" t="str">
        <f t="shared" si="57"/>
        <v>705-728-4837</v>
      </c>
      <c r="F635" t="str">
        <f t="shared" si="58"/>
        <v>L4N 3N7</v>
      </c>
      <c r="G635" t="str">
        <f t="shared" si="59"/>
        <v>[ "The Source", 44.3552610195549, -79.6814634338286, '705-728-4837', 'L4N 3N7'],</v>
      </c>
    </row>
    <row r="636" spans="1:7" hidden="1" x14ac:dyDescent="0.2">
      <c r="A636" t="s">
        <v>655</v>
      </c>
      <c r="B636" t="str">
        <f t="shared" si="54"/>
        <v>Point to Point Communications</v>
      </c>
      <c r="C636" t="str">
        <f t="shared" si="55"/>
        <v>44.3355679294061</v>
      </c>
      <c r="D636" t="str">
        <f t="shared" si="56"/>
        <v>-79.6738948305988</v>
      </c>
      <c r="E636" t="str">
        <f t="shared" si="57"/>
        <v>705-721-9877</v>
      </c>
      <c r="F636" t="str">
        <f t="shared" si="58"/>
        <v>L4N 8Z9</v>
      </c>
      <c r="G636" t="str">
        <f t="shared" si="59"/>
        <v>[ "Point to Point Communications", 44.3355679294061, -79.6738948305988, '705-721-9877', 'L4N 8Z9'],</v>
      </c>
    </row>
    <row r="637" spans="1:7" hidden="1" x14ac:dyDescent="0.2">
      <c r="A637" t="s">
        <v>656</v>
      </c>
      <c r="B637" t="str">
        <f t="shared" si="54"/>
        <v>Canadian Tire</v>
      </c>
      <c r="C637" t="str">
        <f t="shared" si="55"/>
        <v>44.40157</v>
      </c>
      <c r="D637" t="str">
        <f t="shared" si="56"/>
        <v>-79.70077</v>
      </c>
      <c r="E637" t="str">
        <f t="shared" si="57"/>
        <v>705-726-6418</v>
      </c>
      <c r="F637" t="str">
        <f t="shared" si="58"/>
        <v>L4M 3C1</v>
      </c>
      <c r="G637" t="str">
        <f t="shared" si="59"/>
        <v>[ "Canadian Tire", 44.40157, -79.70077, '705-726-6418', 'L4M 3C1'],</v>
      </c>
    </row>
    <row r="638" spans="1:7" hidden="1" x14ac:dyDescent="0.2">
      <c r="A638" t="s">
        <v>657</v>
      </c>
      <c r="B638" t="str">
        <f t="shared" si="54"/>
        <v>The Source</v>
      </c>
      <c r="C638" t="str">
        <f t="shared" si="55"/>
        <v>44.41404</v>
      </c>
      <c r="D638" t="str">
        <f t="shared" si="56"/>
        <v>-79.71168</v>
      </c>
      <c r="E638" t="str">
        <f t="shared" si="57"/>
        <v>705-726-0987</v>
      </c>
      <c r="F638" t="str">
        <f t="shared" si="58"/>
        <v>L4M 4Z8</v>
      </c>
      <c r="G638" t="str">
        <f t="shared" si="59"/>
        <v>[ "The Source", 44.41404, -79.71168, '705-726-0987', 'L4M 4Z8'],</v>
      </c>
    </row>
    <row r="639" spans="1:7" hidden="1" x14ac:dyDescent="0.2">
      <c r="A639" t="s">
        <v>658</v>
      </c>
      <c r="B639" t="str">
        <f t="shared" si="54"/>
        <v>Sears (Canada)</v>
      </c>
      <c r="C639" t="str">
        <f t="shared" si="55"/>
        <v>44.4146266666667</v>
      </c>
      <c r="D639" t="str">
        <f t="shared" si="56"/>
        <v>-79.7121866666667</v>
      </c>
      <c r="E639" t="str">
        <f t="shared" si="57"/>
        <v>705-726-4451</v>
      </c>
      <c r="F639" t="str">
        <f t="shared" si="58"/>
        <v>L4M 4Z9</v>
      </c>
      <c r="G639" t="str">
        <f t="shared" si="59"/>
        <v>[ "Sears (Canada)", 44.4146266666667, -79.7121866666667, '705-726-4451', 'L4M 4Z9'],</v>
      </c>
    </row>
    <row r="640" spans="1:7" hidden="1" x14ac:dyDescent="0.2">
      <c r="A640" t="s">
        <v>659</v>
      </c>
      <c r="B640" t="str">
        <f t="shared" si="54"/>
        <v>Dashvapes Inc</v>
      </c>
      <c r="C640" t="str">
        <f t="shared" si="55"/>
        <v>44.4152877777778</v>
      </c>
      <c r="D640" t="str">
        <f t="shared" si="56"/>
        <v>-79.7127644444444</v>
      </c>
      <c r="E640" t="str">
        <f t="shared" si="57"/>
        <v>705-915-3274</v>
      </c>
      <c r="F640" t="str">
        <f t="shared" si="58"/>
        <v>L4M 4Z9</v>
      </c>
      <c r="G640" t="str">
        <f t="shared" si="59"/>
        <v>[ "Dashvapes Inc", 44.4152877777778, -79.7127644444444, '705-915-3274', 'L4M 4Z9'],</v>
      </c>
    </row>
    <row r="641" spans="1:7" x14ac:dyDescent="0.2">
      <c r="A641" t="s">
        <v>660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Staples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44.4170117391304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-79.7142417391304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705-735-4058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L4M 4Z9</v>
      </c>
      <c r="G641" t="str">
        <f t="shared" ref="G641:G704" si="65">"[ "&amp;CHAR(34)&amp;B641&amp;CHAR(34)&amp;", "&amp;C641&amp;", "&amp;D641&amp;", '"&amp;E641&amp;"', '"&amp;F641&amp;"'],"</f>
        <v>[ "Staples", 44.4170117391304, -79.7142417391304, '705-735-4058', 'L4M 4Z9'],</v>
      </c>
    </row>
    <row r="642" spans="1:7" hidden="1" x14ac:dyDescent="0.2">
      <c r="A642" t="s">
        <v>661</v>
      </c>
      <c r="B642" t="str">
        <f t="shared" si="60"/>
        <v>ListenUp! Canada</v>
      </c>
      <c r="C642" t="str">
        <f t="shared" si="61"/>
        <v>44.415656122449</v>
      </c>
      <c r="D642" t="str">
        <f t="shared" si="62"/>
        <v>-79.6589920408163</v>
      </c>
      <c r="E642" t="str">
        <f t="shared" si="63"/>
        <v>705-719-7009</v>
      </c>
      <c r="F642" t="str">
        <f t="shared" si="64"/>
        <v>L4M 7G1</v>
      </c>
      <c r="G642" t="str">
        <f t="shared" si="65"/>
        <v>[ "ListenUp! Canada", 44.415656122449, -79.6589920408163, '705-719-7009', 'L4M 7G1'],</v>
      </c>
    </row>
    <row r="643" spans="1:7" hidden="1" x14ac:dyDescent="0.2">
      <c r="A643" t="s">
        <v>662</v>
      </c>
      <c r="B643" t="str">
        <f t="shared" si="60"/>
        <v>The Source</v>
      </c>
      <c r="C643" t="str">
        <f t="shared" si="61"/>
        <v>44.3083969623904</v>
      </c>
      <c r="D643" t="str">
        <f t="shared" si="62"/>
        <v>-79.5762149746913</v>
      </c>
      <c r="E643" t="str">
        <f t="shared" si="63"/>
        <v>705-436-4070</v>
      </c>
      <c r="F643" t="str">
        <f t="shared" si="64"/>
        <v>L9S 4B2</v>
      </c>
      <c r="G643" t="str">
        <f t="shared" si="65"/>
        <v>[ "The Source", 44.3083969623904, -79.5762149746913, '705-436-4070', 'L9S 4B2'],</v>
      </c>
    </row>
    <row r="644" spans="1:7" hidden="1" x14ac:dyDescent="0.2">
      <c r="A644" t="s">
        <v>663</v>
      </c>
      <c r="B644" t="str">
        <f t="shared" si="60"/>
        <v>The Source</v>
      </c>
      <c r="C644" t="str">
        <f t="shared" si="61"/>
        <v>44.14841</v>
      </c>
      <c r="D644" t="str">
        <f t="shared" si="62"/>
        <v>-79.88178</v>
      </c>
      <c r="E644" t="str">
        <f t="shared" si="63"/>
        <v>705-435-7102</v>
      </c>
      <c r="F644" t="str">
        <f t="shared" si="64"/>
        <v>L9R 1P8</v>
      </c>
      <c r="G644" t="str">
        <f t="shared" si="65"/>
        <v>[ "The Source", 44.14841, -79.88178, '705-435-7102', 'L9R 1P8'],</v>
      </c>
    </row>
    <row r="645" spans="1:7" x14ac:dyDescent="0.2">
      <c r="A645" t="s">
        <v>664</v>
      </c>
      <c r="B645" t="str">
        <f t="shared" si="60"/>
        <v>Staples</v>
      </c>
      <c r="C645" t="str">
        <f t="shared" si="61"/>
        <v>44.148355</v>
      </c>
      <c r="D645" t="str">
        <f t="shared" si="62"/>
        <v>-79.882015</v>
      </c>
      <c r="E645" t="str">
        <f t="shared" si="63"/>
        <v>705-434-4992</v>
      </c>
      <c r="F645" t="str">
        <f t="shared" si="64"/>
        <v>L9R 1P8</v>
      </c>
      <c r="G645" t="str">
        <f t="shared" si="65"/>
        <v>[ "Staples", 44.148355, -79.882015, '705-434-4992', 'L9R 1P8'],</v>
      </c>
    </row>
    <row r="646" spans="1:7" hidden="1" x14ac:dyDescent="0.2">
      <c r="A646" t="s">
        <v>665</v>
      </c>
      <c r="B646" t="str">
        <f t="shared" si="60"/>
        <v>The Source</v>
      </c>
      <c r="C646" t="str">
        <f t="shared" si="61"/>
        <v>44.4292733333333</v>
      </c>
      <c r="D646" t="str">
        <f t="shared" si="62"/>
        <v>-79.1527777777778</v>
      </c>
      <c r="E646" t="str">
        <f t="shared" si="63"/>
        <v>705-426-7795</v>
      </c>
      <c r="F646" t="str">
        <f t="shared" si="64"/>
        <v>L0K 1A0</v>
      </c>
      <c r="G646" t="str">
        <f t="shared" si="65"/>
        <v>[ "The Source", 44.4292733333333, -79.1527777777778, '705-426-7795', 'L0K 1A0'],</v>
      </c>
    </row>
    <row r="647" spans="1:7" x14ac:dyDescent="0.2">
      <c r="A647" t="s">
        <v>666</v>
      </c>
      <c r="B647" t="str">
        <f t="shared" si="60"/>
        <v>Staples</v>
      </c>
      <c r="C647" t="str">
        <f t="shared" si="61"/>
        <v>44.34876</v>
      </c>
      <c r="D647" t="str">
        <f t="shared" si="62"/>
        <v>-78.76655</v>
      </c>
      <c r="E647" t="str">
        <f t="shared" si="63"/>
        <v>705-328-3427</v>
      </c>
      <c r="F647" t="str">
        <f t="shared" si="64"/>
        <v>K9V 2Z7</v>
      </c>
      <c r="G647" t="str">
        <f t="shared" si="65"/>
        <v>[ "Staples", 44.34876, -78.76655, '705-328-3427', 'K9V 2Z7'],</v>
      </c>
    </row>
    <row r="648" spans="1:7" hidden="1" x14ac:dyDescent="0.2">
      <c r="A648" t="s">
        <v>667</v>
      </c>
      <c r="B648" t="str">
        <f t="shared" si="60"/>
        <v>The Source</v>
      </c>
      <c r="C648" t="str">
        <f t="shared" si="61"/>
        <v>44.35011</v>
      </c>
      <c r="D648" t="str">
        <f t="shared" si="62"/>
        <v>-78.7597</v>
      </c>
      <c r="E648" t="str">
        <f t="shared" si="63"/>
        <v>705-324-1901</v>
      </c>
      <c r="F648" t="str">
        <f t="shared" si="64"/>
        <v>K9V 4Z1</v>
      </c>
      <c r="G648" t="str">
        <f t="shared" si="65"/>
        <v>[ "The Source", 44.35011, -78.7597, '705-324-1901', 'K9V 4Z1'],</v>
      </c>
    </row>
    <row r="649" spans="1:7" hidden="1" x14ac:dyDescent="0.2">
      <c r="A649" t="s">
        <v>668</v>
      </c>
      <c r="B649" t="str">
        <f t="shared" si="60"/>
        <v>ListenUp! Canada</v>
      </c>
      <c r="C649" t="str">
        <f t="shared" si="61"/>
        <v>44.3533542857143</v>
      </c>
      <c r="D649" t="str">
        <f t="shared" si="62"/>
        <v>-78.7440314285714</v>
      </c>
      <c r="E649" t="str">
        <f t="shared" si="63"/>
        <v>705-328-9181</v>
      </c>
      <c r="F649" t="str">
        <f t="shared" si="64"/>
        <v>K9V 6A4</v>
      </c>
      <c r="G649" t="str">
        <f t="shared" si="65"/>
        <v>[ "ListenUp! Canada", 44.3533542857143, -78.7440314285714, '705-328-9181', 'K9V 6A4'],</v>
      </c>
    </row>
    <row r="650" spans="1:7" hidden="1" x14ac:dyDescent="0.2">
      <c r="A650" t="s">
        <v>669</v>
      </c>
      <c r="B650" t="str">
        <f t="shared" si="60"/>
        <v>Home Hardware</v>
      </c>
      <c r="C650" t="str">
        <f t="shared" si="61"/>
        <v>44.35381</v>
      </c>
      <c r="D650" t="str">
        <f t="shared" si="62"/>
        <v>-78.74207</v>
      </c>
      <c r="E650" t="str">
        <f t="shared" si="63"/>
        <v>705-324-4611</v>
      </c>
      <c r="F650" t="str">
        <f t="shared" si="64"/>
        <v>K9V 2Y9</v>
      </c>
      <c r="G650" t="str">
        <f t="shared" si="65"/>
        <v>[ "Home Hardware", 44.35381, -78.74207, '705-324-4611', 'K9V 2Y9'],</v>
      </c>
    </row>
    <row r="651" spans="1:7" hidden="1" x14ac:dyDescent="0.2">
      <c r="A651" t="s">
        <v>670</v>
      </c>
      <c r="B651" t="str">
        <f t="shared" si="60"/>
        <v>Home Building Center</v>
      </c>
      <c r="C651" t="str">
        <f t="shared" si="61"/>
        <v>44.34109</v>
      </c>
      <c r="D651" t="str">
        <f t="shared" si="62"/>
        <v>-78.72824</v>
      </c>
      <c r="E651" t="str">
        <f t="shared" si="63"/>
        <v>705-324-3516</v>
      </c>
      <c r="F651" t="str">
        <f t="shared" si="64"/>
        <v>K9V 2N3</v>
      </c>
      <c r="G651" t="str">
        <f t="shared" si="65"/>
        <v>[ "Home Building Center", 44.34109, -78.72824, '705-324-3516', 'K9V 2N3'],</v>
      </c>
    </row>
    <row r="652" spans="1:7" hidden="1" x14ac:dyDescent="0.2">
      <c r="A652" t="s">
        <v>672</v>
      </c>
      <c r="B652" t="str">
        <f t="shared" si="60"/>
        <v>RONA</v>
      </c>
      <c r="C652" t="str">
        <f t="shared" si="61"/>
        <v>44.421163</v>
      </c>
      <c r="D652" t="str">
        <f t="shared" si="62"/>
        <v>-78.271105</v>
      </c>
      <c r="E652" t="str">
        <f t="shared" si="63"/>
        <v>705-652-3347</v>
      </c>
      <c r="F652" t="str">
        <f t="shared" si="64"/>
        <v>K0L 2H0</v>
      </c>
      <c r="G652" t="str">
        <f t="shared" si="65"/>
        <v>[ "RONA", 44.421163, -78.271105, '705-652-3347', 'K0L 2H0'],</v>
      </c>
    </row>
    <row r="653" spans="1:7" hidden="1" x14ac:dyDescent="0.2">
      <c r="A653" t="s">
        <v>673</v>
      </c>
      <c r="B653" t="str">
        <f t="shared" si="60"/>
        <v>Kawartha Hardware Limited</v>
      </c>
      <c r="C653" t="str">
        <f t="shared" si="61"/>
        <v>44.42319</v>
      </c>
      <c r="D653" t="str">
        <f t="shared" si="62"/>
        <v>-78.2721875</v>
      </c>
      <c r="E653" t="str">
        <f t="shared" si="63"/>
        <v>705-652-3171</v>
      </c>
      <c r="F653" t="str">
        <f t="shared" si="64"/>
        <v>K0L 2H0</v>
      </c>
      <c r="G653" t="str">
        <f t="shared" si="65"/>
        <v>[ "Kawartha Hardware Limited", 44.42319, -78.2721875, '705-652-3171', 'K0L 2H0'],</v>
      </c>
    </row>
    <row r="654" spans="1:7" hidden="1" x14ac:dyDescent="0.2">
      <c r="A654" t="s">
        <v>674</v>
      </c>
      <c r="B654" t="str">
        <f t="shared" si="60"/>
        <v>ListenUp! Canada</v>
      </c>
      <c r="C654" t="str">
        <f t="shared" si="61"/>
        <v>44.30466</v>
      </c>
      <c r="D654" t="str">
        <f t="shared" si="62"/>
        <v>-78.31997</v>
      </c>
      <c r="E654" t="str">
        <f t="shared" si="63"/>
        <v>705-741-2947</v>
      </c>
      <c r="F654" t="str">
        <f t="shared" si="64"/>
        <v>K9H 3R2</v>
      </c>
      <c r="G654" t="str">
        <f t="shared" si="65"/>
        <v>[ "ListenUp! Canada", 44.30466, -78.31997, '705-741-2947', 'K9H 3R2'],</v>
      </c>
    </row>
    <row r="655" spans="1:7" hidden="1" x14ac:dyDescent="0.2">
      <c r="A655" t="s">
        <v>675</v>
      </c>
      <c r="B655" t="str">
        <f t="shared" si="60"/>
        <v>MNRF</v>
      </c>
      <c r="C655" t="str">
        <f t="shared" si="61"/>
        <v>44.3025876914989</v>
      </c>
      <c r="D655" t="str">
        <f t="shared" si="62"/>
        <v>-78.3189538463336</v>
      </c>
      <c r="E655" t="str">
        <f t="shared" si="63"/>
        <v>705-755-1740</v>
      </c>
      <c r="F655" t="str">
        <f t="shared" si="64"/>
        <v>K9J 3C7</v>
      </c>
      <c r="G655" t="str">
        <f t="shared" si="65"/>
        <v>[ "MNRF", 44.3025876914989, -78.3189538463336, '705-755-1740', 'K9J 3C7'],</v>
      </c>
    </row>
    <row r="656" spans="1:7" hidden="1" x14ac:dyDescent="0.2">
      <c r="A656" t="s">
        <v>676</v>
      </c>
      <c r="B656" t="str">
        <f t="shared" si="60"/>
        <v>Larry Electric Motor Service Ltd</v>
      </c>
      <c r="C656" t="str">
        <f t="shared" si="61"/>
        <v>44.3008138095238</v>
      </c>
      <c r="D656" t="str">
        <f t="shared" si="62"/>
        <v>-78.3198766666667</v>
      </c>
      <c r="E656" t="str">
        <f t="shared" si="63"/>
        <v>705-743-3167</v>
      </c>
      <c r="F656" t="str">
        <f t="shared" si="64"/>
        <v>K9J 2N3</v>
      </c>
      <c r="G656" t="str">
        <f t="shared" si="65"/>
        <v>[ "Larry Electric Motor Service Ltd", 44.3008138095238, -78.3198766666667, '705-743-3167', 'K9J 2N3'],</v>
      </c>
    </row>
    <row r="657" spans="1:7" x14ac:dyDescent="0.2">
      <c r="A657" t="s">
        <v>677</v>
      </c>
      <c r="B657" t="str">
        <f t="shared" si="60"/>
        <v>Staples</v>
      </c>
      <c r="C657" t="str">
        <f t="shared" si="61"/>
        <v>44.2896633333333</v>
      </c>
      <c r="D657" t="str">
        <f t="shared" si="62"/>
        <v>-78.3234533333333</v>
      </c>
      <c r="E657" t="str">
        <f t="shared" si="63"/>
        <v>705-741-1130</v>
      </c>
      <c r="F657" t="str">
        <f t="shared" si="64"/>
        <v>K9J 3R8</v>
      </c>
      <c r="G657" t="str">
        <f t="shared" si="65"/>
        <v>[ "Staples", 44.2896633333333, -78.3234533333333, '705-741-1130', 'K9J 3R8'],</v>
      </c>
    </row>
    <row r="658" spans="1:7" hidden="1" x14ac:dyDescent="0.2">
      <c r="A658" t="s">
        <v>678</v>
      </c>
      <c r="B658" t="str">
        <f t="shared" si="60"/>
        <v>Home Depot</v>
      </c>
      <c r="C658" t="str">
        <f t="shared" si="61"/>
        <v>44.2865753416109</v>
      </c>
      <c r="D658" t="str">
        <f t="shared" si="62"/>
        <v>-78.3271086335564</v>
      </c>
      <c r="E658" t="str">
        <f t="shared" si="63"/>
        <v>705-876-4560</v>
      </c>
      <c r="F658" t="str">
        <f t="shared" si="64"/>
        <v>K9J 8J7</v>
      </c>
      <c r="G658" t="str">
        <f t="shared" si="65"/>
        <v>[ "Home Depot", 44.2865753416109, -78.3271086335564, '705-876-4560', 'K9J 8J7'],</v>
      </c>
    </row>
    <row r="659" spans="1:7" hidden="1" x14ac:dyDescent="0.2">
      <c r="A659" t="s">
        <v>679</v>
      </c>
      <c r="B659" t="str">
        <f t="shared" si="60"/>
        <v>The Source</v>
      </c>
      <c r="C659" t="str">
        <f t="shared" si="61"/>
        <v>44.28491</v>
      </c>
      <c r="D659" t="str">
        <f t="shared" si="62"/>
        <v>-78.3334</v>
      </c>
      <c r="E659" t="str">
        <f t="shared" si="63"/>
        <v>705-743-2189</v>
      </c>
      <c r="F659" t="str">
        <f t="shared" si="64"/>
        <v>K9J 7Y5</v>
      </c>
      <c r="G659" t="str">
        <f t="shared" si="65"/>
        <v>[ "The Source", 44.28491, -78.3334, '705-743-2189', 'K9J 7Y5'],</v>
      </c>
    </row>
    <row r="660" spans="1:7" hidden="1" x14ac:dyDescent="0.2">
      <c r="A660" t="s">
        <v>680</v>
      </c>
      <c r="B660" t="str">
        <f t="shared" si="60"/>
        <v>ListenUp! Canada</v>
      </c>
      <c r="C660" t="str">
        <f t="shared" si="61"/>
        <v>44.284434</v>
      </c>
      <c r="D660" t="str">
        <f t="shared" si="62"/>
        <v>-78.350731</v>
      </c>
      <c r="E660" t="str">
        <f t="shared" si="63"/>
        <v>705-749-9180</v>
      </c>
      <c r="F660" t="str">
        <f t="shared" si="64"/>
        <v>K9J 5Y3</v>
      </c>
      <c r="G660" t="str">
        <f t="shared" si="65"/>
        <v>[ "ListenUp! Canada", 44.284434, -78.350731, '705-749-9180', 'K9J 5Y3'],</v>
      </c>
    </row>
    <row r="661" spans="1:7" x14ac:dyDescent="0.2">
      <c r="A661" t="s">
        <v>681</v>
      </c>
      <c r="B661" t="str">
        <f t="shared" si="60"/>
        <v>Best Buy Canada</v>
      </c>
      <c r="C661" t="str">
        <f t="shared" si="61"/>
        <v>44.28143</v>
      </c>
      <c r="D661" t="str">
        <f t="shared" si="62"/>
        <v>-78.34724</v>
      </c>
      <c r="E661" t="str">
        <f t="shared" si="63"/>
        <v>705-741-2081</v>
      </c>
      <c r="F661" t="str">
        <f t="shared" si="64"/>
        <v>K9J 7M2</v>
      </c>
      <c r="G661" t="str">
        <f t="shared" si="65"/>
        <v>[ "Best Buy Canada", 44.28143, -78.34724, '705-741-2081', 'K9J 7M2'],</v>
      </c>
    </row>
    <row r="662" spans="1:7" hidden="1" x14ac:dyDescent="0.2">
      <c r="A662" t="s">
        <v>682</v>
      </c>
      <c r="B662" t="str">
        <f t="shared" si="60"/>
        <v>Canadian Tire</v>
      </c>
      <c r="C662" t="str">
        <f t="shared" si="61"/>
        <v>44.28028625</v>
      </c>
      <c r="D662" t="str">
        <f t="shared" si="62"/>
        <v>-78.35212875</v>
      </c>
      <c r="E662" t="str">
        <f t="shared" si="63"/>
        <v>705-742-0406</v>
      </c>
      <c r="F662" t="str">
        <f t="shared" si="64"/>
        <v>K9J 2A1</v>
      </c>
      <c r="G662" t="str">
        <f t="shared" si="65"/>
        <v>[ "Canadian Tire", 44.28028625, -78.35212875, '705-742-0406', 'K9J 2A1'],</v>
      </c>
    </row>
    <row r="663" spans="1:7" hidden="1" x14ac:dyDescent="0.2">
      <c r="A663" t="s">
        <v>683</v>
      </c>
      <c r="B663" t="str">
        <f t="shared" si="60"/>
        <v>Township of Douro-Dummer</v>
      </c>
      <c r="C663" t="str">
        <f t="shared" si="61"/>
        <v>44.42824</v>
      </c>
      <c r="D663" t="str">
        <f t="shared" si="62"/>
        <v>-78.13654</v>
      </c>
      <c r="E663" t="str">
        <f t="shared" si="63"/>
        <v>705-652-8392</v>
      </c>
      <c r="F663" t="str">
        <f t="shared" si="64"/>
        <v>K0L 3A0</v>
      </c>
      <c r="G663" t="str">
        <f t="shared" si="65"/>
        <v>[ "Township of Douro-Dummer", 44.42824, -78.13654, '705-652-8392', 'K0L 3A0'],</v>
      </c>
    </row>
    <row r="664" spans="1:7" hidden="1" x14ac:dyDescent="0.2">
      <c r="A664" t="s">
        <v>685</v>
      </c>
      <c r="B664" t="str">
        <f t="shared" si="60"/>
        <v>Drummond Bldg Supplies</v>
      </c>
      <c r="C664" t="str">
        <f t="shared" si="61"/>
        <v>44.47863</v>
      </c>
      <c r="D664" t="str">
        <f t="shared" si="62"/>
        <v>-77.6922</v>
      </c>
      <c r="E664" t="str">
        <f t="shared" si="63"/>
        <v>613-472-2628</v>
      </c>
      <c r="F664" t="str">
        <f t="shared" si="64"/>
        <v>K0K 2M0</v>
      </c>
      <c r="G664" t="str">
        <f t="shared" si="65"/>
        <v>[ "Drummond Bldg Supplies", 44.47863, -77.6922, '613-472-2628', 'K0K 2M0'],</v>
      </c>
    </row>
    <row r="665" spans="1:7" hidden="1" x14ac:dyDescent="0.2">
      <c r="A665" t="s">
        <v>686</v>
      </c>
      <c r="B665" t="str">
        <f t="shared" si="60"/>
        <v>RONA Campbellford</v>
      </c>
      <c r="C665" t="str">
        <f t="shared" si="61"/>
        <v>44.2890461052992</v>
      </c>
      <c r="D665" t="str">
        <f t="shared" si="62"/>
        <v>-77.8092744786324</v>
      </c>
      <c r="E665" t="str">
        <f t="shared" si="63"/>
        <v>705-653-1440</v>
      </c>
      <c r="F665" t="str">
        <f t="shared" si="64"/>
        <v>K0L 1L0</v>
      </c>
      <c r="G665" t="str">
        <f t="shared" si="65"/>
        <v>[ "RONA Campbellford", 44.2890461052992, -77.8092744786324, '705-653-1440', 'K0L 1L0'],</v>
      </c>
    </row>
    <row r="666" spans="1:7" hidden="1" x14ac:dyDescent="0.2">
      <c r="A666" t="s">
        <v>687</v>
      </c>
      <c r="B666" t="str">
        <f t="shared" si="60"/>
        <v>RONA</v>
      </c>
      <c r="C666" t="str">
        <f t="shared" si="61"/>
        <v>44.2918933333333</v>
      </c>
      <c r="D666" t="str">
        <f t="shared" si="62"/>
        <v>-77.5647533333333</v>
      </c>
      <c r="E666" t="str">
        <f t="shared" si="63"/>
        <v>613-395-3361</v>
      </c>
      <c r="F666" t="str">
        <f t="shared" si="64"/>
        <v>K0K 3E0</v>
      </c>
      <c r="G666" t="str">
        <f t="shared" si="65"/>
        <v>[ "RONA", 44.2918933333333, -77.5647533333333, '613-395-3361', 'K0K 3E0'],</v>
      </c>
    </row>
    <row r="667" spans="1:7" hidden="1" x14ac:dyDescent="0.2">
      <c r="A667" t="s">
        <v>688</v>
      </c>
      <c r="B667" t="str">
        <f t="shared" si="60"/>
        <v>Newburgh Pharmacy</v>
      </c>
      <c r="C667" t="str">
        <f t="shared" si="61"/>
        <v>44.41552</v>
      </c>
      <c r="D667" t="str">
        <f t="shared" si="62"/>
        <v>-76.98359</v>
      </c>
      <c r="E667" t="str">
        <f t="shared" si="63"/>
        <v>613-378-2220</v>
      </c>
      <c r="F667" t="str">
        <f t="shared" si="64"/>
        <v>K0K 2S0</v>
      </c>
      <c r="G667" t="str">
        <f t="shared" si="65"/>
        <v>[ "Newburgh Pharmacy", 44.41552, -76.98359, '613-378-2220', 'K0K 2S0'],</v>
      </c>
    </row>
    <row r="668" spans="1:7" hidden="1" x14ac:dyDescent="0.2">
      <c r="A668" t="s">
        <v>689</v>
      </c>
      <c r="B668" t="str">
        <f t="shared" si="60"/>
        <v>Drummond Bldg Supplies</v>
      </c>
      <c r="C668" t="str">
        <f t="shared" si="61"/>
        <v>44.47863</v>
      </c>
      <c r="D668" t="str">
        <f t="shared" si="62"/>
        <v>-77.6922</v>
      </c>
      <c r="E668" t="str">
        <f t="shared" si="63"/>
        <v>613-472-2628</v>
      </c>
      <c r="F668" t="str">
        <f t="shared" si="64"/>
        <v>K0K 2M0</v>
      </c>
      <c r="G668" t="str">
        <f t="shared" si="65"/>
        <v>[ "Drummond Bldg Supplies", 44.47863, -77.6922, '613-472-2628', 'K0K 2M0'],</v>
      </c>
    </row>
    <row r="669" spans="1:7" hidden="1" x14ac:dyDescent="0.2">
      <c r="A669" t="s">
        <v>690</v>
      </c>
      <c r="B669" t="str">
        <f t="shared" si="60"/>
        <v>ListenUp! Canada</v>
      </c>
      <c r="C669" t="str">
        <f t="shared" si="61"/>
        <v>44.9048185713514</v>
      </c>
      <c r="D669" t="str">
        <f t="shared" si="62"/>
        <v>-76.2661892542424</v>
      </c>
      <c r="E669" t="str">
        <f t="shared" si="63"/>
        <v>613-267-4877</v>
      </c>
      <c r="F669" t="str">
        <f t="shared" si="64"/>
        <v>K7H 2Y4</v>
      </c>
      <c r="G669" t="str">
        <f t="shared" si="65"/>
        <v>[ "ListenUp! Canada", 44.9048185713514, -76.2661892542424, '613-267-4877', 'K7H 2Y4'],</v>
      </c>
    </row>
    <row r="670" spans="1:7" hidden="1" x14ac:dyDescent="0.2">
      <c r="A670" t="s">
        <v>691</v>
      </c>
      <c r="B670" t="str">
        <f t="shared" si="60"/>
        <v>Perth Home Hardware</v>
      </c>
      <c r="C670" t="str">
        <f t="shared" si="61"/>
        <v>44.9122139448057</v>
      </c>
      <c r="D670" t="str">
        <f t="shared" si="62"/>
        <v>-76.2617478896113</v>
      </c>
      <c r="E670" t="str">
        <f t="shared" si="63"/>
        <v>613-267-4501</v>
      </c>
      <c r="F670" t="str">
        <f t="shared" si="64"/>
        <v>K7H 2K8</v>
      </c>
      <c r="G670" t="str">
        <f t="shared" si="65"/>
        <v>[ "Perth Home Hardware", 44.9122139448057, -76.2617478896113, '613-267-4501', 'K7H 2K8'],</v>
      </c>
    </row>
    <row r="671" spans="1:7" hidden="1" x14ac:dyDescent="0.2">
      <c r="A671" t="s">
        <v>692</v>
      </c>
      <c r="B671" t="str">
        <f t="shared" si="60"/>
        <v>Newburgh Pharmacy</v>
      </c>
      <c r="C671" t="str">
        <f t="shared" si="61"/>
        <v>44.41552</v>
      </c>
      <c r="D671" t="str">
        <f t="shared" si="62"/>
        <v>-76.98359</v>
      </c>
      <c r="E671" t="str">
        <f t="shared" si="63"/>
        <v>613-378-2220</v>
      </c>
      <c r="F671" t="str">
        <f t="shared" si="64"/>
        <v>K0K 2S0</v>
      </c>
      <c r="G671" t="str">
        <f t="shared" si="65"/>
        <v>[ "Newburgh Pharmacy", 44.41552, -76.98359, '613-378-2220', 'K0K 2S0'],</v>
      </c>
    </row>
    <row r="672" spans="1:7" hidden="1" x14ac:dyDescent="0.2">
      <c r="A672" t="s">
        <v>693</v>
      </c>
      <c r="B672" t="str">
        <f t="shared" si="60"/>
        <v>Drummond North Elmsley Twnsp</v>
      </c>
      <c r="C672" t="str">
        <f t="shared" si="61"/>
        <v>44.8894447890205</v>
      </c>
      <c r="D672" t="str">
        <f t="shared" si="62"/>
        <v>-76.1313426391912</v>
      </c>
      <c r="E672" t="str">
        <f t="shared" si="63"/>
        <v>613-267-6565</v>
      </c>
      <c r="F672" t="str">
        <f t="shared" si="64"/>
        <v>K7H 3C7</v>
      </c>
      <c r="G672" t="str">
        <f t="shared" si="65"/>
        <v>[ "Drummond North Elmsley Twnsp", 44.8894447890205, -76.1313426391912, '613-267-6565', 'K7H 3C7'],</v>
      </c>
    </row>
    <row r="673" spans="1:7" hidden="1" x14ac:dyDescent="0.2">
      <c r="A673" t="s">
        <v>694</v>
      </c>
      <c r="B673" t="str">
        <f t="shared" si="60"/>
        <v>The Source</v>
      </c>
      <c r="C673" t="str">
        <f t="shared" si="61"/>
        <v>45.4733353838408</v>
      </c>
      <c r="D673" t="str">
        <f t="shared" si="62"/>
        <v>-76.6620634021754</v>
      </c>
      <c r="E673" t="str">
        <f t="shared" si="63"/>
        <v>613-433-8805</v>
      </c>
      <c r="F673" t="str">
        <f t="shared" si="64"/>
        <v>K7V 0B4</v>
      </c>
      <c r="G673" t="str">
        <f t="shared" si="65"/>
        <v>[ "The Source", 45.4733353838408, -76.6620634021754, '613-433-8805', 'K7V 0B4'],</v>
      </c>
    </row>
    <row r="674" spans="1:7" hidden="1" x14ac:dyDescent="0.2">
      <c r="A674" t="s">
        <v>695</v>
      </c>
      <c r="B674" t="str">
        <f t="shared" si="60"/>
        <v>Canadian Tire</v>
      </c>
      <c r="C674" t="str">
        <f t="shared" si="61"/>
        <v>45.4815908474576</v>
      </c>
      <c r="D674" t="str">
        <f t="shared" si="62"/>
        <v>-76.6472638983051</v>
      </c>
      <c r="E674" t="str">
        <f t="shared" si="63"/>
        <v>613-432-5821</v>
      </c>
      <c r="F674" t="str">
        <f t="shared" si="64"/>
        <v>K7V 3Z4</v>
      </c>
      <c r="G674" t="str">
        <f t="shared" si="65"/>
        <v>[ "Canadian Tire", 45.4815908474576, -76.6472638983051, '613-432-5821', 'K7V 3Z4'],</v>
      </c>
    </row>
    <row r="675" spans="1:7" hidden="1" x14ac:dyDescent="0.2">
      <c r="A675" t="s">
        <v>696</v>
      </c>
      <c r="B675" t="str">
        <f t="shared" si="60"/>
        <v>ListenUp! Canada</v>
      </c>
      <c r="C675" t="str">
        <f t="shared" si="61"/>
        <v>45.13467</v>
      </c>
      <c r="D675" t="str">
        <f t="shared" si="62"/>
        <v>-76.1395070588235</v>
      </c>
      <c r="E675" t="str">
        <f t="shared" si="63"/>
        <v>613-253-0877</v>
      </c>
      <c r="F675" t="str">
        <f t="shared" si="64"/>
        <v>K7C 2T7</v>
      </c>
      <c r="G675" t="str">
        <f t="shared" si="65"/>
        <v>[ "ListenUp! Canada", 45.13467, -76.1395070588235, '613-253-0877', 'K7C 2T7'],</v>
      </c>
    </row>
    <row r="676" spans="1:7" hidden="1" x14ac:dyDescent="0.2">
      <c r="A676" t="s">
        <v>697</v>
      </c>
      <c r="B676" t="str">
        <f t="shared" si="60"/>
        <v>Canadian Tire</v>
      </c>
      <c r="C676" t="str">
        <f t="shared" si="61"/>
        <v>45.13363</v>
      </c>
      <c r="D676" t="str">
        <f t="shared" si="62"/>
        <v>-76.12181</v>
      </c>
      <c r="E676" t="str">
        <f t="shared" si="63"/>
        <v>613-253-8473</v>
      </c>
      <c r="F676" t="str">
        <f t="shared" si="64"/>
        <v>K7C 4S6</v>
      </c>
      <c r="G676" t="str">
        <f t="shared" si="65"/>
        <v>[ "Canadian Tire", 45.13363, -76.12181, '613-253-8473', 'K7C 4S6'],</v>
      </c>
    </row>
    <row r="677" spans="1:7" hidden="1" x14ac:dyDescent="0.2">
      <c r="A677" t="s">
        <v>698</v>
      </c>
      <c r="B677" t="str">
        <f t="shared" si="60"/>
        <v>The Source</v>
      </c>
      <c r="C677" t="str">
        <f t="shared" si="61"/>
        <v>45.1332345557538</v>
      </c>
      <c r="D677" t="str">
        <f t="shared" si="62"/>
        <v>-76.1213763011819</v>
      </c>
      <c r="E677" t="str">
        <f t="shared" si="63"/>
        <v>613-253-7813</v>
      </c>
      <c r="F677" t="str">
        <f t="shared" si="64"/>
        <v>K7C 0A8</v>
      </c>
      <c r="G677" t="str">
        <f t="shared" si="65"/>
        <v>[ "The Source", 45.1332345557538, -76.1213763011819, '613-253-7813', 'K7C 0A8'],</v>
      </c>
    </row>
    <row r="678" spans="1:7" x14ac:dyDescent="0.2">
      <c r="A678" t="s">
        <v>699</v>
      </c>
      <c r="B678" t="str">
        <f t="shared" si="60"/>
        <v>Staples</v>
      </c>
      <c r="C678" t="str">
        <f t="shared" si="61"/>
        <v>45.1327560185777</v>
      </c>
      <c r="D678" t="str">
        <f t="shared" si="62"/>
        <v>-76.1207543897624</v>
      </c>
      <c r="E678" t="str">
        <f t="shared" si="63"/>
        <v>613-253-2400</v>
      </c>
      <c r="F678" t="str">
        <f t="shared" si="64"/>
        <v>K7C 0A8</v>
      </c>
      <c r="G678" t="str">
        <f t="shared" si="65"/>
        <v>[ "Staples", 45.1327560185777, -76.1207543897624, '613-253-2400', 'K7C 0A8'],</v>
      </c>
    </row>
    <row r="679" spans="1:7" hidden="1" x14ac:dyDescent="0.2">
      <c r="A679" t="s">
        <v>700</v>
      </c>
      <c r="B679" t="str">
        <f t="shared" si="60"/>
        <v>Home Depot</v>
      </c>
      <c r="C679" t="str">
        <f t="shared" si="61"/>
        <v>45.13223</v>
      </c>
      <c r="D679" t="str">
        <f t="shared" si="62"/>
        <v>-76.12007</v>
      </c>
      <c r="E679" t="str">
        <f t="shared" si="63"/>
        <v>613-253-3870</v>
      </c>
      <c r="F679" t="str">
        <f t="shared" si="64"/>
        <v>K7C 0A7</v>
      </c>
      <c r="G679" t="str">
        <f t="shared" si="65"/>
        <v>[ "Home Depot", 45.13223, -76.12007, '613-253-3870', 'K7C 0A7'],</v>
      </c>
    </row>
    <row r="680" spans="1:7" hidden="1" x14ac:dyDescent="0.2">
      <c r="A680" t="s">
        <v>701</v>
      </c>
      <c r="B680" t="str">
        <f t="shared" si="60"/>
        <v>Bancroft Home Hardware</v>
      </c>
      <c r="C680" t="str">
        <f t="shared" si="61"/>
        <v>45.0730625726286</v>
      </c>
      <c r="D680" t="str">
        <f t="shared" si="62"/>
        <v>-77.8625030411204</v>
      </c>
      <c r="E680" t="str">
        <f t="shared" si="63"/>
        <v>613-332-2060</v>
      </c>
      <c r="F680" t="str">
        <f t="shared" si="64"/>
        <v>K0L 1C0</v>
      </c>
      <c r="G680" t="str">
        <f t="shared" si="65"/>
        <v>[ "Bancroft Home Hardware", 45.0730625726286, -77.8625030411204, '613-332-2060', 'K0L 1C0'],</v>
      </c>
    </row>
    <row r="681" spans="1:7" hidden="1" x14ac:dyDescent="0.2">
      <c r="A681" t="s">
        <v>702</v>
      </c>
      <c r="B681" t="str">
        <f t="shared" si="60"/>
        <v>Canadian Tire</v>
      </c>
      <c r="C681" t="str">
        <f t="shared" si="61"/>
        <v>45.0827948913303</v>
      </c>
      <c r="D681" t="str">
        <f t="shared" si="62"/>
        <v>-77.8604298133936</v>
      </c>
      <c r="E681" t="str">
        <f t="shared" si="63"/>
        <v>613-332-1074</v>
      </c>
      <c r="F681" t="str">
        <f t="shared" si="64"/>
        <v>K0L 1C0</v>
      </c>
      <c r="G681" t="str">
        <f t="shared" si="65"/>
        <v>[ "Canadian Tire", 45.0827948913303, -77.8604298133936, '613-332-1074', 'K0L 1C0'],</v>
      </c>
    </row>
    <row r="682" spans="1:7" hidden="1" x14ac:dyDescent="0.2">
      <c r="A682" t="s">
        <v>703</v>
      </c>
      <c r="B682" t="str">
        <f t="shared" si="60"/>
        <v>The Source</v>
      </c>
      <c r="C682" t="str">
        <f t="shared" si="61"/>
        <v>44.2594669387755</v>
      </c>
      <c r="D682" t="str">
        <f t="shared" si="62"/>
        <v>-76.9696418367347</v>
      </c>
      <c r="E682" t="str">
        <f t="shared" si="63"/>
        <v>613-354-6366</v>
      </c>
      <c r="F682" t="str">
        <f t="shared" si="64"/>
        <v>K7R 3L2</v>
      </c>
      <c r="G682" t="str">
        <f t="shared" si="65"/>
        <v>[ "The Source", 44.2594669387755, -76.9696418367347, '613-354-6366', 'K7R 3L2'],</v>
      </c>
    </row>
    <row r="683" spans="1:7" hidden="1" x14ac:dyDescent="0.2">
      <c r="A683" t="s">
        <v>704</v>
      </c>
      <c r="B683" t="str">
        <f t="shared" si="60"/>
        <v>The Source</v>
      </c>
      <c r="C683" t="str">
        <f t="shared" si="61"/>
        <v>45.4221200682615</v>
      </c>
      <c r="D683" t="str">
        <f t="shared" si="62"/>
        <v>-76.3679568434674</v>
      </c>
      <c r="E683" t="str">
        <f t="shared" si="63"/>
        <v>613-623-9776</v>
      </c>
      <c r="F683" t="str">
        <f t="shared" si="64"/>
        <v>K7S 3G9</v>
      </c>
      <c r="G683" t="str">
        <f t="shared" si="65"/>
        <v>[ "The Source", 45.4221200682615, -76.3679568434674, '613-623-9776', 'K7S 3G9'],</v>
      </c>
    </row>
    <row r="684" spans="1:7" hidden="1" x14ac:dyDescent="0.2">
      <c r="A684" t="s">
        <v>705</v>
      </c>
      <c r="B684" t="str">
        <f t="shared" si="60"/>
        <v>ListenUp! Canada</v>
      </c>
      <c r="C684" t="str">
        <f t="shared" si="61"/>
        <v>44.9065194367056</v>
      </c>
      <c r="D684" t="str">
        <f t="shared" si="62"/>
        <v>-76.0257185705578</v>
      </c>
      <c r="E684" t="str">
        <f t="shared" si="63"/>
        <v>613-284-0877</v>
      </c>
      <c r="F684" t="str">
        <f t="shared" si="64"/>
        <v>K7A 5L3</v>
      </c>
      <c r="G684" t="str">
        <f t="shared" si="65"/>
        <v>[ "ListenUp! Canada", 44.9065194367056, -76.0257185705578, '613-284-0877', 'K7A 5L3'],</v>
      </c>
    </row>
    <row r="685" spans="1:7" hidden="1" x14ac:dyDescent="0.2">
      <c r="A685" t="s">
        <v>706</v>
      </c>
      <c r="B685" t="str">
        <f t="shared" si="60"/>
        <v>Town of Arnprior</v>
      </c>
      <c r="C685" t="str">
        <f t="shared" si="61"/>
        <v>45.4347</v>
      </c>
      <c r="D685" t="str">
        <f t="shared" si="62"/>
        <v>-76.3568</v>
      </c>
      <c r="E685" t="str">
        <f t="shared" si="63"/>
        <v>613-623-4231</v>
      </c>
      <c r="F685" t="str">
        <f t="shared" si="64"/>
        <v>K7S 0A8</v>
      </c>
      <c r="G685" t="str">
        <f t="shared" si="65"/>
        <v>[ "Town of Arnprior", 45.4347, -76.3568, '613-623-4231', 'K7S 0A8'],</v>
      </c>
    </row>
    <row r="686" spans="1:7" hidden="1" x14ac:dyDescent="0.2">
      <c r="A686" t="s">
        <v>707</v>
      </c>
      <c r="B686" t="str">
        <f t="shared" si="60"/>
        <v>ListenUp! Canada</v>
      </c>
      <c r="C686" t="str">
        <f t="shared" si="61"/>
        <v>44.24091</v>
      </c>
      <c r="D686" t="str">
        <f t="shared" si="62"/>
        <v>-76.96616</v>
      </c>
      <c r="E686" t="str">
        <f t="shared" si="63"/>
        <v>613-354-7000</v>
      </c>
      <c r="F686" t="str">
        <f t="shared" si="64"/>
        <v>K7R 3V3</v>
      </c>
      <c r="G686" t="str">
        <f t="shared" si="65"/>
        <v>[ "ListenUp! Canada", 44.24091, -76.96616, '613-354-7000', 'K7R 3V3'],</v>
      </c>
    </row>
    <row r="687" spans="1:7" hidden="1" x14ac:dyDescent="0.2">
      <c r="A687" t="s">
        <v>708</v>
      </c>
      <c r="B687" t="str">
        <f t="shared" si="60"/>
        <v>Drummond Bldg Supplies</v>
      </c>
      <c r="C687" t="str">
        <f t="shared" si="61"/>
        <v>44.47863</v>
      </c>
      <c r="D687" t="str">
        <f t="shared" si="62"/>
        <v>-77.6922</v>
      </c>
      <c r="E687" t="str">
        <f t="shared" si="63"/>
        <v>613-472-2628</v>
      </c>
      <c r="F687" t="str">
        <f t="shared" si="64"/>
        <v>K0K 2M0</v>
      </c>
      <c r="G687" t="str">
        <f t="shared" si="65"/>
        <v>[ "Drummond Bldg Supplies", 44.47863, -77.6922, '613-472-2628', 'K0K 2M0'],</v>
      </c>
    </row>
    <row r="688" spans="1:7" hidden="1" x14ac:dyDescent="0.2">
      <c r="A688" t="s">
        <v>709</v>
      </c>
      <c r="B688" t="str">
        <f t="shared" si="60"/>
        <v>Rona</v>
      </c>
      <c r="C688" t="str">
        <f t="shared" si="61"/>
        <v>45.42595</v>
      </c>
      <c r="D688" t="str">
        <f t="shared" si="62"/>
        <v>-76.32327</v>
      </c>
      <c r="E688" t="str">
        <f t="shared" si="63"/>
        <v>613-623-4791</v>
      </c>
      <c r="F688" t="str">
        <f t="shared" si="64"/>
        <v>K7S 3N2</v>
      </c>
      <c r="G688" t="str">
        <f t="shared" si="65"/>
        <v>[ "Rona", 45.42595, -76.32327, '613-623-4791', 'K7S 3N2'],</v>
      </c>
    </row>
    <row r="689" spans="1:7" hidden="1" x14ac:dyDescent="0.2">
      <c r="A689" t="s">
        <v>710</v>
      </c>
      <c r="B689" t="str">
        <f t="shared" si="60"/>
        <v>Christie and Walther</v>
      </c>
      <c r="C689" t="str">
        <f t="shared" si="61"/>
        <v>44.2742812222652</v>
      </c>
      <c r="D689" t="str">
        <f t="shared" si="62"/>
        <v>-76.5654773740755</v>
      </c>
      <c r="E689" t="str">
        <f t="shared" si="63"/>
        <v>613-634-3636</v>
      </c>
      <c r="F689" t="str">
        <f t="shared" si="64"/>
        <v>K7P 2T4</v>
      </c>
      <c r="G689" t="str">
        <f t="shared" si="65"/>
        <v>[ "Christie and Walther", 44.2742812222652, -76.5654773740755, '613-634-3636', 'K7P 2T4'],</v>
      </c>
    </row>
    <row r="690" spans="1:7" hidden="1" x14ac:dyDescent="0.2">
      <c r="A690" t="s">
        <v>711</v>
      </c>
      <c r="B690" t="str">
        <f t="shared" si="60"/>
        <v>Lowes</v>
      </c>
      <c r="C690" t="str">
        <f t="shared" si="61"/>
        <v>44.261456779661</v>
      </c>
      <c r="D690" t="str">
        <f t="shared" si="62"/>
        <v>-76.5688013559322</v>
      </c>
      <c r="E690" t="str">
        <f t="shared" si="63"/>
        <v>613-634-5410</v>
      </c>
      <c r="F690" t="str">
        <f t="shared" si="64"/>
        <v>K7P 0G1</v>
      </c>
      <c r="G690" t="str">
        <f t="shared" si="65"/>
        <v>[ "Lowes", 44.261456779661, -76.5688013559322, '613-634-5410', 'K7P 0G1'],</v>
      </c>
    </row>
    <row r="691" spans="1:7" hidden="1" x14ac:dyDescent="0.2">
      <c r="A691" t="s">
        <v>712</v>
      </c>
      <c r="B691" t="str">
        <f t="shared" si="60"/>
        <v>Princess Auto</v>
      </c>
      <c r="C691" t="str">
        <f t="shared" si="61"/>
        <v>44.2617269559147</v>
      </c>
      <c r="D691" t="str">
        <f t="shared" si="62"/>
        <v>-76.559581905584</v>
      </c>
      <c r="E691" t="str">
        <f t="shared" si="63"/>
        <v>613-530-3790</v>
      </c>
      <c r="F691" t="str">
        <f t="shared" si="64"/>
        <v>K7P 2S5</v>
      </c>
      <c r="G691" t="str">
        <f t="shared" si="65"/>
        <v>[ "Princess Auto", 44.2617269559147, -76.559581905584, '613-530-3790', 'K7P 2S5'],</v>
      </c>
    </row>
    <row r="692" spans="1:7" hidden="1" x14ac:dyDescent="0.2">
      <c r="A692" t="s">
        <v>713</v>
      </c>
      <c r="B692" t="str">
        <f t="shared" si="60"/>
        <v>Fastenal</v>
      </c>
      <c r="C692" t="str">
        <f t="shared" si="61"/>
        <v>44.25836</v>
      </c>
      <c r="D692" t="str">
        <f t="shared" si="62"/>
        <v>-76.56869</v>
      </c>
      <c r="E692" t="str">
        <f t="shared" si="63"/>
        <v>613-389-3968</v>
      </c>
      <c r="F692" t="str">
        <f t="shared" si="64"/>
        <v>K7P 0G3</v>
      </c>
      <c r="G692" t="str">
        <f t="shared" si="65"/>
        <v>[ "Fastenal", 44.25836, -76.56869, '613-389-3968', 'K7P 0G3'],</v>
      </c>
    </row>
    <row r="693" spans="1:7" hidden="1" x14ac:dyDescent="0.2">
      <c r="A693" t="s">
        <v>714</v>
      </c>
      <c r="B693" t="str">
        <f t="shared" si="60"/>
        <v>The Source</v>
      </c>
      <c r="C693" t="str">
        <f t="shared" si="61"/>
        <v>44.2564347058824</v>
      </c>
      <c r="D693" t="str">
        <f t="shared" si="62"/>
        <v>-76.5687373529412</v>
      </c>
      <c r="E693" t="str">
        <f t="shared" si="63"/>
        <v>613-389-8201</v>
      </c>
      <c r="F693" t="str">
        <f t="shared" si="64"/>
        <v>K7M 7H4</v>
      </c>
      <c r="G693" t="str">
        <f t="shared" si="65"/>
        <v>[ "The Source", 44.2564347058824, -76.5687373529412, '613-389-8201', 'K7M 7H4'],</v>
      </c>
    </row>
    <row r="694" spans="1:7" hidden="1" x14ac:dyDescent="0.2">
      <c r="A694" t="s">
        <v>715</v>
      </c>
      <c r="B694" t="str">
        <f t="shared" si="60"/>
        <v>RONA</v>
      </c>
      <c r="C694" t="str">
        <f t="shared" si="61"/>
        <v>44.2581559259259</v>
      </c>
      <c r="D694" t="str">
        <f t="shared" si="62"/>
        <v>-76.5518459259259</v>
      </c>
      <c r="E694" t="str">
        <f t="shared" si="63"/>
        <v>613-531-6225</v>
      </c>
      <c r="F694" t="str">
        <f t="shared" si="64"/>
        <v>K7M 3G4</v>
      </c>
      <c r="G694" t="str">
        <f t="shared" si="65"/>
        <v>[ "RONA", 44.2581559259259, -76.5518459259259, '613-531-6225', 'K7M 3G4'],</v>
      </c>
    </row>
    <row r="695" spans="1:7" hidden="1" x14ac:dyDescent="0.2">
      <c r="A695" t="s">
        <v>716</v>
      </c>
      <c r="B695" t="str">
        <f t="shared" si="60"/>
        <v>ListenUp! Canada</v>
      </c>
      <c r="C695" t="str">
        <f t="shared" si="61"/>
        <v>44.2509278198464</v>
      </c>
      <c r="D695" t="str">
        <f t="shared" si="62"/>
        <v>-76.5710049038168</v>
      </c>
      <c r="E695" t="str">
        <f t="shared" si="63"/>
        <v>613-634-0304</v>
      </c>
      <c r="F695" t="str">
        <f t="shared" si="64"/>
        <v>K7P 2N7</v>
      </c>
      <c r="G695" t="str">
        <f t="shared" si="65"/>
        <v>[ "ListenUp! Canada", 44.2509278198464, -76.5710049038168, '613-634-0304', 'K7P 2N7'],</v>
      </c>
    </row>
    <row r="696" spans="1:7" hidden="1" x14ac:dyDescent="0.2">
      <c r="A696" t="s">
        <v>717</v>
      </c>
      <c r="B696" t="str">
        <f t="shared" si="60"/>
        <v>Madawaska Library</v>
      </c>
      <c r="C696" t="str">
        <f t="shared" si="61"/>
        <v>45.53581</v>
      </c>
      <c r="D696" t="str">
        <f t="shared" si="62"/>
        <v>-78.0485</v>
      </c>
      <c r="E696" t="str">
        <f t="shared" si="63"/>
        <v>--</v>
      </c>
      <c r="F696" t="str">
        <f t="shared" si="64"/>
        <v>K0J 2C0</v>
      </c>
      <c r="G696" t="str">
        <f t="shared" si="65"/>
        <v>[ "Madawaska Library", 45.53581, -78.0485, '--', 'K0J 2C0'],</v>
      </c>
    </row>
    <row r="697" spans="1:7" hidden="1" x14ac:dyDescent="0.2">
      <c r="A697" t="s">
        <v>718</v>
      </c>
      <c r="B697" t="str">
        <f t="shared" si="60"/>
        <v>Lyell Landfill Site</v>
      </c>
      <c r="C697" t="str">
        <f t="shared" si="61"/>
        <v>45.48304</v>
      </c>
      <c r="D697" t="str">
        <f t="shared" si="62"/>
        <v>-77.9388</v>
      </c>
      <c r="E697" t="str">
        <f t="shared" si="63"/>
        <v>--</v>
      </c>
      <c r="F697" t="str">
        <f t="shared" si="64"/>
        <v>K0J 2C0</v>
      </c>
      <c r="G697" t="str">
        <f t="shared" si="65"/>
        <v>[ "Lyell Landfill Site", 45.48304, -77.9388, '--', 'K0J 2C0'],</v>
      </c>
    </row>
    <row r="698" spans="1:7" hidden="1" x14ac:dyDescent="0.2">
      <c r="A698" t="s">
        <v>719</v>
      </c>
      <c r="B698" t="str">
        <f t="shared" si="60"/>
        <v>Whitney Library</v>
      </c>
      <c r="C698" t="str">
        <f t="shared" si="61"/>
        <v>45.4600026</v>
      </c>
      <c r="D698" t="str">
        <f t="shared" si="62"/>
        <v>-78.1642873</v>
      </c>
      <c r="E698" t="str">
        <f t="shared" si="63"/>
        <v>--</v>
      </c>
      <c r="F698" t="str">
        <f t="shared" si="64"/>
        <v>K0J 2M0</v>
      </c>
      <c r="G698" t="str">
        <f t="shared" si="65"/>
        <v>[ "Whitney Library", 45.4600026, -78.1642873, '--', 'K0J 2M0'],</v>
      </c>
    </row>
    <row r="699" spans="1:7" hidden="1" x14ac:dyDescent="0.2">
      <c r="A699" t="s">
        <v>720</v>
      </c>
      <c r="B699" t="str">
        <f t="shared" si="60"/>
        <v>Halco Electronics</v>
      </c>
      <c r="C699" t="str">
        <f t="shared" si="61"/>
        <v>44.81319</v>
      </c>
      <c r="D699" t="str">
        <f t="shared" si="62"/>
        <v>-78.69893</v>
      </c>
      <c r="E699" t="str">
        <f t="shared" si="63"/>
        <v>705-457-1590</v>
      </c>
      <c r="F699" t="str">
        <f t="shared" si="64"/>
        <v>K0M 1S0</v>
      </c>
      <c r="G699" t="str">
        <f t="shared" si="65"/>
        <v>[ "Halco Electronics", 44.81319, -78.69893, '705-457-1590', 'K0M 1S0'],</v>
      </c>
    </row>
    <row r="700" spans="1:7" hidden="1" x14ac:dyDescent="0.2">
      <c r="A700" t="s">
        <v>721</v>
      </c>
      <c r="B700" t="str">
        <f t="shared" si="60"/>
        <v>The Source</v>
      </c>
      <c r="C700" t="str">
        <f t="shared" si="61"/>
        <v>44.633</v>
      </c>
      <c r="D700" t="str">
        <f t="shared" si="62"/>
        <v>-79.43521</v>
      </c>
      <c r="E700" t="str">
        <f t="shared" si="63"/>
        <v>705-327-0145</v>
      </c>
      <c r="F700" t="str">
        <f t="shared" si="64"/>
        <v>L3V 6H4</v>
      </c>
      <c r="G700" t="str">
        <f t="shared" si="65"/>
        <v>[ "The Source", 44.633, -79.43521, '705-327-0145', 'L3V 6H4'],</v>
      </c>
    </row>
    <row r="701" spans="1:7" hidden="1" x14ac:dyDescent="0.2">
      <c r="A701" t="s">
        <v>722</v>
      </c>
      <c r="B701" t="str">
        <f t="shared" si="60"/>
        <v>Canadian Tire</v>
      </c>
      <c r="C701" t="str">
        <f t="shared" si="61"/>
        <v>44.63189</v>
      </c>
      <c r="D701" t="str">
        <f t="shared" si="62"/>
        <v>-79.43708</v>
      </c>
      <c r="E701" t="str">
        <f t="shared" si="63"/>
        <v>705-325-7414</v>
      </c>
      <c r="F701" t="str">
        <f t="shared" si="64"/>
        <v>L3V 7X6</v>
      </c>
      <c r="G701" t="str">
        <f t="shared" si="65"/>
        <v>[ "Canadian Tire", 44.63189, -79.43708, '705-325-7414', 'L3V 7X6'],</v>
      </c>
    </row>
    <row r="702" spans="1:7" x14ac:dyDescent="0.2">
      <c r="A702" t="s">
        <v>723</v>
      </c>
      <c r="B702" t="str">
        <f t="shared" si="60"/>
        <v>Staples Canada</v>
      </c>
      <c r="C702" t="str">
        <f t="shared" si="61"/>
        <v>44.6166</v>
      </c>
      <c r="D702" t="str">
        <f t="shared" si="62"/>
        <v>-79.44411</v>
      </c>
      <c r="E702" t="str">
        <f t="shared" si="63"/>
        <v>705-329-3074</v>
      </c>
      <c r="F702" t="str">
        <f t="shared" si="64"/>
        <v>L3V 0B5</v>
      </c>
      <c r="G702" t="str">
        <f t="shared" si="65"/>
        <v>[ "Staples Canada", 44.6166, -79.44411, '705-329-3074', 'L3V 0B5'],</v>
      </c>
    </row>
    <row r="703" spans="1:7" hidden="1" x14ac:dyDescent="0.2">
      <c r="A703" t="s">
        <v>724</v>
      </c>
      <c r="B703" t="str">
        <f t="shared" si="60"/>
        <v>Home Depot</v>
      </c>
      <c r="C703" t="str">
        <f t="shared" si="61"/>
        <v>44.6089418374835</v>
      </c>
      <c r="D703" t="str">
        <f t="shared" si="62"/>
        <v>-79.4537873782666</v>
      </c>
      <c r="E703" t="str">
        <f t="shared" si="63"/>
        <v>705-327-6500</v>
      </c>
      <c r="F703" t="str">
        <f t="shared" si="64"/>
        <v>L3V 7Z4</v>
      </c>
      <c r="G703" t="str">
        <f t="shared" si="65"/>
        <v>[ "Home Depot", 44.6089418374835, -79.4537873782666, '705-327-6500', 'L3V 7Z4'],</v>
      </c>
    </row>
    <row r="704" spans="1:7" hidden="1" x14ac:dyDescent="0.2">
      <c r="A704" t="s">
        <v>725</v>
      </c>
      <c r="B704" t="str">
        <f t="shared" si="60"/>
        <v>ListenUp! Canada</v>
      </c>
      <c r="C704" t="str">
        <f t="shared" si="61"/>
        <v>44.5996096201182</v>
      </c>
      <c r="D704" t="str">
        <f t="shared" si="62"/>
        <v>-79.4249081117356</v>
      </c>
      <c r="E704" t="str">
        <f t="shared" si="63"/>
        <v>705-326-9421</v>
      </c>
      <c r="F704" t="str">
        <f t="shared" si="64"/>
        <v>L3V 7M9</v>
      </c>
      <c r="G704" t="str">
        <f t="shared" si="65"/>
        <v>[ "ListenUp! Canada", 44.5996096201182, -79.4249081117356, '705-326-9421', 'L3V 7M9'],</v>
      </c>
    </row>
    <row r="705" spans="1:7" hidden="1" x14ac:dyDescent="0.2">
      <c r="A705" t="s">
        <v>726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City of Orillia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44.59032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-79.41173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705-325-2325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L3V 6Z9</v>
      </c>
      <c r="G705" t="str">
        <f t="shared" ref="G705:G768" si="71">"[ "&amp;CHAR(34)&amp;B705&amp;CHAR(34)&amp;", "&amp;C705&amp;", "&amp;D705&amp;", '"&amp;E705&amp;"', '"&amp;F705&amp;"'],"</f>
        <v>[ "City of Orillia", 44.59032, -79.41173, '705-325-2325', 'L3V 6Z9'],</v>
      </c>
    </row>
    <row r="706" spans="1:7" x14ac:dyDescent="0.2">
      <c r="A706" t="s">
        <v>727</v>
      </c>
      <c r="B706" t="str">
        <f t="shared" si="66"/>
        <v>Staples</v>
      </c>
      <c r="C706" t="str">
        <f t="shared" si="67"/>
        <v>45.0435187961326</v>
      </c>
      <c r="D706" t="str">
        <f t="shared" si="68"/>
        <v>-79.3305916592164</v>
      </c>
      <c r="E706" t="str">
        <f t="shared" si="69"/>
        <v>705-646-2775</v>
      </c>
      <c r="F706" t="str">
        <f t="shared" si="70"/>
        <v>P1L 1X3</v>
      </c>
      <c r="G706" t="str">
        <f t="shared" si="71"/>
        <v>[ "Staples", 45.0435187961326, -79.3305916592164, '705-646-2775', 'P1L 1X3'],</v>
      </c>
    </row>
    <row r="707" spans="1:7" hidden="1" x14ac:dyDescent="0.2">
      <c r="A707" t="s">
        <v>728</v>
      </c>
      <c r="B707" t="str">
        <f t="shared" si="66"/>
        <v>Canadian Tire</v>
      </c>
      <c r="C707" t="str">
        <f t="shared" si="67"/>
        <v>44.9962773</v>
      </c>
      <c r="D707" t="str">
        <f t="shared" si="68"/>
        <v>-79.3083362</v>
      </c>
      <c r="E707" t="str">
        <f t="shared" si="69"/>
        <v>705-645-5261</v>
      </c>
      <c r="F707" t="str">
        <f t="shared" si="70"/>
        <v>P1L 1V4</v>
      </c>
      <c r="G707" t="str">
        <f t="shared" si="71"/>
        <v>[ "Canadian Tire", 44.9962773, -79.3083362, '705-645-5261', 'P1L 1V4'],</v>
      </c>
    </row>
    <row r="708" spans="1:7" hidden="1" x14ac:dyDescent="0.2">
      <c r="A708" t="s">
        <v>729</v>
      </c>
      <c r="B708" t="str">
        <f t="shared" si="66"/>
        <v>Home Depot</v>
      </c>
      <c r="C708" t="str">
        <f t="shared" si="67"/>
        <v>45.0498275</v>
      </c>
      <c r="D708" t="str">
        <f t="shared" si="68"/>
        <v>-79.292494375</v>
      </c>
      <c r="E708" t="str">
        <f t="shared" si="69"/>
        <v>705-646-5600</v>
      </c>
      <c r="F708" t="str">
        <f t="shared" si="70"/>
        <v>P1L 0A1</v>
      </c>
      <c r="G708" t="str">
        <f t="shared" si="71"/>
        <v>[ "Home Depot", 45.0498275, -79.292494375, '705-646-5600', 'P1L 0A1'],</v>
      </c>
    </row>
    <row r="709" spans="1:7" hidden="1" x14ac:dyDescent="0.2">
      <c r="A709" t="s">
        <v>730</v>
      </c>
      <c r="B709" t="str">
        <f t="shared" si="66"/>
        <v>The Source</v>
      </c>
      <c r="C709" t="str">
        <f t="shared" si="67"/>
        <v>45.34407</v>
      </c>
      <c r="D709" t="str">
        <f t="shared" si="68"/>
        <v>-80.01031</v>
      </c>
      <c r="E709" t="str">
        <f t="shared" si="69"/>
        <v>705-746-8383</v>
      </c>
      <c r="F709" t="str">
        <f t="shared" si="70"/>
        <v>P2A 3C3</v>
      </c>
      <c r="G709" t="str">
        <f t="shared" si="71"/>
        <v>[ "The Source", 45.34407, -80.01031, '705-746-8383', 'P2A 3C3'],</v>
      </c>
    </row>
    <row r="710" spans="1:7" hidden="1" x14ac:dyDescent="0.2">
      <c r="A710" t="s">
        <v>731</v>
      </c>
      <c r="B710" t="str">
        <f t="shared" si="66"/>
        <v>Home Depot</v>
      </c>
      <c r="C710" t="str">
        <f t="shared" si="67"/>
        <v>45.3434048134126</v>
      </c>
      <c r="D710" t="str">
        <f t="shared" si="68"/>
        <v>-80.0129387664976</v>
      </c>
      <c r="E710" t="str">
        <f t="shared" si="69"/>
        <v>705-774-7000</v>
      </c>
      <c r="F710" t="str">
        <f t="shared" si="70"/>
        <v>P2A 2L7</v>
      </c>
      <c r="G710" t="str">
        <f t="shared" si="71"/>
        <v>[ "Home Depot", 45.3434048134126, -80.0129387664976, '705-774-7000', 'P2A 2L7'],</v>
      </c>
    </row>
    <row r="711" spans="1:7" hidden="1" x14ac:dyDescent="0.2">
      <c r="A711" t="s">
        <v>732</v>
      </c>
      <c r="B711" t="str">
        <f t="shared" si="66"/>
        <v>Georgian Bay Software</v>
      </c>
      <c r="C711" t="str">
        <f t="shared" si="67"/>
        <v>45.344422</v>
      </c>
      <c r="D711" t="str">
        <f t="shared" si="68"/>
        <v>-80.035152</v>
      </c>
      <c r="E711" t="str">
        <f t="shared" si="69"/>
        <v>705-746-6943</v>
      </c>
      <c r="F711" t="str">
        <f t="shared" si="70"/>
        <v>P2A 1W9</v>
      </c>
      <c r="G711" t="str">
        <f t="shared" si="71"/>
        <v>[ "Georgian Bay Software", 45.344422, -80.035152, '705-746-6943', 'P2A 1W9'],</v>
      </c>
    </row>
    <row r="712" spans="1:7" hidden="1" x14ac:dyDescent="0.2">
      <c r="A712" t="s">
        <v>733</v>
      </c>
      <c r="B712" t="str">
        <f t="shared" si="66"/>
        <v>MTO</v>
      </c>
      <c r="C712" t="str">
        <f t="shared" si="67"/>
        <v>45.31568</v>
      </c>
      <c r="D712" t="str">
        <f t="shared" si="68"/>
        <v>-79.24049</v>
      </c>
      <c r="E712" t="str">
        <f t="shared" si="69"/>
        <v>705-789-2392</v>
      </c>
      <c r="F712" t="str">
        <f t="shared" si="70"/>
        <v>P1H 1Z9</v>
      </c>
      <c r="G712" t="str">
        <f t="shared" si="71"/>
        <v>[ "MTO", 45.31568, -79.24049, '705-789-2392', 'P1H 1Z9'],</v>
      </c>
    </row>
    <row r="713" spans="1:7" hidden="1" x14ac:dyDescent="0.2">
      <c r="A713" t="s">
        <v>734</v>
      </c>
      <c r="B713" t="str">
        <f t="shared" si="66"/>
        <v>Home Depot</v>
      </c>
      <c r="C713" t="str">
        <f t="shared" si="67"/>
        <v>45.33947143545</v>
      </c>
      <c r="D713" t="str">
        <f t="shared" si="68"/>
        <v>-79.2202006280094</v>
      </c>
      <c r="E713" t="str">
        <f t="shared" si="69"/>
        <v>705-788-5000</v>
      </c>
      <c r="F713" t="str">
        <f t="shared" si="70"/>
        <v>P1H 0A2</v>
      </c>
      <c r="G713" t="str">
        <f t="shared" si="71"/>
        <v>[ "Home Depot", 45.33947143545, -79.2202006280094, '705-788-5000', 'P1H 0A2'],</v>
      </c>
    </row>
    <row r="714" spans="1:7" hidden="1" x14ac:dyDescent="0.2">
      <c r="A714" t="s">
        <v>735</v>
      </c>
      <c r="B714" t="str">
        <f t="shared" si="66"/>
        <v>ListenUp! Canada</v>
      </c>
      <c r="C714" t="str">
        <f t="shared" si="67"/>
        <v>45.3319224506029</v>
      </c>
      <c r="D714" t="str">
        <f t="shared" si="68"/>
        <v>-79.2084770905076</v>
      </c>
      <c r="E714" t="str">
        <f t="shared" si="69"/>
        <v>705-789-9293</v>
      </c>
      <c r="F714" t="str">
        <f t="shared" si="70"/>
        <v>P1H 1G3</v>
      </c>
      <c r="G714" t="str">
        <f t="shared" si="71"/>
        <v>[ "ListenUp! Canada", 45.3319224506029, -79.2084770905076, '705-789-9293', 'P1H 1G3'],</v>
      </c>
    </row>
    <row r="715" spans="1:7" hidden="1" x14ac:dyDescent="0.2">
      <c r="A715" t="s">
        <v>736</v>
      </c>
      <c r="B715" t="str">
        <f t="shared" si="66"/>
        <v>The Source</v>
      </c>
      <c r="C715" t="str">
        <f t="shared" si="67"/>
        <v>45.33405</v>
      </c>
      <c r="D715" t="str">
        <f t="shared" si="68"/>
        <v>-79.20579</v>
      </c>
      <c r="E715" t="str">
        <f t="shared" si="69"/>
        <v>705-788-1357</v>
      </c>
      <c r="F715" t="str">
        <f t="shared" si="70"/>
        <v>P1H 2A5</v>
      </c>
      <c r="G715" t="str">
        <f t="shared" si="71"/>
        <v>[ "The Source", 45.33405, -79.20579, '705-788-1357', 'P1H 2A5'],</v>
      </c>
    </row>
    <row r="716" spans="1:7" hidden="1" x14ac:dyDescent="0.2">
      <c r="A716" t="s">
        <v>737</v>
      </c>
      <c r="B716" t="str">
        <f t="shared" si="66"/>
        <v>Canadian Tire</v>
      </c>
      <c r="C716" t="str">
        <f t="shared" si="67"/>
        <v>45.334272814617</v>
      </c>
      <c r="D716" t="str">
        <f t="shared" si="68"/>
        <v>-79.2056134299262</v>
      </c>
      <c r="E716" t="str">
        <f t="shared" si="69"/>
        <v>705-789-5566</v>
      </c>
      <c r="F716" t="str">
        <f t="shared" si="70"/>
        <v>P1H 1E5</v>
      </c>
      <c r="G716" t="str">
        <f t="shared" si="71"/>
        <v>[ "Canadian Tire", 45.334272814617, -79.2056134299262, '705-789-5566', 'P1H 1E5'],</v>
      </c>
    </row>
    <row r="717" spans="1:7" x14ac:dyDescent="0.2">
      <c r="A717" t="s">
        <v>738</v>
      </c>
      <c r="B717" t="str">
        <f t="shared" si="66"/>
        <v>Staples</v>
      </c>
      <c r="C717" t="str">
        <f t="shared" si="67"/>
        <v>45.33458</v>
      </c>
      <c r="D717" t="str">
        <f t="shared" si="68"/>
        <v>-79.20537</v>
      </c>
      <c r="E717" t="str">
        <f t="shared" si="69"/>
        <v>705-789-5817</v>
      </c>
      <c r="F717" t="str">
        <f t="shared" si="70"/>
        <v>P1H 1G6</v>
      </c>
      <c r="G717" t="str">
        <f t="shared" si="71"/>
        <v>[ "Staples", 45.33458, -79.20537, '705-789-5817', 'P1H 1G6'],</v>
      </c>
    </row>
    <row r="718" spans="1:7" x14ac:dyDescent="0.2">
      <c r="A718" t="s">
        <v>739</v>
      </c>
      <c r="B718" t="str">
        <f t="shared" si="66"/>
        <v>Staples</v>
      </c>
      <c r="C718" t="str">
        <f t="shared" si="67"/>
        <v>45.0435187961326</v>
      </c>
      <c r="D718" t="str">
        <f t="shared" si="68"/>
        <v>-79.3305916592164</v>
      </c>
      <c r="E718" t="str">
        <f t="shared" si="69"/>
        <v>705-646-2775</v>
      </c>
      <c r="F718" t="str">
        <f t="shared" si="70"/>
        <v>P1L 1X3</v>
      </c>
      <c r="G718" t="str">
        <f t="shared" si="71"/>
        <v>[ "Staples", 45.0435187961326, -79.3305916592164, '705-646-2775', 'P1L 1X3'],</v>
      </c>
    </row>
    <row r="719" spans="1:7" hidden="1" x14ac:dyDescent="0.2">
      <c r="A719" t="s">
        <v>740</v>
      </c>
      <c r="B719" t="str">
        <f t="shared" si="66"/>
        <v>Georgian Bay Software</v>
      </c>
      <c r="C719" t="str">
        <f t="shared" si="67"/>
        <v>45.344422</v>
      </c>
      <c r="D719" t="str">
        <f t="shared" si="68"/>
        <v>-80.035152</v>
      </c>
      <c r="E719" t="str">
        <f t="shared" si="69"/>
        <v>705-746-6943</v>
      </c>
      <c r="F719" t="str">
        <f t="shared" si="70"/>
        <v>P2A 1W9</v>
      </c>
      <c r="G719" t="str">
        <f t="shared" si="71"/>
        <v>[ "Georgian Bay Software", 45.344422, -80.035152, '705-746-6943', 'P2A 1W9'],</v>
      </c>
    </row>
    <row r="720" spans="1:7" hidden="1" x14ac:dyDescent="0.2">
      <c r="A720" t="s">
        <v>741</v>
      </c>
      <c r="B720" t="str">
        <f t="shared" si="66"/>
        <v>Home Depot</v>
      </c>
      <c r="C720" t="str">
        <f t="shared" si="67"/>
        <v>45.3434048134126</v>
      </c>
      <c r="D720" t="str">
        <f t="shared" si="68"/>
        <v>-80.0129387664976</v>
      </c>
      <c r="E720" t="str">
        <f t="shared" si="69"/>
        <v>705-774-7000</v>
      </c>
      <c r="F720" t="str">
        <f t="shared" si="70"/>
        <v>P2A 2L7</v>
      </c>
      <c r="G720" t="str">
        <f t="shared" si="71"/>
        <v>[ "Home Depot", 45.3434048134126, -80.0129387664976, '705-774-7000', 'P2A 2L7'],</v>
      </c>
    </row>
    <row r="721" spans="1:7" hidden="1" x14ac:dyDescent="0.2">
      <c r="A721" t="s">
        <v>742</v>
      </c>
      <c r="B721" t="str">
        <f t="shared" si="66"/>
        <v>The Source</v>
      </c>
      <c r="C721" t="str">
        <f t="shared" si="67"/>
        <v>45.34407</v>
      </c>
      <c r="D721" t="str">
        <f t="shared" si="68"/>
        <v>-80.01031</v>
      </c>
      <c r="E721" t="str">
        <f t="shared" si="69"/>
        <v>705-746-8383</v>
      </c>
      <c r="F721" t="str">
        <f t="shared" si="70"/>
        <v>P2A 3C3</v>
      </c>
      <c r="G721" t="str">
        <f t="shared" si="71"/>
        <v>[ "The Source", 45.34407, -80.01031, '705-746-8383', 'P2A 3C3'],</v>
      </c>
    </row>
    <row r="722" spans="1:7" hidden="1" x14ac:dyDescent="0.2">
      <c r="A722" t="s">
        <v>744</v>
      </c>
      <c r="B722" t="str">
        <f t="shared" si="66"/>
        <v>Georgian Bay Software</v>
      </c>
      <c r="C722" t="str">
        <f t="shared" si="67"/>
        <v>45.344422</v>
      </c>
      <c r="D722" t="str">
        <f t="shared" si="68"/>
        <v>-80.035152</v>
      </c>
      <c r="E722" t="str">
        <f t="shared" si="69"/>
        <v>705-746-6943</v>
      </c>
      <c r="F722" t="str">
        <f t="shared" si="70"/>
        <v>P2A 1W9</v>
      </c>
      <c r="G722" t="str">
        <f t="shared" si="71"/>
        <v>[ "Georgian Bay Software", 45.344422, -80.035152, '705-746-6943', 'P2A 1W9'],</v>
      </c>
    </row>
    <row r="723" spans="1:7" hidden="1" x14ac:dyDescent="0.2">
      <c r="A723" t="s">
        <v>745</v>
      </c>
      <c r="B723" t="str">
        <f t="shared" si="66"/>
        <v>Home Depot</v>
      </c>
      <c r="C723" t="str">
        <f t="shared" si="67"/>
        <v>45.3434048134126</v>
      </c>
      <c r="D723" t="str">
        <f t="shared" si="68"/>
        <v>-80.0129387664976</v>
      </c>
      <c r="E723" t="str">
        <f t="shared" si="69"/>
        <v>705-774-7000</v>
      </c>
      <c r="F723" t="str">
        <f t="shared" si="70"/>
        <v>P2A 2L7</v>
      </c>
      <c r="G723" t="str">
        <f t="shared" si="71"/>
        <v>[ "Home Depot", 45.3434048134126, -80.0129387664976, '705-774-7000', 'P2A 2L7'],</v>
      </c>
    </row>
    <row r="724" spans="1:7" hidden="1" x14ac:dyDescent="0.2">
      <c r="A724" t="s">
        <v>746</v>
      </c>
      <c r="B724" t="str">
        <f t="shared" si="66"/>
        <v>The Source</v>
      </c>
      <c r="C724" t="str">
        <f t="shared" si="67"/>
        <v>45.34407</v>
      </c>
      <c r="D724" t="str">
        <f t="shared" si="68"/>
        <v>-80.01031</v>
      </c>
      <c r="E724" t="str">
        <f t="shared" si="69"/>
        <v>705-746-8383</v>
      </c>
      <c r="F724" t="str">
        <f t="shared" si="70"/>
        <v>P2A 3C3</v>
      </c>
      <c r="G724" t="str">
        <f t="shared" si="71"/>
        <v>[ "The Source", 45.34407, -80.01031, '705-746-8383', 'P2A 3C3'],</v>
      </c>
    </row>
    <row r="725" spans="1:7" hidden="1" x14ac:dyDescent="0.2">
      <c r="A725" t="s">
        <v>747</v>
      </c>
      <c r="B725" t="str">
        <f t="shared" si="66"/>
        <v>The Source</v>
      </c>
      <c r="C725" t="str">
        <f t="shared" si="67"/>
        <v>46.4510312859701</v>
      </c>
      <c r="D725" t="str">
        <f t="shared" si="68"/>
        <v>-81.0016696544131</v>
      </c>
      <c r="E725" t="str">
        <f t="shared" si="69"/>
        <v>705-522-1457</v>
      </c>
      <c r="F725" t="str">
        <f t="shared" si="70"/>
        <v>P3E 5R2</v>
      </c>
      <c r="G725" t="str">
        <f t="shared" si="71"/>
        <v>[ "The Source", 46.4510312859701, -81.0016696544131, '705-522-1457', 'P3E 5R2'],</v>
      </c>
    </row>
    <row r="726" spans="1:7" hidden="1" x14ac:dyDescent="0.2">
      <c r="A726" t="s">
        <v>748</v>
      </c>
      <c r="B726" t="str">
        <f t="shared" si="66"/>
        <v>Fastenal</v>
      </c>
      <c r="C726" t="str">
        <f t="shared" si="67"/>
        <v>46.4719496466368</v>
      </c>
      <c r="D726" t="str">
        <f t="shared" si="68"/>
        <v>-81.0280557295891</v>
      </c>
      <c r="E726" t="str">
        <f t="shared" si="69"/>
        <v>705-675-6888</v>
      </c>
      <c r="F726" t="str">
        <f t="shared" si="70"/>
        <v>P3C 3B6</v>
      </c>
      <c r="G726" t="str">
        <f t="shared" si="71"/>
        <v>[ "Fastenal", 46.4719496466368, -81.0280557295891, '705-675-6888', 'P3C 3B6'],</v>
      </c>
    </row>
    <row r="727" spans="1:7" hidden="1" x14ac:dyDescent="0.2">
      <c r="A727" t="s">
        <v>749</v>
      </c>
      <c r="B727" t="str">
        <f t="shared" si="66"/>
        <v>Home Depot</v>
      </c>
      <c r="C727" t="str">
        <f t="shared" si="67"/>
        <v>46.50216</v>
      </c>
      <c r="D727" t="str">
        <f t="shared" si="68"/>
        <v>-80.9413717053339</v>
      </c>
      <c r="E727" t="str">
        <f t="shared" si="69"/>
        <v>705-525-2960</v>
      </c>
      <c r="F727" t="str">
        <f t="shared" si="70"/>
        <v>P3B 4K5</v>
      </c>
      <c r="G727" t="str">
        <f t="shared" si="71"/>
        <v>[ "Home Depot", 46.50216, -80.9413717053339, '705-525-2960', 'P3B 4K5'],</v>
      </c>
    </row>
    <row r="728" spans="1:7" hidden="1" x14ac:dyDescent="0.2">
      <c r="A728" t="s">
        <v>750</v>
      </c>
      <c r="B728" t="str">
        <f t="shared" si="66"/>
        <v>City of Greater Sudbury</v>
      </c>
      <c r="C728" t="str">
        <f t="shared" si="67"/>
        <v>46.5057506247064</v>
      </c>
      <c r="D728" t="str">
        <f t="shared" si="68"/>
        <v>-80.9304913530085</v>
      </c>
      <c r="E728" t="str">
        <f t="shared" si="69"/>
        <v>705-671-2489</v>
      </c>
      <c r="F728" t="str">
        <f t="shared" si="70"/>
        <v>P3A 6C8</v>
      </c>
      <c r="G728" t="str">
        <f t="shared" si="71"/>
        <v>[ "City of Greater Sudbury", 46.5057506247064, -80.9304913530085, '705-671-2489', 'P3A 6C8'],</v>
      </c>
    </row>
    <row r="729" spans="1:7" hidden="1" x14ac:dyDescent="0.2">
      <c r="A729" t="s">
        <v>751</v>
      </c>
      <c r="B729" t="str">
        <f t="shared" si="66"/>
        <v>Lowes</v>
      </c>
      <c r="C729" t="str">
        <f t="shared" si="67"/>
        <v>46.5016862172095</v>
      </c>
      <c r="D729" t="str">
        <f t="shared" si="68"/>
        <v>-80.945430510575</v>
      </c>
      <c r="E729" t="str">
        <f t="shared" si="69"/>
        <v>705-521-7200</v>
      </c>
      <c r="F729" t="str">
        <f t="shared" si="70"/>
        <v>P3B 4K6</v>
      </c>
      <c r="G729" t="str">
        <f t="shared" si="71"/>
        <v>[ "Lowes", 46.5016862172095, -80.945430510575, '705-521-7200', 'P3B 4K6'],</v>
      </c>
    </row>
    <row r="730" spans="1:7" hidden="1" x14ac:dyDescent="0.2">
      <c r="A730" t="s">
        <v>752</v>
      </c>
      <c r="B730" t="str">
        <f t="shared" si="66"/>
        <v>Powassan Home Hardware</v>
      </c>
      <c r="C730" t="str">
        <f t="shared" si="67"/>
        <v>46.0814266666667</v>
      </c>
      <c r="D730" t="str">
        <f t="shared" si="68"/>
        <v>-79.3612022222222</v>
      </c>
      <c r="E730" t="str">
        <f t="shared" si="69"/>
        <v>705-724-2810</v>
      </c>
      <c r="F730" t="str">
        <f t="shared" si="70"/>
        <v>P0H 1Z0</v>
      </c>
      <c r="G730" t="str">
        <f t="shared" si="71"/>
        <v>[ "Powassan Home Hardware", 46.0814266666667, -79.3612022222222, '705-724-2810', 'P0H 1Z0'],</v>
      </c>
    </row>
    <row r="731" spans="1:7" hidden="1" x14ac:dyDescent="0.2">
      <c r="A731" t="s">
        <v>753</v>
      </c>
      <c r="B731" t="str">
        <f t="shared" si="66"/>
        <v>Powassan Home Hardware</v>
      </c>
      <c r="C731" t="str">
        <f t="shared" si="67"/>
        <v>46.0814266666667</v>
      </c>
      <c r="D731" t="str">
        <f t="shared" si="68"/>
        <v>-79.3612022222222</v>
      </c>
      <c r="E731" t="str">
        <f t="shared" si="69"/>
        <v>705-724-2810</v>
      </c>
      <c r="F731" t="str">
        <f t="shared" si="70"/>
        <v>P0H 1Z0</v>
      </c>
      <c r="G731" t="str">
        <f t="shared" si="71"/>
        <v>[ "Powassan Home Hardware", 46.0814266666667, -79.3612022222222, '705-724-2810', 'P0H 1Z0'],</v>
      </c>
    </row>
    <row r="732" spans="1:7" hidden="1" x14ac:dyDescent="0.2">
      <c r="A732" t="s">
        <v>754</v>
      </c>
      <c r="B732" t="str">
        <f t="shared" si="66"/>
        <v>Home Depot</v>
      </c>
      <c r="C732" t="str">
        <f t="shared" si="67"/>
        <v>45.33947143545</v>
      </c>
      <c r="D732" t="str">
        <f t="shared" si="68"/>
        <v>-79.2202006280094</v>
      </c>
      <c r="E732" t="str">
        <f t="shared" si="69"/>
        <v>705-788-5000</v>
      </c>
      <c r="F732" t="str">
        <f t="shared" si="70"/>
        <v>P1H 0A2</v>
      </c>
      <c r="G732" t="str">
        <f t="shared" si="71"/>
        <v>[ "Home Depot", 45.33947143545, -79.2202006280094, '705-788-5000', 'P1H 0A2'],</v>
      </c>
    </row>
    <row r="733" spans="1:7" x14ac:dyDescent="0.2">
      <c r="A733" t="s">
        <v>755</v>
      </c>
      <c r="B733" t="str">
        <f t="shared" si="66"/>
        <v>Staples</v>
      </c>
      <c r="C733" t="str">
        <f t="shared" si="67"/>
        <v>45.33458</v>
      </c>
      <c r="D733" t="str">
        <f t="shared" si="68"/>
        <v>-79.20537</v>
      </c>
      <c r="E733" t="str">
        <f t="shared" si="69"/>
        <v>705-789-5817</v>
      </c>
      <c r="F733" t="str">
        <f t="shared" si="70"/>
        <v>P1H 1G6</v>
      </c>
      <c r="G733" t="str">
        <f t="shared" si="71"/>
        <v>[ "Staples", 45.33458, -79.20537, '705-789-5817', 'P1H 1G6'],</v>
      </c>
    </row>
    <row r="734" spans="1:7" hidden="1" x14ac:dyDescent="0.2">
      <c r="A734" t="s">
        <v>756</v>
      </c>
      <c r="B734" t="str">
        <f t="shared" si="66"/>
        <v>Canadian Tire</v>
      </c>
      <c r="C734" t="str">
        <f t="shared" si="67"/>
        <v>45.334272814617</v>
      </c>
      <c r="D734" t="str">
        <f t="shared" si="68"/>
        <v>-79.2056134299262</v>
      </c>
      <c r="E734" t="str">
        <f t="shared" si="69"/>
        <v>705-789-5566</v>
      </c>
      <c r="F734" t="str">
        <f t="shared" si="70"/>
        <v>P1H 1E5</v>
      </c>
      <c r="G734" t="str">
        <f t="shared" si="71"/>
        <v>[ "Canadian Tire", 45.334272814617, -79.2056134299262, '705-789-5566', 'P1H 1E5'],</v>
      </c>
    </row>
    <row r="735" spans="1:7" hidden="1" x14ac:dyDescent="0.2">
      <c r="A735" t="s">
        <v>757</v>
      </c>
      <c r="B735" t="str">
        <f t="shared" si="66"/>
        <v>The Source</v>
      </c>
      <c r="C735" t="str">
        <f t="shared" si="67"/>
        <v>45.33405</v>
      </c>
      <c r="D735" t="str">
        <f t="shared" si="68"/>
        <v>-79.20579</v>
      </c>
      <c r="E735" t="str">
        <f t="shared" si="69"/>
        <v>705-788-1357</v>
      </c>
      <c r="F735" t="str">
        <f t="shared" si="70"/>
        <v>P1H 2A5</v>
      </c>
      <c r="G735" t="str">
        <f t="shared" si="71"/>
        <v>[ "The Source", 45.33405, -79.20579, '705-788-1357', 'P1H 2A5'],</v>
      </c>
    </row>
    <row r="736" spans="1:7" hidden="1" x14ac:dyDescent="0.2">
      <c r="A736" t="s">
        <v>758</v>
      </c>
      <c r="B736" t="str">
        <f t="shared" si="66"/>
        <v>ListenUp! Canada</v>
      </c>
      <c r="C736" t="str">
        <f t="shared" si="67"/>
        <v>45.3319224506029</v>
      </c>
      <c r="D736" t="str">
        <f t="shared" si="68"/>
        <v>-79.2084770905076</v>
      </c>
      <c r="E736" t="str">
        <f t="shared" si="69"/>
        <v>705-789-9293</v>
      </c>
      <c r="F736" t="str">
        <f t="shared" si="70"/>
        <v>P1H 1G3</v>
      </c>
      <c r="G736" t="str">
        <f t="shared" si="71"/>
        <v>[ "ListenUp! Canada", 45.3319224506029, -79.2084770905076, '705-789-9293', 'P1H 1G3'],</v>
      </c>
    </row>
    <row r="737" spans="1:7" hidden="1" x14ac:dyDescent="0.2">
      <c r="A737" t="s">
        <v>759</v>
      </c>
      <c r="B737" t="str">
        <f t="shared" si="66"/>
        <v>MTO</v>
      </c>
      <c r="C737" t="str">
        <f t="shared" si="67"/>
        <v>45.31568</v>
      </c>
      <c r="D737" t="str">
        <f t="shared" si="68"/>
        <v>-79.24049</v>
      </c>
      <c r="E737" t="str">
        <f t="shared" si="69"/>
        <v>705-789-2392</v>
      </c>
      <c r="F737" t="str">
        <f t="shared" si="70"/>
        <v>P1H 1Z9</v>
      </c>
      <c r="G737" t="str">
        <f t="shared" si="71"/>
        <v>[ "MTO", 45.31568, -79.24049, '705-789-2392', 'P1H 1Z9'],</v>
      </c>
    </row>
    <row r="738" spans="1:7" hidden="1" x14ac:dyDescent="0.2">
      <c r="A738" t="s">
        <v>760</v>
      </c>
      <c r="B738" t="str">
        <f t="shared" si="66"/>
        <v>Spectrum Telecom Group Ltd</v>
      </c>
      <c r="C738" t="str">
        <f t="shared" si="67"/>
        <v>46.2708855102041</v>
      </c>
      <c r="D738" t="str">
        <f t="shared" si="68"/>
        <v>-79.4103093877551</v>
      </c>
      <c r="E738" t="str">
        <f t="shared" si="69"/>
        <v>705-474-6368</v>
      </c>
      <c r="F738" t="str">
        <f t="shared" si="70"/>
        <v>P1A 4M5</v>
      </c>
      <c r="G738" t="str">
        <f t="shared" si="71"/>
        <v>[ "Spectrum Telecom Group Ltd", 46.2708855102041, -79.4103093877551, '705-474-6368', 'P1A 4M5'],</v>
      </c>
    </row>
    <row r="739" spans="1:7" hidden="1" x14ac:dyDescent="0.2">
      <c r="A739" t="s">
        <v>761</v>
      </c>
      <c r="B739" t="str">
        <f t="shared" si="66"/>
        <v>The Source</v>
      </c>
      <c r="C739" t="str">
        <f t="shared" si="67"/>
        <v>46.2829</v>
      </c>
      <c r="D739" t="str">
        <f t="shared" si="68"/>
        <v>-79.44897</v>
      </c>
      <c r="E739" t="str">
        <f t="shared" si="69"/>
        <v>705-476-4486</v>
      </c>
      <c r="F739" t="str">
        <f t="shared" si="70"/>
        <v>P1A 3V2</v>
      </c>
      <c r="G739" t="str">
        <f t="shared" si="71"/>
        <v>[ "The Source", 46.2829, -79.44897, '705-476-4486', 'P1A 3V2'],</v>
      </c>
    </row>
    <row r="740" spans="1:7" hidden="1" x14ac:dyDescent="0.2">
      <c r="A740" t="s">
        <v>762</v>
      </c>
      <c r="B740" t="str">
        <f t="shared" si="66"/>
        <v>Home Depot</v>
      </c>
      <c r="C740" t="str">
        <f t="shared" si="67"/>
        <v>46.3072931080718</v>
      </c>
      <c r="D740" t="str">
        <f t="shared" si="68"/>
        <v>-79.4389821007338</v>
      </c>
      <c r="E740" t="str">
        <f t="shared" si="69"/>
        <v>705-845-2300</v>
      </c>
      <c r="F740" t="str">
        <f t="shared" si="70"/>
        <v>P1B 9V6</v>
      </c>
      <c r="G740" t="str">
        <f t="shared" si="71"/>
        <v>[ "Home Depot", 46.3072931080718, -79.4389821007338, '705-845-2300', 'P1B 9V6'],</v>
      </c>
    </row>
    <row r="741" spans="1:7" hidden="1" x14ac:dyDescent="0.2">
      <c r="A741" t="s">
        <v>763</v>
      </c>
      <c r="B741" t="str">
        <f t="shared" si="66"/>
        <v>City of North Bay</v>
      </c>
      <c r="C741" t="str">
        <f t="shared" si="67"/>
        <v>46.31202</v>
      </c>
      <c r="D741" t="str">
        <f t="shared" si="68"/>
        <v>-79.43825</v>
      </c>
      <c r="E741" t="str">
        <f t="shared" si="69"/>
        <v>705-474-0400</v>
      </c>
      <c r="F741" t="str">
        <f t="shared" si="70"/>
        <v>P1B 8G4</v>
      </c>
      <c r="G741" t="str">
        <f t="shared" si="71"/>
        <v>[ "City of North Bay", 46.31202, -79.43825, '705-474-0400', 'P1B 8G4'],</v>
      </c>
    </row>
    <row r="742" spans="1:7" hidden="1" x14ac:dyDescent="0.2">
      <c r="A742" t="s">
        <v>764</v>
      </c>
      <c r="B742" t="str">
        <f t="shared" si="66"/>
        <v>Sears (Canada)</v>
      </c>
      <c r="C742" t="str">
        <f t="shared" si="67"/>
        <v>46.31296</v>
      </c>
      <c r="D742" t="str">
        <f t="shared" si="68"/>
        <v>-79.44285</v>
      </c>
      <c r="E742" t="str">
        <f t="shared" si="69"/>
        <v>705-476-2119</v>
      </c>
      <c r="F742" t="str">
        <f t="shared" si="70"/>
        <v>P1B 2H3</v>
      </c>
      <c r="G742" t="str">
        <f t="shared" si="71"/>
        <v>[ "Sears (Canada)", 46.31296, -79.44285, '705-476-2119', 'P1B 2H3'],</v>
      </c>
    </row>
    <row r="743" spans="1:7" x14ac:dyDescent="0.2">
      <c r="A743" t="s">
        <v>765</v>
      </c>
      <c r="B743" t="str">
        <f t="shared" si="66"/>
        <v>Best Buy Canada</v>
      </c>
      <c r="C743" t="str">
        <f t="shared" si="67"/>
        <v>46.31296</v>
      </c>
      <c r="D743" t="str">
        <f t="shared" si="68"/>
        <v>-79.44285</v>
      </c>
      <c r="E743" t="str">
        <f t="shared" si="69"/>
        <v>705-472-2126</v>
      </c>
      <c r="F743" t="str">
        <f t="shared" si="70"/>
        <v>P1B 2H3</v>
      </c>
      <c r="G743" t="str">
        <f t="shared" si="71"/>
        <v>[ "Best Buy Canada", 46.31296, -79.44285, '705-472-2126', 'P1B 2H3'],</v>
      </c>
    </row>
    <row r="744" spans="1:7" hidden="1" x14ac:dyDescent="0.2">
      <c r="A744" t="s">
        <v>766</v>
      </c>
      <c r="B744" t="str">
        <f t="shared" si="66"/>
        <v>ListenUp! Canada</v>
      </c>
      <c r="C744" t="str">
        <f t="shared" si="67"/>
        <v>46.3179816161616</v>
      </c>
      <c r="D744" t="str">
        <f t="shared" si="68"/>
        <v>-79.4468766666667</v>
      </c>
      <c r="E744" t="str">
        <f t="shared" si="69"/>
        <v>705-474-3896</v>
      </c>
      <c r="F744" t="str">
        <f t="shared" si="70"/>
        <v>P1B 4C8</v>
      </c>
      <c r="G744" t="str">
        <f t="shared" si="71"/>
        <v>[ "ListenUp! Canada", 46.3179816161616, -79.4468766666667, '705-474-3896', 'P1B 4C8'],</v>
      </c>
    </row>
    <row r="745" spans="1:7" hidden="1" x14ac:dyDescent="0.2">
      <c r="A745" t="s">
        <v>767</v>
      </c>
      <c r="B745" t="str">
        <f t="shared" si="66"/>
        <v>Gateway Professional Tools</v>
      </c>
      <c r="C745" t="str">
        <f t="shared" si="67"/>
        <v>46.3157196161105</v>
      </c>
      <c r="D745" t="str">
        <f t="shared" si="68"/>
        <v>-79.461210087138</v>
      </c>
      <c r="E745" t="str">
        <f t="shared" si="69"/>
        <v>705-495-4906</v>
      </c>
      <c r="F745" t="str">
        <f t="shared" si="70"/>
        <v>P1B 4A4</v>
      </c>
      <c r="G745" t="str">
        <f t="shared" si="71"/>
        <v>[ "Gateway Professional Tools", 46.3157196161105, -79.461210087138, '705-495-4906', 'P1B 4A4'],</v>
      </c>
    </row>
    <row r="746" spans="1:7" x14ac:dyDescent="0.2">
      <c r="A746" t="s">
        <v>768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  <c r="G746" t="str">
        <f t="shared" si="71"/>
        <v>[ "Staples", 46.33246, -79.46608, '705-472-7223', 'P1B 4Y8'],</v>
      </c>
    </row>
    <row r="747" spans="1:7" hidden="1" x14ac:dyDescent="0.2">
      <c r="A747" t="s">
        <v>769</v>
      </c>
      <c r="B747" t="str">
        <f t="shared" si="66"/>
        <v>Airy Landfill Site</v>
      </c>
      <c r="C747" t="str">
        <f t="shared" si="67"/>
        <v>45.49942</v>
      </c>
      <c r="D747" t="str">
        <f t="shared" si="68"/>
        <v>-78.23153</v>
      </c>
      <c r="E747" t="str">
        <f t="shared" si="69"/>
        <v>--</v>
      </c>
      <c r="F747" t="str">
        <f t="shared" si="70"/>
        <v>K0J 2M0</v>
      </c>
      <c r="G747" t="str">
        <f t="shared" si="71"/>
        <v>[ "Airy Landfill Site", 45.49942, -78.23153, '--', 'K0J 2M0'],</v>
      </c>
    </row>
    <row r="748" spans="1:7" hidden="1" x14ac:dyDescent="0.2">
      <c r="A748" t="s">
        <v>770</v>
      </c>
      <c r="B748" t="str">
        <f t="shared" si="66"/>
        <v>Township of South Algonquin</v>
      </c>
      <c r="C748" t="str">
        <f t="shared" si="67"/>
        <v>45.4860755</v>
      </c>
      <c r="D748" t="str">
        <f t="shared" si="68"/>
        <v>-78.2406405</v>
      </c>
      <c r="E748" t="str">
        <f t="shared" si="69"/>
        <v>613-637-2650</v>
      </c>
      <c r="F748" t="str">
        <f t="shared" si="70"/>
        <v>K0J 2M0</v>
      </c>
      <c r="G748" t="str">
        <f t="shared" si="71"/>
        <v>[ "Township of South Algonquin", 45.4860755, -78.2406405, '613-637-2650', 'K0J 2M0'],</v>
      </c>
    </row>
    <row r="749" spans="1:7" hidden="1" x14ac:dyDescent="0.2">
      <c r="A749" t="s">
        <v>771</v>
      </c>
      <c r="B749" t="str">
        <f t="shared" si="66"/>
        <v>Whitney Municipal Office</v>
      </c>
      <c r="C749" t="str">
        <f t="shared" si="67"/>
        <v>45.4860755</v>
      </c>
      <c r="D749" t="str">
        <f t="shared" si="68"/>
        <v>-78.2406405</v>
      </c>
      <c r="E749" t="str">
        <f t="shared" si="69"/>
        <v>--</v>
      </c>
      <c r="F749" t="str">
        <f t="shared" si="70"/>
        <v>K0J 2M0</v>
      </c>
      <c r="G749" t="str">
        <f t="shared" si="71"/>
        <v>[ "Whitney Municipal Office", 45.4860755, -78.2406405, '--', 'K0J 2M0'],</v>
      </c>
    </row>
    <row r="750" spans="1:7" hidden="1" x14ac:dyDescent="0.2">
      <c r="A750" t="s">
        <v>772</v>
      </c>
      <c r="B750" t="str">
        <f t="shared" si="66"/>
        <v>Whitney Library</v>
      </c>
      <c r="C750" t="str">
        <f t="shared" si="67"/>
        <v>45.4600026</v>
      </c>
      <c r="D750" t="str">
        <f t="shared" si="68"/>
        <v>-78.1642873</v>
      </c>
      <c r="E750" t="str">
        <f t="shared" si="69"/>
        <v>--</v>
      </c>
      <c r="F750" t="str">
        <f t="shared" si="70"/>
        <v>K0J 2M0</v>
      </c>
      <c r="G750" t="str">
        <f t="shared" si="71"/>
        <v>[ "Whitney Library", 45.4600026, -78.1642873, '--', 'K0J 2M0'],</v>
      </c>
    </row>
    <row r="751" spans="1:7" x14ac:dyDescent="0.2">
      <c r="A751" t="s">
        <v>773</v>
      </c>
      <c r="B751" t="str">
        <f t="shared" si="66"/>
        <v>Staples</v>
      </c>
      <c r="C751" t="str">
        <f t="shared" si="67"/>
        <v>46.33246</v>
      </c>
      <c r="D751" t="str">
        <f t="shared" si="68"/>
        <v>-79.46608</v>
      </c>
      <c r="E751" t="str">
        <f t="shared" si="69"/>
        <v>705-472-7223</v>
      </c>
      <c r="F751" t="str">
        <f t="shared" si="70"/>
        <v>P1B 4Y8</v>
      </c>
      <c r="G751" t="str">
        <f t="shared" si="71"/>
        <v>[ "Staples", 46.33246, -79.46608, '705-472-7223', 'P1B 4Y8'],</v>
      </c>
    </row>
    <row r="752" spans="1:7" hidden="1" x14ac:dyDescent="0.2">
      <c r="A752" t="s">
        <v>774</v>
      </c>
      <c r="B752" t="str">
        <f t="shared" si="66"/>
        <v>Gateway Professional Tools</v>
      </c>
      <c r="C752" t="str">
        <f t="shared" si="67"/>
        <v>46.3157196161105</v>
      </c>
      <c r="D752" t="str">
        <f t="shared" si="68"/>
        <v>-79.461210087138</v>
      </c>
      <c r="E752" t="str">
        <f t="shared" si="69"/>
        <v>705-495-4906</v>
      </c>
      <c r="F752" t="str">
        <f t="shared" si="70"/>
        <v>P1B 4A4</v>
      </c>
      <c r="G752" t="str">
        <f t="shared" si="71"/>
        <v>[ "Gateway Professional Tools", 46.3157196161105, -79.461210087138, '705-495-4906', 'P1B 4A4'],</v>
      </c>
    </row>
    <row r="753" spans="1:7" hidden="1" x14ac:dyDescent="0.2">
      <c r="A753" t="s">
        <v>775</v>
      </c>
      <c r="B753" t="str">
        <f t="shared" si="66"/>
        <v>ListenUp! Canada</v>
      </c>
      <c r="C753" t="str">
        <f t="shared" si="67"/>
        <v>46.3179816161616</v>
      </c>
      <c r="D753" t="str">
        <f t="shared" si="68"/>
        <v>-79.4468766666667</v>
      </c>
      <c r="E753" t="str">
        <f t="shared" si="69"/>
        <v>705-474-3896</v>
      </c>
      <c r="F753" t="str">
        <f t="shared" si="70"/>
        <v>P1B 4C8</v>
      </c>
      <c r="G753" t="str">
        <f t="shared" si="71"/>
        <v>[ "ListenUp! Canada", 46.3179816161616, -79.4468766666667, '705-474-3896', 'P1B 4C8'],</v>
      </c>
    </row>
    <row r="754" spans="1:7" hidden="1" x14ac:dyDescent="0.2">
      <c r="A754" t="s">
        <v>776</v>
      </c>
      <c r="B754" t="str">
        <f t="shared" si="66"/>
        <v>Sears (Canada)</v>
      </c>
      <c r="C754" t="str">
        <f t="shared" si="67"/>
        <v>46.31296</v>
      </c>
      <c r="D754" t="str">
        <f t="shared" si="68"/>
        <v>-79.44285</v>
      </c>
      <c r="E754" t="str">
        <f t="shared" si="69"/>
        <v>705-476-2119</v>
      </c>
      <c r="F754" t="str">
        <f t="shared" si="70"/>
        <v>P1B 2H3</v>
      </c>
      <c r="G754" t="str">
        <f t="shared" si="71"/>
        <v>[ "Sears (Canada)", 46.31296, -79.44285, '705-476-2119', 'P1B 2H3'],</v>
      </c>
    </row>
    <row r="755" spans="1:7" x14ac:dyDescent="0.2">
      <c r="A755" t="s">
        <v>777</v>
      </c>
      <c r="B755" t="str">
        <f t="shared" si="66"/>
        <v>Best Buy Canada</v>
      </c>
      <c r="C755" t="str">
        <f t="shared" si="67"/>
        <v>46.31296</v>
      </c>
      <c r="D755" t="str">
        <f t="shared" si="68"/>
        <v>-79.44285</v>
      </c>
      <c r="E755" t="str">
        <f t="shared" si="69"/>
        <v>705-472-2126</v>
      </c>
      <c r="F755" t="str">
        <f t="shared" si="70"/>
        <v>P1B 2H3</v>
      </c>
      <c r="G755" t="str">
        <f t="shared" si="71"/>
        <v>[ "Best Buy Canada", 46.31296, -79.44285, '705-472-2126', 'P1B 2H3'],</v>
      </c>
    </row>
    <row r="756" spans="1:7" hidden="1" x14ac:dyDescent="0.2">
      <c r="A756" t="s">
        <v>778</v>
      </c>
      <c r="B756" t="str">
        <f t="shared" si="66"/>
        <v>City of North Bay</v>
      </c>
      <c r="C756" t="str">
        <f t="shared" si="67"/>
        <v>46.31202</v>
      </c>
      <c r="D756" t="str">
        <f t="shared" si="68"/>
        <v>-79.43825</v>
      </c>
      <c r="E756" t="str">
        <f t="shared" si="69"/>
        <v>705-474-0400</v>
      </c>
      <c r="F756" t="str">
        <f t="shared" si="70"/>
        <v>P1B 8G4</v>
      </c>
      <c r="G756" t="str">
        <f t="shared" si="71"/>
        <v>[ "City of North Bay", 46.31202, -79.43825, '705-474-0400', 'P1B 8G4'],</v>
      </c>
    </row>
    <row r="757" spans="1:7" hidden="1" x14ac:dyDescent="0.2">
      <c r="A757" t="s">
        <v>779</v>
      </c>
      <c r="B757" t="str">
        <f t="shared" si="66"/>
        <v>Home Depot</v>
      </c>
      <c r="C757" t="str">
        <f t="shared" si="67"/>
        <v>46.3072931080718</v>
      </c>
      <c r="D757" t="str">
        <f t="shared" si="68"/>
        <v>-79.4389821007338</v>
      </c>
      <c r="E757" t="str">
        <f t="shared" si="69"/>
        <v>705-845-2300</v>
      </c>
      <c r="F757" t="str">
        <f t="shared" si="70"/>
        <v>P1B 9V6</v>
      </c>
      <c r="G757" t="str">
        <f t="shared" si="71"/>
        <v>[ "Home Depot", 46.3072931080718, -79.4389821007338, '705-845-2300', 'P1B 9V6'],</v>
      </c>
    </row>
    <row r="758" spans="1:7" hidden="1" x14ac:dyDescent="0.2">
      <c r="A758" t="s">
        <v>780</v>
      </c>
      <c r="B758" t="str">
        <f t="shared" si="66"/>
        <v>The Source</v>
      </c>
      <c r="C758" t="str">
        <f t="shared" si="67"/>
        <v>46.2829</v>
      </c>
      <c r="D758" t="str">
        <f t="shared" si="68"/>
        <v>-79.44897</v>
      </c>
      <c r="E758" t="str">
        <f t="shared" si="69"/>
        <v>705-476-4486</v>
      </c>
      <c r="F758" t="str">
        <f t="shared" si="70"/>
        <v>P1A 3V2</v>
      </c>
      <c r="G758" t="str">
        <f t="shared" si="71"/>
        <v>[ "The Source", 46.2829, -79.44897, '705-476-4486', 'P1A 3V2'],</v>
      </c>
    </row>
    <row r="759" spans="1:7" hidden="1" x14ac:dyDescent="0.2">
      <c r="A759" t="s">
        <v>781</v>
      </c>
      <c r="B759" t="str">
        <f t="shared" si="66"/>
        <v>Spectrum Telecom Group Ltd</v>
      </c>
      <c r="C759" t="str">
        <f t="shared" si="67"/>
        <v>46.2708855102041</v>
      </c>
      <c r="D759" t="str">
        <f t="shared" si="68"/>
        <v>-79.4103093877551</v>
      </c>
      <c r="E759" t="str">
        <f t="shared" si="69"/>
        <v>705-474-6368</v>
      </c>
      <c r="F759" t="str">
        <f t="shared" si="70"/>
        <v>P1A 4M5</v>
      </c>
      <c r="G759" t="str">
        <f t="shared" si="71"/>
        <v>[ "Spectrum Telecom Group Ltd", 46.2708855102041, -79.4103093877551, '705-474-6368', 'P1A 4M5'],</v>
      </c>
    </row>
    <row r="760" spans="1:7" hidden="1" x14ac:dyDescent="0.2">
      <c r="A760" t="s">
        <v>782</v>
      </c>
      <c r="B760" t="str">
        <f t="shared" si="66"/>
        <v>Dépôt Témiscaming</v>
      </c>
      <c r="C760" t="str">
        <f t="shared" si="67"/>
        <v>46.7213752941176</v>
      </c>
      <c r="D760" t="str">
        <f t="shared" si="68"/>
        <v>-79.0941994117647</v>
      </c>
      <c r="E760" t="str">
        <f t="shared" si="69"/>
        <v>--</v>
      </c>
      <c r="F760" t="str">
        <f t="shared" si="70"/>
        <v>J0Z 3R0</v>
      </c>
      <c r="G760" t="str">
        <f t="shared" si="71"/>
        <v>[ "Dépôt Témiscaming", 46.7213752941176, -79.0941994117647, '--', 'J0Z 3R0'],</v>
      </c>
    </row>
    <row r="761" spans="1:7" hidden="1" x14ac:dyDescent="0.2">
      <c r="A761" t="s">
        <v>783</v>
      </c>
      <c r="B761" t="str">
        <f t="shared" si="66"/>
        <v>Uniprix</v>
      </c>
      <c r="C761" t="str">
        <f t="shared" si="67"/>
        <v>46.72788</v>
      </c>
      <c r="D761" t="str">
        <f t="shared" si="68"/>
        <v>-79.08898</v>
      </c>
      <c r="E761" t="str">
        <f t="shared" si="69"/>
        <v>819-627-3373</v>
      </c>
      <c r="F761" t="str">
        <f t="shared" si="70"/>
        <v>J0Z 3R0</v>
      </c>
      <c r="G761" t="str">
        <f t="shared" si="71"/>
        <v>[ "Uniprix", 46.72788, -79.08898, '819-627-3373', 'J0Z 3R0'],</v>
      </c>
    </row>
    <row r="762" spans="1:7" hidden="1" x14ac:dyDescent="0.2">
      <c r="A762" t="s">
        <v>784</v>
      </c>
      <c r="B762" t="str">
        <f t="shared" si="66"/>
        <v>Dépôt Kipawa</v>
      </c>
      <c r="C762" t="str">
        <f t="shared" si="67"/>
        <v>46.7461252321182</v>
      </c>
      <c r="D762" t="str">
        <f t="shared" si="68"/>
        <v>-79.0553109598523</v>
      </c>
      <c r="E762" t="str">
        <f t="shared" si="69"/>
        <v>--</v>
      </c>
      <c r="F762" t="str">
        <f t="shared" si="70"/>
        <v>J0Z 2H0</v>
      </c>
      <c r="G762" t="str">
        <f t="shared" si="71"/>
        <v>[ "Dépôt Kipawa", 46.7461252321182, -79.0553109598523, '--', 'J0Z 2H0'],</v>
      </c>
    </row>
    <row r="763" spans="1:7" hidden="1" x14ac:dyDescent="0.2">
      <c r="A763" t="s">
        <v>785</v>
      </c>
      <c r="B763" t="str">
        <f t="shared" si="66"/>
        <v>Dépôt Ville-Marie</v>
      </c>
      <c r="C763" t="str">
        <f t="shared" si="67"/>
        <v>47.3295261511659</v>
      </c>
      <c r="D763" t="str">
        <f t="shared" si="68"/>
        <v>-79.4347846046635</v>
      </c>
      <c r="E763" t="str">
        <f t="shared" si="69"/>
        <v>--</v>
      </c>
      <c r="F763" t="str">
        <f t="shared" si="70"/>
        <v>J9V 1A2</v>
      </c>
      <c r="G763" t="str">
        <f t="shared" si="71"/>
        <v>[ "Dépôt Ville-Marie", 47.3295261511659, -79.4347846046635, '--', 'J9V 1A2'],</v>
      </c>
    </row>
    <row r="764" spans="1:7" hidden="1" x14ac:dyDescent="0.2">
      <c r="A764" t="s">
        <v>786</v>
      </c>
      <c r="B764" t="str">
        <f t="shared" si="66"/>
        <v>Dépôt Béarn</v>
      </c>
      <c r="C764" t="str">
        <f t="shared" si="67"/>
        <v>47.290527</v>
      </c>
      <c r="D764" t="str">
        <f t="shared" si="68"/>
        <v>-79.327876</v>
      </c>
      <c r="E764" t="str">
        <f t="shared" si="69"/>
        <v>--</v>
      </c>
      <c r="F764" t="str">
        <f t="shared" si="70"/>
        <v>J0Z 1G0</v>
      </c>
      <c r="G764" t="str">
        <f t="shared" si="71"/>
        <v>[ "Dépôt Béarn", 47.290527, -79.327876, '--', 'J0Z 1G0'],</v>
      </c>
    </row>
    <row r="765" spans="1:7" hidden="1" x14ac:dyDescent="0.2">
      <c r="A765" t="s">
        <v>787</v>
      </c>
      <c r="B765" t="str">
        <f t="shared" si="66"/>
        <v>BMR J. Drolet &amp; Fils ltée</v>
      </c>
      <c r="C765" t="str">
        <f t="shared" si="67"/>
        <v>47.33069</v>
      </c>
      <c r="D765" t="str">
        <f t="shared" si="68"/>
        <v>-79.43604</v>
      </c>
      <c r="E765" t="str">
        <f t="shared" si="69"/>
        <v>819-629-2885</v>
      </c>
      <c r="F765" t="str">
        <f t="shared" si="70"/>
        <v>J9V 1J9</v>
      </c>
      <c r="G765" t="str">
        <f t="shared" si="71"/>
        <v>[ "BMR J. Drolet &amp; Fils ltée", 47.33069, -79.43604, '819-629-2885', 'J9V 1J9'],</v>
      </c>
    </row>
    <row r="766" spans="1:7" hidden="1" x14ac:dyDescent="0.2">
      <c r="A766" t="s">
        <v>788</v>
      </c>
      <c r="B766" t="str">
        <f t="shared" si="66"/>
        <v>Bergeron Electronique</v>
      </c>
      <c r="C766" t="str">
        <f t="shared" si="67"/>
        <v>47.33723</v>
      </c>
      <c r="D766" t="str">
        <f t="shared" si="68"/>
        <v>-79.43704</v>
      </c>
      <c r="E766" t="str">
        <f t="shared" si="69"/>
        <v>819-629-3444</v>
      </c>
      <c r="F766" t="str">
        <f t="shared" si="70"/>
        <v>J9V 1J5</v>
      </c>
      <c r="G766" t="str">
        <f t="shared" si="71"/>
        <v>[ "Bergeron Electronique", 47.33723, -79.43704, '819-629-3444', 'J9V 1J5'],</v>
      </c>
    </row>
    <row r="767" spans="1:7" hidden="1" x14ac:dyDescent="0.2">
      <c r="A767" t="s">
        <v>789</v>
      </c>
      <c r="B767" t="str">
        <f t="shared" si="66"/>
        <v>Powassan Home Hardware</v>
      </c>
      <c r="C767" t="str">
        <f t="shared" si="67"/>
        <v>46.0814266666667</v>
      </c>
      <c r="D767" t="str">
        <f t="shared" si="68"/>
        <v>-79.3612022222222</v>
      </c>
      <c r="E767" t="str">
        <f t="shared" si="69"/>
        <v>705-724-2810</v>
      </c>
      <c r="F767" t="str">
        <f t="shared" si="70"/>
        <v>P0H 1Z0</v>
      </c>
      <c r="G767" t="str">
        <f t="shared" si="71"/>
        <v>[ "Powassan Home Hardware", 46.0814266666667, -79.3612022222222, '705-724-2810', 'P0H 1Z0'],</v>
      </c>
    </row>
    <row r="768" spans="1:7" hidden="1" x14ac:dyDescent="0.2">
      <c r="A768" t="s">
        <v>790</v>
      </c>
      <c r="B768" t="str">
        <f t="shared" si="66"/>
        <v>RONA</v>
      </c>
      <c r="C768" t="str">
        <f t="shared" si="67"/>
        <v>46.6085883728151</v>
      </c>
      <c r="D768" t="str">
        <f t="shared" si="68"/>
        <v>-81.0313502368903</v>
      </c>
      <c r="E768" t="str">
        <f t="shared" si="69"/>
        <v>705-897-2552</v>
      </c>
      <c r="F768" t="str">
        <f t="shared" si="70"/>
        <v>P3N 1B2</v>
      </c>
      <c r="G768" t="str">
        <f t="shared" si="71"/>
        <v>[ "RONA", 46.6085883728151, -81.0313502368903, '705-897-2552', 'P3N 1B2'],</v>
      </c>
    </row>
    <row r="769" spans="1:7" hidden="1" x14ac:dyDescent="0.2">
      <c r="A769" t="s">
        <v>791</v>
      </c>
      <c r="B769" t="str">
        <f t="shared" ref="B769:B832" si="72">MID(A769,SEARCH("name"&amp;CHAR(34)&amp;":"&amp;CHAR(34),A769)+7,SEARCH(CHAR(34)&amp;", "&amp;CHAR(34)&amp;"locationlinkurl",A769)-SEARCH("name"&amp;CHAR(34)&amp;":"&amp;CHAR(34),A769)-7)</f>
        <v>Jannatec Radio Technologies</v>
      </c>
      <c r="C769" t="str">
        <f t="shared" ref="C769:C832" si="73">MID(A769,SEARCH(CHAR(34)&amp;"latitude"&amp;CHAR(34)&amp;":"&amp;CHAR(34),A769)+12,SEARCH(CHAR(34)&amp;", "&amp;CHAR(34)&amp;"url"&amp;CHAR(34),A769)-SEARCH(CHAR(34)&amp;"latitude"&amp;CHAR(34)&amp;":"&amp;CHAR(34),A769)-12)</f>
        <v>46.53725</v>
      </c>
      <c r="D769" t="str">
        <f t="shared" ref="D769:D832" si="74">MID(A769,SEARCH(CHAR(34)&amp;"longitude"&amp;CHAR(34)&amp;":"&amp;CHAR(34),A769)+13,SEARCH(CHAR(34)&amp;", "&amp;CHAR(34)&amp;"uid"&amp;CHAR(34),A769)-SEARCH(CHAR(34)&amp;"longitude"&amp;CHAR(34)&amp;":"&amp;CHAR(34),A769)-13)</f>
        <v>-80.93738</v>
      </c>
      <c r="E769" t="str">
        <f t="shared" ref="E769:E832" si="75">MID(A769,SEARCH(CHAR(34)&amp;"phone"&amp;CHAR(34)&amp;":"&amp;CHAR(34),A769)+9,SEARCH(CHAR(34)&amp;", "&amp;CHAR(34)&amp;"address2"&amp;CHAR(34),A769)-SEARCH(CHAR(34)&amp;"phone"&amp;CHAR(34)&amp;":"&amp;CHAR(34),A769)-9)</f>
        <v>705-566-3939</v>
      </c>
      <c r="F769" t="str">
        <f t="shared" ref="F769:F832" si="76">MID(A769,SEARCH(CHAR(34)&amp;"postalcode"&amp;CHAR(34)&amp;":"&amp;CHAR(34),A769)+14,SEARCH(CHAR(34)&amp;", "&amp;CHAR(34)&amp;"province"&amp;CHAR(34),A769)-SEARCH(CHAR(34)&amp;"postalcode"&amp;CHAR(34)&amp;":"&amp;CHAR(34),A769)-14)</f>
        <v>P3A 4R7</v>
      </c>
      <c r="G769" t="str">
        <f t="shared" ref="G769:G832" si="77">"[ "&amp;CHAR(34)&amp;B769&amp;CHAR(34)&amp;", "&amp;C769&amp;", "&amp;D769&amp;", '"&amp;E769&amp;"', '"&amp;F769&amp;"'],"</f>
        <v>[ "Jannatec Radio Technologies", 46.53725, -80.93738, '705-566-3939', 'P3A 4R7'],</v>
      </c>
    </row>
    <row r="770" spans="1:7" hidden="1" x14ac:dyDescent="0.2">
      <c r="A770" t="s">
        <v>792</v>
      </c>
      <c r="B770" t="str">
        <f t="shared" si="72"/>
        <v>Princess Auto</v>
      </c>
      <c r="C770" t="str">
        <f t="shared" si="73"/>
        <v>46.5220916317554</v>
      </c>
      <c r="D770" t="str">
        <f t="shared" si="74"/>
        <v>-80.960964597829</v>
      </c>
      <c r="E770" t="str">
        <f t="shared" si="75"/>
        <v>705-524-6500</v>
      </c>
      <c r="F770" t="str">
        <f t="shared" si="76"/>
        <v>P3A 1X7</v>
      </c>
      <c r="G770" t="str">
        <f t="shared" si="77"/>
        <v>[ "Princess Auto", 46.5220916317554, -80.960964597829, '705-524-6500', 'P3A 1X7'],</v>
      </c>
    </row>
    <row r="771" spans="1:7" hidden="1" x14ac:dyDescent="0.2">
      <c r="A771" t="s">
        <v>793</v>
      </c>
      <c r="B771" t="str">
        <f t="shared" si="72"/>
        <v>The Source</v>
      </c>
      <c r="C771" t="str">
        <f t="shared" si="73"/>
        <v>46.52205</v>
      </c>
      <c r="D771" t="str">
        <f t="shared" si="74"/>
        <v>-80.94908</v>
      </c>
      <c r="E771" t="str">
        <f t="shared" si="75"/>
        <v>705-560-1669</v>
      </c>
      <c r="F771" t="str">
        <f t="shared" si="76"/>
        <v>P3A 1Z2</v>
      </c>
      <c r="G771" t="str">
        <f t="shared" si="77"/>
        <v>[ "The Source", 46.52205, -80.94908, '705-560-1669', 'P3A 1Z2'],</v>
      </c>
    </row>
    <row r="772" spans="1:7" hidden="1" x14ac:dyDescent="0.2">
      <c r="A772" t="s">
        <v>794</v>
      </c>
      <c r="B772" t="str">
        <f t="shared" si="72"/>
        <v>City of Greater Sudbury</v>
      </c>
      <c r="C772" t="str">
        <f t="shared" si="73"/>
        <v>46.5057506247064</v>
      </c>
      <c r="D772" t="str">
        <f t="shared" si="74"/>
        <v>-80.9304913530085</v>
      </c>
      <c r="E772" t="str">
        <f t="shared" si="75"/>
        <v>705-671-2489</v>
      </c>
      <c r="F772" t="str">
        <f t="shared" si="76"/>
        <v>P3A 6C8</v>
      </c>
      <c r="G772" t="str">
        <f t="shared" si="77"/>
        <v>[ "City of Greater Sudbury", 46.5057506247064, -80.9304913530085, '705-671-2489', 'P3A 6C8'],</v>
      </c>
    </row>
    <row r="773" spans="1:7" x14ac:dyDescent="0.2">
      <c r="A773" t="s">
        <v>795</v>
      </c>
      <c r="B773" t="str">
        <f t="shared" si="72"/>
        <v>Staples</v>
      </c>
      <c r="C773" t="str">
        <f t="shared" si="73"/>
        <v>46.5050268639053</v>
      </c>
      <c r="D773" t="str">
        <f t="shared" si="74"/>
        <v>-80.9460298816568</v>
      </c>
      <c r="E773" t="str">
        <f t="shared" si="75"/>
        <v>705-524-6227</v>
      </c>
      <c r="F773" t="str">
        <f t="shared" si="76"/>
        <v>P3B 0A2</v>
      </c>
      <c r="G773" t="str">
        <f t="shared" si="77"/>
        <v>[ "Staples", 46.5050268639053, -80.9460298816568, '705-524-6227', 'P3B 0A2'],</v>
      </c>
    </row>
    <row r="774" spans="1:7" hidden="1" x14ac:dyDescent="0.2">
      <c r="A774" t="s">
        <v>796</v>
      </c>
      <c r="B774" t="str">
        <f t="shared" si="72"/>
        <v>Spectrum Telecom Group Ltd</v>
      </c>
      <c r="C774" t="str">
        <f t="shared" si="73"/>
        <v>46.50585</v>
      </c>
      <c r="D774" t="str">
        <f t="shared" si="74"/>
        <v>-81.00675</v>
      </c>
      <c r="E774" t="str">
        <f t="shared" si="75"/>
        <v>705-673-6661</v>
      </c>
      <c r="F774" t="str">
        <f t="shared" si="76"/>
        <v>P3C 5A2</v>
      </c>
      <c r="G774" t="str">
        <f t="shared" si="77"/>
        <v>[ "Spectrum Telecom Group Ltd", 46.50585, -81.00675, '705-673-6661', 'P3C 5A2'],</v>
      </c>
    </row>
    <row r="775" spans="1:7" hidden="1" x14ac:dyDescent="0.2">
      <c r="A775" t="s">
        <v>797</v>
      </c>
      <c r="B775" t="str">
        <f t="shared" si="72"/>
        <v>Home Depot</v>
      </c>
      <c r="C775" t="str">
        <f t="shared" si="73"/>
        <v>46.50216</v>
      </c>
      <c r="D775" t="str">
        <f t="shared" si="74"/>
        <v>-80.9413717053339</v>
      </c>
      <c r="E775" t="str">
        <f t="shared" si="75"/>
        <v>705-525-2960</v>
      </c>
      <c r="F775" t="str">
        <f t="shared" si="76"/>
        <v>P3B 4K5</v>
      </c>
      <c r="G775" t="str">
        <f t="shared" si="77"/>
        <v>[ "Home Depot", 46.50216, -80.9413717053339, '705-525-2960', 'P3B 4K5'],</v>
      </c>
    </row>
    <row r="776" spans="1:7" hidden="1" x14ac:dyDescent="0.2">
      <c r="A776" t="s">
        <v>798</v>
      </c>
      <c r="B776" t="str">
        <f t="shared" si="72"/>
        <v>Lowes</v>
      </c>
      <c r="C776" t="str">
        <f t="shared" si="73"/>
        <v>46.5016862172095</v>
      </c>
      <c r="D776" t="str">
        <f t="shared" si="74"/>
        <v>-80.945430510575</v>
      </c>
      <c r="E776" t="str">
        <f t="shared" si="75"/>
        <v>705-521-7200</v>
      </c>
      <c r="F776" t="str">
        <f t="shared" si="76"/>
        <v>P3B 4K6</v>
      </c>
      <c r="G776" t="str">
        <f t="shared" si="77"/>
        <v>[ "Lowes", 46.5016862172095, -80.945430510575, '705-521-7200', 'P3B 4K6'],</v>
      </c>
    </row>
    <row r="777" spans="1:7" hidden="1" x14ac:dyDescent="0.2">
      <c r="A777" t="s">
        <v>799</v>
      </c>
      <c r="B777" t="str">
        <f t="shared" si="72"/>
        <v>ListenUp! Canada</v>
      </c>
      <c r="C777" t="str">
        <f t="shared" si="73"/>
        <v>46.4913295833333</v>
      </c>
      <c r="D777" t="str">
        <f t="shared" si="74"/>
        <v>-80.9930954166667</v>
      </c>
      <c r="E777" t="str">
        <f t="shared" si="75"/>
        <v>705-670-8250</v>
      </c>
      <c r="F777" t="str">
        <f t="shared" si="76"/>
        <v>P3E 1C1</v>
      </c>
      <c r="G777" t="str">
        <f t="shared" si="77"/>
        <v>[ "ListenUp! Canada", 46.4913295833333, -80.9930954166667, '705-670-8250', 'P3E 1C1'],</v>
      </c>
    </row>
    <row r="778" spans="1:7" hidden="1" x14ac:dyDescent="0.2">
      <c r="A778" t="s">
        <v>800</v>
      </c>
      <c r="B778" t="str">
        <f t="shared" si="72"/>
        <v>Fastenal</v>
      </c>
      <c r="C778" t="str">
        <f t="shared" si="73"/>
        <v>46.4719496466368</v>
      </c>
      <c r="D778" t="str">
        <f t="shared" si="74"/>
        <v>-81.0280557295891</v>
      </c>
      <c r="E778" t="str">
        <f t="shared" si="75"/>
        <v>705-675-6888</v>
      </c>
      <c r="F778" t="str">
        <f t="shared" si="76"/>
        <v>P3C 3B6</v>
      </c>
      <c r="G778" t="str">
        <f t="shared" si="77"/>
        <v>[ "Fastenal", 46.4719496466368, -81.0280557295891, '705-675-6888', 'P3C 3B6'],</v>
      </c>
    </row>
    <row r="779" spans="1:7" hidden="1" x14ac:dyDescent="0.2">
      <c r="A779" t="s">
        <v>801</v>
      </c>
      <c r="B779" t="str">
        <f t="shared" si="72"/>
        <v>The Source</v>
      </c>
      <c r="C779" t="str">
        <f t="shared" si="73"/>
        <v>46.4510312859701</v>
      </c>
      <c r="D779" t="str">
        <f t="shared" si="74"/>
        <v>-81.0016696544131</v>
      </c>
      <c r="E779" t="str">
        <f t="shared" si="75"/>
        <v>705-522-1457</v>
      </c>
      <c r="F779" t="str">
        <f t="shared" si="76"/>
        <v>P3E 5R2</v>
      </c>
      <c r="G779" t="str">
        <f t="shared" si="77"/>
        <v>[ "The Source", 46.4510312859701, -81.0016696544131, '705-522-1457', 'P3E 5R2'],</v>
      </c>
    </row>
    <row r="780" spans="1:7" hidden="1" x14ac:dyDescent="0.2">
      <c r="A780" t="s">
        <v>802</v>
      </c>
      <c r="B780" t="str">
        <f t="shared" si="72"/>
        <v>Township of Sables-Spanish Rivers</v>
      </c>
      <c r="C780" t="str">
        <f t="shared" si="73"/>
        <v>46.21335</v>
      </c>
      <c r="D780" t="str">
        <f t="shared" si="74"/>
        <v>-82.06609</v>
      </c>
      <c r="E780" t="str">
        <f t="shared" si="75"/>
        <v>705-865-2646</v>
      </c>
      <c r="F780" t="str">
        <f t="shared" si="76"/>
        <v>P0P 1P0</v>
      </c>
      <c r="G780" t="str">
        <f t="shared" si="77"/>
        <v>[ "Township of Sables-Spanish Rivers", 46.21335, -82.06609, '705-865-2646', 'P0P 1P0'],</v>
      </c>
    </row>
    <row r="781" spans="1:7" hidden="1" x14ac:dyDescent="0.2">
      <c r="A781" t="s">
        <v>803</v>
      </c>
      <c r="B781" t="str">
        <f t="shared" si="72"/>
        <v>Unicorn Stationery &amp; Gifts</v>
      </c>
      <c r="C781" t="str">
        <f t="shared" si="73"/>
        <v>46.18657</v>
      </c>
      <c r="D781" t="str">
        <f t="shared" si="74"/>
        <v>-82.95392</v>
      </c>
      <c r="E781" t="str">
        <f t="shared" si="75"/>
        <v>705-356-7424</v>
      </c>
      <c r="F781" t="str">
        <f t="shared" si="76"/>
        <v>P0R 1B0</v>
      </c>
      <c r="G781" t="str">
        <f t="shared" si="77"/>
        <v>[ "Unicorn Stationery &amp; Gifts", 46.18657, -82.95392, '705-356-7424', 'P0R 1B0'],</v>
      </c>
    </row>
    <row r="782" spans="1:7" hidden="1" x14ac:dyDescent="0.2">
      <c r="A782" t="s">
        <v>804</v>
      </c>
      <c r="B782" t="str">
        <f t="shared" si="72"/>
        <v>Ritchie Electronics</v>
      </c>
      <c r="C782" t="str">
        <f t="shared" si="73"/>
        <v>46.2559011111111</v>
      </c>
      <c r="D782" t="str">
        <f t="shared" si="74"/>
        <v>-83.5571277777778</v>
      </c>
      <c r="E782" t="str">
        <f t="shared" si="75"/>
        <v>705-842-2060</v>
      </c>
      <c r="F782" t="str">
        <f t="shared" si="76"/>
        <v>P0R 1L0</v>
      </c>
      <c r="G782" t="str">
        <f t="shared" si="77"/>
        <v>[ "Ritchie Electronics", 46.2559011111111, -83.5571277777778, '705-842-2060', 'P0R 1L0'],</v>
      </c>
    </row>
    <row r="783" spans="1:7" hidden="1" x14ac:dyDescent="0.2">
      <c r="A783" t="s">
        <v>805</v>
      </c>
      <c r="B783" t="str">
        <f t="shared" si="72"/>
        <v>ListenUp! Canada</v>
      </c>
      <c r="C783" t="str">
        <f t="shared" si="73"/>
        <v>46.52184</v>
      </c>
      <c r="D783" t="str">
        <f t="shared" si="74"/>
        <v>-84.31535</v>
      </c>
      <c r="E783" t="str">
        <f t="shared" si="75"/>
        <v>705-759-7453</v>
      </c>
      <c r="F783" t="str">
        <f t="shared" si="76"/>
        <v>P6B 1Y5</v>
      </c>
      <c r="G783" t="str">
        <f t="shared" si="77"/>
        <v>[ "ListenUp! Canada", 46.52184, -84.31535, '705-759-7453', 'P6B 1Y5'],</v>
      </c>
    </row>
    <row r="784" spans="1:7" hidden="1" x14ac:dyDescent="0.2">
      <c r="A784" t="s">
        <v>806</v>
      </c>
      <c r="B784" t="str">
        <f t="shared" si="72"/>
        <v>ListenUp! Canada</v>
      </c>
      <c r="C784" t="str">
        <f t="shared" si="73"/>
        <v>46.5299991676132</v>
      </c>
      <c r="D784" t="str">
        <f t="shared" si="74"/>
        <v>-84.3195214583807</v>
      </c>
      <c r="E784" t="str">
        <f t="shared" si="75"/>
        <v>705-942-6077</v>
      </c>
      <c r="F784" t="str">
        <f t="shared" si="76"/>
        <v>P6B 4Z1</v>
      </c>
      <c r="G784" t="str">
        <f t="shared" si="77"/>
        <v>[ "ListenUp! Canada", 46.5299991676132, -84.3195214583807, '705-942-6077', 'P6B 4Z1'],</v>
      </c>
    </row>
    <row r="785" spans="1:7" x14ac:dyDescent="0.2">
      <c r="A785" t="s">
        <v>807</v>
      </c>
      <c r="B785" t="str">
        <f t="shared" si="72"/>
        <v>Staples</v>
      </c>
      <c r="C785" t="str">
        <f t="shared" si="73"/>
        <v>46.5361208793104</v>
      </c>
      <c r="D785" t="str">
        <f t="shared" si="74"/>
        <v>-84.3188181318782</v>
      </c>
      <c r="E785" t="str">
        <f t="shared" si="75"/>
        <v>705-256-1466</v>
      </c>
      <c r="F785" t="str">
        <f t="shared" si="76"/>
        <v>P6B 4Z8</v>
      </c>
      <c r="G785" t="str">
        <f t="shared" si="77"/>
        <v>[ "Staples", 46.5361208793104, -84.3188181318782, '705-256-1466', 'P6B 4Z8'],</v>
      </c>
    </row>
    <row r="786" spans="1:7" hidden="1" x14ac:dyDescent="0.2">
      <c r="A786" t="s">
        <v>808</v>
      </c>
      <c r="B786" t="str">
        <f t="shared" si="72"/>
        <v>Home Depot</v>
      </c>
      <c r="C786" t="str">
        <f t="shared" si="73"/>
        <v>46.5437726873648</v>
      </c>
      <c r="D786" t="str">
        <f t="shared" si="74"/>
        <v>-84.31709</v>
      </c>
      <c r="E786" t="str">
        <f t="shared" si="75"/>
        <v>705-254-1150</v>
      </c>
      <c r="F786" t="str">
        <f t="shared" si="76"/>
        <v>P6B 4Z9</v>
      </c>
      <c r="G786" t="str">
        <f t="shared" si="77"/>
        <v>[ "Home Depot", 46.5437726873648, -84.31709, '705-254-1150', 'P6B 4Z9'],</v>
      </c>
    </row>
    <row r="787" spans="1:7" x14ac:dyDescent="0.2">
      <c r="A787" t="s">
        <v>809</v>
      </c>
      <c r="B787" t="str">
        <f t="shared" si="72"/>
        <v>Best Buy Canada</v>
      </c>
      <c r="C787" t="str">
        <f t="shared" si="73"/>
        <v>46.54303</v>
      </c>
      <c r="D787" t="str">
        <f t="shared" si="74"/>
        <v>-84.31917</v>
      </c>
      <c r="E787" t="str">
        <f t="shared" si="75"/>
        <v>705-942-0722</v>
      </c>
      <c r="F787" t="str">
        <f t="shared" si="76"/>
        <v>P6B 4Z9</v>
      </c>
      <c r="G787" t="str">
        <f t="shared" si="77"/>
        <v>[ "Best Buy Canada", 46.54303, -84.31917, '705-942-0722', 'P6B 4Z9'],</v>
      </c>
    </row>
    <row r="788" spans="1:7" hidden="1" x14ac:dyDescent="0.2">
      <c r="A788" t="s">
        <v>810</v>
      </c>
      <c r="B788" t="str">
        <f t="shared" si="72"/>
        <v>City of Sault Ste. Marie</v>
      </c>
      <c r="C788" t="str">
        <f t="shared" si="73"/>
        <v>46.5509722592981</v>
      </c>
      <c r="D788" t="str">
        <f t="shared" si="74"/>
        <v>-84.3273139340878</v>
      </c>
      <c r="E788" t="str">
        <f t="shared" si="75"/>
        <v>705-541-7049</v>
      </c>
      <c r="F788" t="str">
        <f t="shared" si="76"/>
        <v>P6B 5P3</v>
      </c>
      <c r="G788" t="str">
        <f t="shared" si="77"/>
        <v>[ "City of Sault Ste. Marie", 46.5509722592981, -84.3273139340878, '705-541-7049', 'P6B 5P3'],</v>
      </c>
    </row>
    <row r="789" spans="1:7" hidden="1" x14ac:dyDescent="0.2">
      <c r="A789" t="s">
        <v>811</v>
      </c>
      <c r="B789" t="str">
        <f t="shared" si="72"/>
        <v>Home Depot</v>
      </c>
      <c r="C789" t="str">
        <f t="shared" si="73"/>
        <v>46.5437726873648</v>
      </c>
      <c r="D789" t="str">
        <f t="shared" si="74"/>
        <v>-84.31709</v>
      </c>
      <c r="E789" t="str">
        <f t="shared" si="75"/>
        <v>705-254-1150</v>
      </c>
      <c r="F789" t="str">
        <f t="shared" si="76"/>
        <v>P6B 4Z9</v>
      </c>
      <c r="G789" t="str">
        <f t="shared" si="77"/>
        <v>[ "Home Depot", 46.5437726873648, -84.31709, '705-254-1150', 'P6B 4Z9'],</v>
      </c>
    </row>
    <row r="790" spans="1:7" x14ac:dyDescent="0.2">
      <c r="A790" t="s">
        <v>812</v>
      </c>
      <c r="B790" t="str">
        <f t="shared" si="72"/>
        <v>Best Buy Canada</v>
      </c>
      <c r="C790" t="str">
        <f t="shared" si="73"/>
        <v>46.54303</v>
      </c>
      <c r="D790" t="str">
        <f t="shared" si="74"/>
        <v>-84.31917</v>
      </c>
      <c r="E790" t="str">
        <f t="shared" si="75"/>
        <v>705-942-0722</v>
      </c>
      <c r="F790" t="str">
        <f t="shared" si="76"/>
        <v>P6B 4Z9</v>
      </c>
      <c r="G790" t="str">
        <f t="shared" si="77"/>
        <v>[ "Best Buy Canada", 46.54303, -84.31917, '705-942-0722', 'P6B 4Z9'],</v>
      </c>
    </row>
    <row r="791" spans="1:7" hidden="1" x14ac:dyDescent="0.2">
      <c r="A791" t="s">
        <v>813</v>
      </c>
      <c r="B791" t="str">
        <f t="shared" si="72"/>
        <v>Nor Bear Ltd</v>
      </c>
      <c r="C791" t="str">
        <f t="shared" si="73"/>
        <v>46.5381441</v>
      </c>
      <c r="D791" t="str">
        <f t="shared" si="74"/>
        <v>-84.3321697</v>
      </c>
      <c r="E791" t="str">
        <f t="shared" si="75"/>
        <v>705-254-3241</v>
      </c>
      <c r="F791" t="str">
        <f t="shared" si="76"/>
        <v>P6B 4J9</v>
      </c>
      <c r="G791" t="str">
        <f t="shared" si="77"/>
        <v>[ "Nor Bear Ltd", 46.5381441, -84.3321697, '705-254-3241', 'P6B 4J9'],</v>
      </c>
    </row>
    <row r="792" spans="1:7" hidden="1" x14ac:dyDescent="0.2">
      <c r="A792" t="s">
        <v>814</v>
      </c>
      <c r="B792" t="str">
        <f t="shared" si="72"/>
        <v>Spectrum Telecom Group Ltd</v>
      </c>
      <c r="C792" t="str">
        <f t="shared" si="73"/>
        <v>46.5373870562711</v>
      </c>
      <c r="D792" t="str">
        <f t="shared" si="74"/>
        <v>-84.3332230964698</v>
      </c>
      <c r="E792" t="str">
        <f t="shared" si="75"/>
        <v>705-759-0075</v>
      </c>
      <c r="F792" t="str">
        <f t="shared" si="76"/>
        <v>P6B 4J7</v>
      </c>
      <c r="G792" t="str">
        <f t="shared" si="77"/>
        <v>[ "Spectrum Telecom Group Ltd", 46.5373870562711, -84.3332230964698, '705-759-0075', 'P6B 4J7'],</v>
      </c>
    </row>
    <row r="793" spans="1:7" x14ac:dyDescent="0.2">
      <c r="A793" t="s">
        <v>815</v>
      </c>
      <c r="B793" t="str">
        <f t="shared" si="72"/>
        <v>Staples</v>
      </c>
      <c r="C793" t="str">
        <f t="shared" si="73"/>
        <v>46.5361208793104</v>
      </c>
      <c r="D793" t="str">
        <f t="shared" si="74"/>
        <v>-84.3188181318782</v>
      </c>
      <c r="E793" t="str">
        <f t="shared" si="75"/>
        <v>705-256-1466</v>
      </c>
      <c r="F793" t="str">
        <f t="shared" si="76"/>
        <v>P6B 4Z8</v>
      </c>
      <c r="G793" t="str">
        <f t="shared" si="77"/>
        <v>[ "Staples", 46.5361208793104, -84.3188181318782, '705-256-1466', 'P6B 4Z8'],</v>
      </c>
    </row>
    <row r="794" spans="1:7" hidden="1" x14ac:dyDescent="0.2">
      <c r="A794" t="s">
        <v>816</v>
      </c>
      <c r="B794" t="str">
        <f t="shared" si="72"/>
        <v>ListenUp! Canada</v>
      </c>
      <c r="C794" t="str">
        <f t="shared" si="73"/>
        <v>46.5299991676132</v>
      </c>
      <c r="D794" t="str">
        <f t="shared" si="74"/>
        <v>-84.3195214583807</v>
      </c>
      <c r="E794" t="str">
        <f t="shared" si="75"/>
        <v>705-942-6077</v>
      </c>
      <c r="F794" t="str">
        <f t="shared" si="76"/>
        <v>P6B 4Z1</v>
      </c>
      <c r="G794" t="str">
        <f t="shared" si="77"/>
        <v>[ "ListenUp! Canada", 46.5299991676132, -84.3195214583807, '705-942-6077', 'P6B 4Z1'],</v>
      </c>
    </row>
    <row r="795" spans="1:7" hidden="1" x14ac:dyDescent="0.2">
      <c r="A795" t="s">
        <v>817</v>
      </c>
      <c r="B795" t="str">
        <f t="shared" si="72"/>
        <v>ListenUp! Canada</v>
      </c>
      <c r="C795" t="str">
        <f t="shared" si="73"/>
        <v>46.52184</v>
      </c>
      <c r="D795" t="str">
        <f t="shared" si="74"/>
        <v>-84.31535</v>
      </c>
      <c r="E795" t="str">
        <f t="shared" si="75"/>
        <v>705-759-7453</v>
      </c>
      <c r="F795" t="str">
        <f t="shared" si="76"/>
        <v>P6B 1Y5</v>
      </c>
      <c r="G795" t="str">
        <f t="shared" si="77"/>
        <v>[ "ListenUp! Canada", 46.52184, -84.31535, '705-759-7453', 'P6B 1Y5'],</v>
      </c>
    </row>
    <row r="796" spans="1:7" hidden="1" x14ac:dyDescent="0.2">
      <c r="A796" t="s">
        <v>818</v>
      </c>
      <c r="B796" t="str">
        <f t="shared" si="72"/>
        <v>Rona</v>
      </c>
      <c r="C796" t="str">
        <f t="shared" si="73"/>
        <v>49.7743958847974</v>
      </c>
      <c r="D796" t="str">
        <f t="shared" si="74"/>
        <v>-86.5374523574809</v>
      </c>
      <c r="E796" t="str">
        <f t="shared" si="75"/>
        <v>807-876-2294</v>
      </c>
      <c r="F796" t="str">
        <f t="shared" si="76"/>
        <v>P0T 2A0</v>
      </c>
      <c r="G796" t="str">
        <f t="shared" si="77"/>
        <v>[ "Rona", 49.7743958847974, -86.5374523574809, '807-876-2294', 'P0T 2A0'],</v>
      </c>
    </row>
    <row r="797" spans="1:7" hidden="1" x14ac:dyDescent="0.2">
      <c r="A797" t="s">
        <v>819</v>
      </c>
      <c r="B797" t="str">
        <f t="shared" si="72"/>
        <v>Corporation du Canton de Dubreuilville</v>
      </c>
      <c r="C797" t="str">
        <f t="shared" si="73"/>
        <v>48.3511856670082</v>
      </c>
      <c r="D797" t="str">
        <f t="shared" si="74"/>
        <v>-84.5473311099727</v>
      </c>
      <c r="E797" t="str">
        <f t="shared" si="75"/>
        <v>705-884-2340</v>
      </c>
      <c r="F797" t="str">
        <f t="shared" si="76"/>
        <v>P0S 1B0</v>
      </c>
      <c r="G797" t="str">
        <f t="shared" si="77"/>
        <v>[ "Corporation du Canton de Dubreuilville", 48.3511856670082, -84.5473311099727, '705-884-2340', 'P0S 1B0'],</v>
      </c>
    </row>
    <row r="798" spans="1:7" hidden="1" x14ac:dyDescent="0.2">
      <c r="A798" t="s">
        <v>820</v>
      </c>
      <c r="B798" t="str">
        <f t="shared" si="72"/>
        <v>Township of Hornepayne</v>
      </c>
      <c r="C798" t="str">
        <f t="shared" si="73"/>
        <v>49.218</v>
      </c>
      <c r="D798" t="str">
        <f t="shared" si="74"/>
        <v>-84.77496</v>
      </c>
      <c r="E798" t="str">
        <f t="shared" si="75"/>
        <v>807-868-2020</v>
      </c>
      <c r="F798" t="str">
        <f t="shared" si="76"/>
        <v>P0M 1Z0</v>
      </c>
      <c r="G798" t="str">
        <f t="shared" si="77"/>
        <v>[ "Township of Hornepayne", 49.218, -84.77496, '807-868-2020', 'P0M 1Z0'],</v>
      </c>
    </row>
    <row r="799" spans="1:7" hidden="1" x14ac:dyDescent="0.2">
      <c r="A799" t="s">
        <v>821</v>
      </c>
      <c r="B799" t="str">
        <f t="shared" si="72"/>
        <v>Township of Schreiber</v>
      </c>
      <c r="C799" t="str">
        <f t="shared" si="73"/>
        <v>48.8035821227083</v>
      </c>
      <c r="D799" t="str">
        <f t="shared" si="74"/>
        <v>-87.2659121731958</v>
      </c>
      <c r="E799" t="str">
        <f t="shared" si="75"/>
        <v>807-824-2711</v>
      </c>
      <c r="F799" t="str">
        <f t="shared" si="76"/>
        <v>P0T 2S0</v>
      </c>
      <c r="G799" t="str">
        <f t="shared" si="77"/>
        <v>[ "Township of Schreiber", 48.8035821227083, -87.2659121731958, '807-824-2711', 'P0T 2S0'],</v>
      </c>
    </row>
    <row r="800" spans="1:7" hidden="1" x14ac:dyDescent="0.2">
      <c r="A800" t="s">
        <v>822</v>
      </c>
      <c r="B800" t="str">
        <f t="shared" si="72"/>
        <v>Rona</v>
      </c>
      <c r="C800" t="str">
        <f t="shared" si="73"/>
        <v>49.7743958847974</v>
      </c>
      <c r="D800" t="str">
        <f t="shared" si="74"/>
        <v>-86.5374523574809</v>
      </c>
      <c r="E800" t="str">
        <f t="shared" si="75"/>
        <v>807-876-2294</v>
      </c>
      <c r="F800" t="str">
        <f t="shared" si="76"/>
        <v>P0T 2A0</v>
      </c>
      <c r="G800" t="str">
        <f t="shared" si="77"/>
        <v>[ "Rona", 49.7743958847974, -86.5374523574809, '807-876-2294', 'P0T 2A0'],</v>
      </c>
    </row>
    <row r="801" spans="1:7" hidden="1" x14ac:dyDescent="0.2">
      <c r="A801" t="s">
        <v>823</v>
      </c>
      <c r="B801" t="str">
        <f t="shared" si="72"/>
        <v>Township of Schreiber</v>
      </c>
      <c r="C801" t="str">
        <f t="shared" si="73"/>
        <v>48.8035821227083</v>
      </c>
      <c r="D801" t="str">
        <f t="shared" si="74"/>
        <v>-87.2659121731958</v>
      </c>
      <c r="E801" t="str">
        <f t="shared" si="75"/>
        <v>807-824-2711</v>
      </c>
      <c r="F801" t="str">
        <f t="shared" si="76"/>
        <v>P0T 2S0</v>
      </c>
      <c r="G801" t="str">
        <f t="shared" si="77"/>
        <v>[ "Township of Schreiber", 48.8035821227083, -87.2659121731958, '807-824-2711', 'P0T 2S0'],</v>
      </c>
    </row>
    <row r="802" spans="1:7" hidden="1" x14ac:dyDescent="0.2">
      <c r="A802" t="s">
        <v>824</v>
      </c>
      <c r="B802" t="str">
        <f t="shared" si="72"/>
        <v>Matawa First Nations Management</v>
      </c>
      <c r="C802" t="str">
        <f t="shared" si="73"/>
        <v>48.4283174193548</v>
      </c>
      <c r="D802" t="str">
        <f t="shared" si="74"/>
        <v>-89.2296922580645</v>
      </c>
      <c r="E802" t="str">
        <f t="shared" si="75"/>
        <v>807-346-6509</v>
      </c>
      <c r="F802" t="str">
        <f t="shared" si="76"/>
        <v>P7B 2X9</v>
      </c>
      <c r="G802" t="str">
        <f t="shared" si="77"/>
        <v>[ "Matawa First Nations Management", 48.4283174193548, -89.2296922580645, '807-346-6509', 'P7B 2X9'],</v>
      </c>
    </row>
    <row r="803" spans="1:7" hidden="1" x14ac:dyDescent="0.2">
      <c r="A803" t="s">
        <v>825</v>
      </c>
      <c r="B803" t="str">
        <f t="shared" si="72"/>
        <v>Home Depot</v>
      </c>
      <c r="C803" t="str">
        <f t="shared" si="73"/>
        <v>48.4064211155068</v>
      </c>
      <c r="D803" t="str">
        <f t="shared" si="74"/>
        <v>-89.2319152214803</v>
      </c>
      <c r="E803" t="str">
        <f t="shared" si="75"/>
        <v>807-624-1100</v>
      </c>
      <c r="F803" t="str">
        <f t="shared" si="76"/>
        <v>P7B 5L6</v>
      </c>
      <c r="G803" t="str">
        <f t="shared" si="77"/>
        <v>[ "Home Depot", 48.4064211155068, -89.2319152214803, '807-624-1100', 'P7B 5L6'],</v>
      </c>
    </row>
    <row r="804" spans="1:7" x14ac:dyDescent="0.2">
      <c r="A804" t="s">
        <v>826</v>
      </c>
      <c r="B804" t="str">
        <f t="shared" si="72"/>
        <v>Staples</v>
      </c>
      <c r="C804" t="str">
        <f t="shared" si="73"/>
        <v>48.4135605</v>
      </c>
      <c r="D804" t="str">
        <f t="shared" si="74"/>
        <v>-89.243708</v>
      </c>
      <c r="E804" t="str">
        <f t="shared" si="75"/>
        <v>807-343-2506</v>
      </c>
      <c r="F804" t="str">
        <f t="shared" si="76"/>
        <v>P7B 3Z7</v>
      </c>
      <c r="G804" t="str">
        <f t="shared" si="77"/>
        <v>[ "Staples", 48.4135605, -89.243708, '807-343-2506', 'P7B 3Z7'],</v>
      </c>
    </row>
    <row r="805" spans="1:7" hidden="1" x14ac:dyDescent="0.2">
      <c r="A805" t="s">
        <v>827</v>
      </c>
      <c r="B805" t="str">
        <f t="shared" si="72"/>
        <v>The Source</v>
      </c>
      <c r="C805" t="str">
        <f t="shared" si="73"/>
        <v>48.4032962624325</v>
      </c>
      <c r="D805" t="str">
        <f t="shared" si="74"/>
        <v>-89.2420590365488</v>
      </c>
      <c r="E805" t="str">
        <f t="shared" si="75"/>
        <v>807-622-8530</v>
      </c>
      <c r="F805" t="str">
        <f t="shared" si="76"/>
        <v>P7B 6B9</v>
      </c>
      <c r="G805" t="str">
        <f t="shared" si="77"/>
        <v>[ "The Source", 48.4032962624325, -89.2420590365488, '807-622-8530', 'P7B 6B9'],</v>
      </c>
    </row>
    <row r="806" spans="1:7" hidden="1" x14ac:dyDescent="0.2">
      <c r="A806" t="s">
        <v>828</v>
      </c>
      <c r="B806" t="str">
        <f t="shared" si="72"/>
        <v>Lakehead Communications</v>
      </c>
      <c r="C806" t="str">
        <f t="shared" si="73"/>
        <v>48.41559</v>
      </c>
      <c r="D806" t="str">
        <f t="shared" si="74"/>
        <v>-89.25468</v>
      </c>
      <c r="E806" t="str">
        <f t="shared" si="75"/>
        <v>807-628-0198</v>
      </c>
      <c r="F806" t="str">
        <f t="shared" si="76"/>
        <v>P7B 6G3</v>
      </c>
      <c r="G806" t="str">
        <f t="shared" si="77"/>
        <v>[ "Lakehead Communications", 48.41559, -89.25468, '807-628-0198', 'P7B 6G3'],</v>
      </c>
    </row>
    <row r="807" spans="1:7" hidden="1" x14ac:dyDescent="0.2">
      <c r="A807" t="s">
        <v>829</v>
      </c>
      <c r="B807" t="str">
        <f t="shared" si="72"/>
        <v>Thunder Bay Communications</v>
      </c>
      <c r="C807" t="str">
        <f t="shared" si="73"/>
        <v>48.41559</v>
      </c>
      <c r="D807" t="str">
        <f t="shared" si="74"/>
        <v>-89.25468</v>
      </c>
      <c r="E807" t="str">
        <f t="shared" si="75"/>
        <v>807-623-1211</v>
      </c>
      <c r="F807" t="str">
        <f t="shared" si="76"/>
        <v>P7B 6G3</v>
      </c>
      <c r="G807" t="str">
        <f t="shared" si="77"/>
        <v>[ "Thunder Bay Communications", 48.41559, -89.25468, '807-623-1211', 'P7B 6G3'],</v>
      </c>
    </row>
    <row r="808" spans="1:7" hidden="1" x14ac:dyDescent="0.2">
      <c r="A808" t="s">
        <v>830</v>
      </c>
      <c r="B808" t="str">
        <f t="shared" si="72"/>
        <v>CRC Communications</v>
      </c>
      <c r="C808" t="str">
        <f t="shared" si="73"/>
        <v>48.40407</v>
      </c>
      <c r="D808" t="str">
        <f t="shared" si="74"/>
        <v>-89.24738</v>
      </c>
      <c r="E808" t="str">
        <f t="shared" si="75"/>
        <v>807-622-3328</v>
      </c>
      <c r="F808" t="str">
        <f t="shared" si="76"/>
        <v>P7B 6S1</v>
      </c>
      <c r="G808" t="str">
        <f t="shared" si="77"/>
        <v>[ "CRC Communications", 48.40407, -89.24738, '807-622-3328', 'P7B 6S1'],</v>
      </c>
    </row>
    <row r="809" spans="1:7" hidden="1" x14ac:dyDescent="0.2">
      <c r="A809" t="s">
        <v>831</v>
      </c>
      <c r="B809" t="str">
        <f t="shared" si="72"/>
        <v>MAG</v>
      </c>
      <c r="C809" t="str">
        <f t="shared" si="73"/>
        <v>48.3836955102041</v>
      </c>
      <c r="D809" t="str">
        <f t="shared" si="74"/>
        <v>-89.2466328571429</v>
      </c>
      <c r="E809" t="str">
        <f t="shared" si="75"/>
        <v>807-626-7025</v>
      </c>
      <c r="F809" t="str">
        <f t="shared" si="76"/>
        <v>P7C 0A3</v>
      </c>
      <c r="G809" t="str">
        <f t="shared" si="77"/>
        <v>[ "MAG", 48.3836955102041, -89.2466328571429, '807-626-7025', 'P7C 0A3'],</v>
      </c>
    </row>
    <row r="810" spans="1:7" hidden="1" x14ac:dyDescent="0.2">
      <c r="A810" t="s">
        <v>832</v>
      </c>
      <c r="B810" t="str">
        <f t="shared" si="72"/>
        <v>Canadian Tire</v>
      </c>
      <c r="C810" t="str">
        <f t="shared" si="73"/>
        <v>48.38084</v>
      </c>
      <c r="D810" t="str">
        <f t="shared" si="74"/>
        <v>-89.3126881564245</v>
      </c>
      <c r="E810" t="str">
        <f t="shared" si="75"/>
        <v>807-475-4235</v>
      </c>
      <c r="F810" t="str">
        <f t="shared" si="76"/>
        <v>P7K 1A7</v>
      </c>
      <c r="G810" t="str">
        <f t="shared" si="77"/>
        <v>[ "Canadian Tire", 48.38084, -89.3126881564245, '807-475-4235', 'P7K 1A7'],</v>
      </c>
    </row>
    <row r="811" spans="1:7" hidden="1" x14ac:dyDescent="0.2">
      <c r="A811" t="s">
        <v>833</v>
      </c>
      <c r="B811" t="str">
        <f t="shared" si="72"/>
        <v>Canadian Tire</v>
      </c>
      <c r="C811" t="str">
        <f t="shared" si="73"/>
        <v>48.38084</v>
      </c>
      <c r="D811" t="str">
        <f t="shared" si="74"/>
        <v>-89.3126881564245</v>
      </c>
      <c r="E811" t="str">
        <f t="shared" si="75"/>
        <v>807-475-4235</v>
      </c>
      <c r="F811" t="str">
        <f t="shared" si="76"/>
        <v>P7K 1A7</v>
      </c>
      <c r="G811" t="str">
        <f t="shared" si="77"/>
        <v>[ "Canadian Tire", 48.38084, -89.3126881564245, '807-475-4235', 'P7K 1A7'],</v>
      </c>
    </row>
    <row r="812" spans="1:7" hidden="1" x14ac:dyDescent="0.2">
      <c r="A812" t="s">
        <v>834</v>
      </c>
      <c r="B812" t="str">
        <f t="shared" si="72"/>
        <v>Bucks Hardware</v>
      </c>
      <c r="C812" t="str">
        <f t="shared" si="73"/>
        <v>47.7506</v>
      </c>
      <c r="D812" t="str">
        <f t="shared" si="74"/>
        <v>-90.33459</v>
      </c>
      <c r="E812" t="str">
        <f t="shared" si="75"/>
        <v>218-387-2280</v>
      </c>
      <c r="F812" t="str">
        <f t="shared" si="76"/>
        <v>55604</v>
      </c>
      <c r="G812" t="str">
        <f t="shared" si="77"/>
        <v>[ "Bucks Hardware", 47.7506, -90.33459, '218-387-2280', '55604'],</v>
      </c>
    </row>
    <row r="813" spans="1:7" hidden="1" x14ac:dyDescent="0.2">
      <c r="A813" t="s">
        <v>835</v>
      </c>
      <c r="B813" t="str">
        <f t="shared" si="72"/>
        <v>MAG</v>
      </c>
      <c r="C813" t="str">
        <f t="shared" si="73"/>
        <v>48.3836955102041</v>
      </c>
      <c r="D813" t="str">
        <f t="shared" si="74"/>
        <v>-89.2466328571429</v>
      </c>
      <c r="E813" t="str">
        <f t="shared" si="75"/>
        <v>807-626-7025</v>
      </c>
      <c r="F813" t="str">
        <f t="shared" si="76"/>
        <v>P7C 0A3</v>
      </c>
      <c r="G813" t="str">
        <f t="shared" si="77"/>
        <v>[ "MAG", 48.3836955102041, -89.2466328571429, '807-626-7025', 'P7C 0A3'],</v>
      </c>
    </row>
    <row r="814" spans="1:7" hidden="1" x14ac:dyDescent="0.2">
      <c r="A814" t="s">
        <v>836</v>
      </c>
      <c r="B814" t="str">
        <f t="shared" si="72"/>
        <v>Lakehead Communications</v>
      </c>
      <c r="C814" t="str">
        <f t="shared" si="73"/>
        <v>48.41559</v>
      </c>
      <c r="D814" t="str">
        <f t="shared" si="74"/>
        <v>-89.25468</v>
      </c>
      <c r="E814" t="str">
        <f t="shared" si="75"/>
        <v>807-628-0198</v>
      </c>
      <c r="F814" t="str">
        <f t="shared" si="76"/>
        <v>P7B 6G3</v>
      </c>
      <c r="G814" t="str">
        <f t="shared" si="77"/>
        <v>[ "Lakehead Communications", 48.41559, -89.25468, '807-628-0198', 'P7B 6G3'],</v>
      </c>
    </row>
    <row r="815" spans="1:7" hidden="1" x14ac:dyDescent="0.2">
      <c r="A815" t="s">
        <v>837</v>
      </c>
      <c r="B815" t="str">
        <f t="shared" si="72"/>
        <v>Thunder Bay Communications</v>
      </c>
      <c r="C815" t="str">
        <f t="shared" si="73"/>
        <v>48.41559</v>
      </c>
      <c r="D815" t="str">
        <f t="shared" si="74"/>
        <v>-89.25468</v>
      </c>
      <c r="E815" t="str">
        <f t="shared" si="75"/>
        <v>807-623-1211</v>
      </c>
      <c r="F815" t="str">
        <f t="shared" si="76"/>
        <v>P7B 6G3</v>
      </c>
      <c r="G815" t="str">
        <f t="shared" si="77"/>
        <v>[ "Thunder Bay Communications", 48.41559, -89.25468, '807-623-1211', 'P7B 6G3'],</v>
      </c>
    </row>
    <row r="816" spans="1:7" hidden="1" x14ac:dyDescent="0.2">
      <c r="A816" t="s">
        <v>838</v>
      </c>
      <c r="B816" t="str">
        <f t="shared" si="72"/>
        <v>CRC Communications</v>
      </c>
      <c r="C816" t="str">
        <f t="shared" si="73"/>
        <v>48.40407</v>
      </c>
      <c r="D816" t="str">
        <f t="shared" si="74"/>
        <v>-89.24738</v>
      </c>
      <c r="E816" t="str">
        <f t="shared" si="75"/>
        <v>807-622-3328</v>
      </c>
      <c r="F816" t="str">
        <f t="shared" si="76"/>
        <v>P7B 6S1</v>
      </c>
      <c r="G816" t="str">
        <f t="shared" si="77"/>
        <v>[ "CRC Communications", 48.40407, -89.24738, '807-622-3328', 'P7B 6S1'],</v>
      </c>
    </row>
    <row r="817" spans="1:7" hidden="1" x14ac:dyDescent="0.2">
      <c r="A817" t="s">
        <v>839</v>
      </c>
      <c r="B817" t="str">
        <f t="shared" si="72"/>
        <v>The Source</v>
      </c>
      <c r="C817" t="str">
        <f t="shared" si="73"/>
        <v>48.4032962624325</v>
      </c>
      <c r="D817" t="str">
        <f t="shared" si="74"/>
        <v>-89.2420590365488</v>
      </c>
      <c r="E817" t="str">
        <f t="shared" si="75"/>
        <v>807-622-8530</v>
      </c>
      <c r="F817" t="str">
        <f t="shared" si="76"/>
        <v>P7B 6B9</v>
      </c>
      <c r="G817" t="str">
        <f t="shared" si="77"/>
        <v>[ "The Source", 48.4032962624325, -89.2420590365488, '807-622-8530', 'P7B 6B9'],</v>
      </c>
    </row>
    <row r="818" spans="1:7" x14ac:dyDescent="0.2">
      <c r="A818" t="s">
        <v>840</v>
      </c>
      <c r="B818" t="str">
        <f t="shared" si="72"/>
        <v>Staples</v>
      </c>
      <c r="C818" t="str">
        <f t="shared" si="73"/>
        <v>48.4135605</v>
      </c>
      <c r="D818" t="str">
        <f t="shared" si="74"/>
        <v>-89.243708</v>
      </c>
      <c r="E818" t="str">
        <f t="shared" si="75"/>
        <v>807-343-2506</v>
      </c>
      <c r="F818" t="str">
        <f t="shared" si="76"/>
        <v>P7B 3Z7</v>
      </c>
      <c r="G818" t="str">
        <f t="shared" si="77"/>
        <v>[ "Staples", 48.4135605, -89.243708, '807-343-2506', 'P7B 3Z7'],</v>
      </c>
    </row>
    <row r="819" spans="1:7" hidden="1" x14ac:dyDescent="0.2">
      <c r="A819" t="s">
        <v>841</v>
      </c>
      <c r="B819" t="str">
        <f t="shared" si="72"/>
        <v>Home Depot</v>
      </c>
      <c r="C819" t="str">
        <f t="shared" si="73"/>
        <v>48.4064211155068</v>
      </c>
      <c r="D819" t="str">
        <f t="shared" si="74"/>
        <v>-89.2319152214803</v>
      </c>
      <c r="E819" t="str">
        <f t="shared" si="75"/>
        <v>807-624-1100</v>
      </c>
      <c r="F819" t="str">
        <f t="shared" si="76"/>
        <v>P7B 5L6</v>
      </c>
      <c r="G819" t="str">
        <f t="shared" si="77"/>
        <v>[ "Home Depot", 48.4064211155068, -89.2319152214803, '807-624-1100', 'P7B 5L6'],</v>
      </c>
    </row>
    <row r="820" spans="1:7" hidden="1" x14ac:dyDescent="0.2">
      <c r="A820" t="s">
        <v>842</v>
      </c>
      <c r="B820" t="str">
        <f t="shared" si="72"/>
        <v>Matawa First Nations Management</v>
      </c>
      <c r="C820" t="str">
        <f t="shared" si="73"/>
        <v>48.4283174193548</v>
      </c>
      <c r="D820" t="str">
        <f t="shared" si="74"/>
        <v>-89.2296922580645</v>
      </c>
      <c r="E820" t="str">
        <f t="shared" si="75"/>
        <v>807-346-6509</v>
      </c>
      <c r="F820" t="str">
        <f t="shared" si="76"/>
        <v>P7B 2X9</v>
      </c>
      <c r="G820" t="str">
        <f t="shared" si="77"/>
        <v>[ "Matawa First Nations Management", 48.4283174193548, -89.2296922580645, '807-346-6509', 'P7B 2X9'],</v>
      </c>
    </row>
    <row r="821" spans="1:7" hidden="1" x14ac:dyDescent="0.2">
      <c r="A821" t="s">
        <v>843</v>
      </c>
      <c r="B821" t="str">
        <f t="shared" si="72"/>
        <v>Bucks Hardware</v>
      </c>
      <c r="C821" t="str">
        <f t="shared" si="73"/>
        <v>47.7506</v>
      </c>
      <c r="D821" t="str">
        <f t="shared" si="74"/>
        <v>-90.33459</v>
      </c>
      <c r="E821" t="str">
        <f t="shared" si="75"/>
        <v>218-387-2280</v>
      </c>
      <c r="F821" t="str">
        <f t="shared" si="76"/>
        <v>55604</v>
      </c>
      <c r="G821" t="str">
        <f t="shared" si="77"/>
        <v>[ "Bucks Hardware", 47.7506, -90.33459, '218-387-2280', '55604'],</v>
      </c>
    </row>
    <row r="822" spans="1:7" hidden="1" x14ac:dyDescent="0.2">
      <c r="A822" t="s">
        <v>844</v>
      </c>
      <c r="B822" t="str">
        <f t="shared" si="72"/>
        <v>Canadian Tire</v>
      </c>
      <c r="C822" t="str">
        <f t="shared" si="73"/>
        <v>48.38084</v>
      </c>
      <c r="D822" t="str">
        <f t="shared" si="74"/>
        <v>-89.3126881564245</v>
      </c>
      <c r="E822" t="str">
        <f t="shared" si="75"/>
        <v>807-475-4235</v>
      </c>
      <c r="F822" t="str">
        <f t="shared" si="76"/>
        <v>P7K 1A7</v>
      </c>
      <c r="G822" t="str">
        <f t="shared" si="77"/>
        <v>[ "Canadian Tire", 48.38084, -89.3126881564245, '807-475-4235', 'P7K 1A7'],</v>
      </c>
    </row>
    <row r="823" spans="1:7" hidden="1" x14ac:dyDescent="0.2">
      <c r="A823" t="s">
        <v>845</v>
      </c>
      <c r="B823" t="str">
        <f t="shared" si="72"/>
        <v>Lakehead Communications</v>
      </c>
      <c r="C823" t="str">
        <f t="shared" si="73"/>
        <v>48.41559</v>
      </c>
      <c r="D823" t="str">
        <f t="shared" si="74"/>
        <v>-89.25468</v>
      </c>
      <c r="E823" t="str">
        <f t="shared" si="75"/>
        <v>807-628-0198</v>
      </c>
      <c r="F823" t="str">
        <f t="shared" si="76"/>
        <v>P7B 6G3</v>
      </c>
      <c r="G823" t="str">
        <f t="shared" si="77"/>
        <v>[ "Lakehead Communications", 48.41559, -89.25468, '807-628-0198', 'P7B 6G3'],</v>
      </c>
    </row>
    <row r="824" spans="1:7" hidden="1" x14ac:dyDescent="0.2">
      <c r="A824" t="s">
        <v>846</v>
      </c>
      <c r="B824" t="str">
        <f t="shared" si="72"/>
        <v>Thunder Bay Communications</v>
      </c>
      <c r="C824" t="str">
        <f t="shared" si="73"/>
        <v>48.41559</v>
      </c>
      <c r="D824" t="str">
        <f t="shared" si="74"/>
        <v>-89.25468</v>
      </c>
      <c r="E824" t="str">
        <f t="shared" si="75"/>
        <v>807-623-1211</v>
      </c>
      <c r="F824" t="str">
        <f t="shared" si="76"/>
        <v>P7B 6G3</v>
      </c>
      <c r="G824" t="str">
        <f t="shared" si="77"/>
        <v>[ "Thunder Bay Communications", 48.41559, -89.25468, '807-623-1211', 'P7B 6G3'],</v>
      </c>
    </row>
    <row r="825" spans="1:7" x14ac:dyDescent="0.2">
      <c r="A825" t="s">
        <v>847</v>
      </c>
      <c r="B825" t="str">
        <f t="shared" si="72"/>
        <v>Staples</v>
      </c>
      <c r="C825" t="str">
        <f t="shared" si="73"/>
        <v>48.4135605</v>
      </c>
      <c r="D825" t="str">
        <f t="shared" si="74"/>
        <v>-89.243708</v>
      </c>
      <c r="E825" t="str">
        <f t="shared" si="75"/>
        <v>807-343-2506</v>
      </c>
      <c r="F825" t="str">
        <f t="shared" si="76"/>
        <v>P7B 3Z7</v>
      </c>
      <c r="G825" t="str">
        <f t="shared" si="77"/>
        <v>[ "Staples", 48.4135605, -89.243708, '807-343-2506', 'P7B 3Z7'],</v>
      </c>
    </row>
    <row r="826" spans="1:7" hidden="1" x14ac:dyDescent="0.2">
      <c r="A826" t="s">
        <v>848</v>
      </c>
      <c r="B826" t="str">
        <f t="shared" si="72"/>
        <v>CRC Communications</v>
      </c>
      <c r="C826" t="str">
        <f t="shared" si="73"/>
        <v>48.40407</v>
      </c>
      <c r="D826" t="str">
        <f t="shared" si="74"/>
        <v>-89.24738</v>
      </c>
      <c r="E826" t="str">
        <f t="shared" si="75"/>
        <v>807-622-3328</v>
      </c>
      <c r="F826" t="str">
        <f t="shared" si="76"/>
        <v>P7B 6S1</v>
      </c>
      <c r="G826" t="str">
        <f t="shared" si="77"/>
        <v>[ "CRC Communications", 48.40407, -89.24738, '807-622-3328', 'P7B 6S1'],</v>
      </c>
    </row>
    <row r="827" spans="1:7" hidden="1" x14ac:dyDescent="0.2">
      <c r="A827" t="s">
        <v>849</v>
      </c>
      <c r="B827" t="str">
        <f t="shared" si="72"/>
        <v>The Source</v>
      </c>
      <c r="C827" t="str">
        <f t="shared" si="73"/>
        <v>48.4032962624325</v>
      </c>
      <c r="D827" t="str">
        <f t="shared" si="74"/>
        <v>-89.2420590365488</v>
      </c>
      <c r="E827" t="str">
        <f t="shared" si="75"/>
        <v>807-622-8530</v>
      </c>
      <c r="F827" t="str">
        <f t="shared" si="76"/>
        <v>P7B 6B9</v>
      </c>
      <c r="G827" t="str">
        <f t="shared" si="77"/>
        <v>[ "The Source", 48.4032962624325, -89.2420590365488, '807-622-8530', 'P7B 6B9'],</v>
      </c>
    </row>
    <row r="828" spans="1:7" hidden="1" x14ac:dyDescent="0.2">
      <c r="A828" t="s">
        <v>850</v>
      </c>
      <c r="B828" t="str">
        <f t="shared" si="72"/>
        <v>Matawa First Nations Management</v>
      </c>
      <c r="C828" t="str">
        <f t="shared" si="73"/>
        <v>48.4283174193548</v>
      </c>
      <c r="D828" t="str">
        <f t="shared" si="74"/>
        <v>-89.2296922580645</v>
      </c>
      <c r="E828" t="str">
        <f t="shared" si="75"/>
        <v>807-346-6509</v>
      </c>
      <c r="F828" t="str">
        <f t="shared" si="76"/>
        <v>P7B 2X9</v>
      </c>
      <c r="G828" t="str">
        <f t="shared" si="77"/>
        <v>[ "Matawa First Nations Management", 48.4283174193548, -89.2296922580645, '807-346-6509', 'P7B 2X9'],</v>
      </c>
    </row>
    <row r="829" spans="1:7" hidden="1" x14ac:dyDescent="0.2">
      <c r="A829" t="s">
        <v>851</v>
      </c>
      <c r="B829" t="str">
        <f t="shared" si="72"/>
        <v>MAG</v>
      </c>
      <c r="C829" t="str">
        <f t="shared" si="73"/>
        <v>48.3836955102041</v>
      </c>
      <c r="D829" t="str">
        <f t="shared" si="74"/>
        <v>-89.2466328571429</v>
      </c>
      <c r="E829" t="str">
        <f t="shared" si="75"/>
        <v>807-626-7025</v>
      </c>
      <c r="F829" t="str">
        <f t="shared" si="76"/>
        <v>P7C 0A3</v>
      </c>
      <c r="G829" t="str">
        <f t="shared" si="77"/>
        <v>[ "MAG", 48.3836955102041, -89.2466328571429, '807-626-7025', 'P7C 0A3'],</v>
      </c>
    </row>
    <row r="830" spans="1:7" hidden="1" x14ac:dyDescent="0.2">
      <c r="A830" t="s">
        <v>852</v>
      </c>
      <c r="B830" t="str">
        <f t="shared" si="72"/>
        <v>Home Depot</v>
      </c>
      <c r="C830" t="str">
        <f t="shared" si="73"/>
        <v>48.4064211155068</v>
      </c>
      <c r="D830" t="str">
        <f t="shared" si="74"/>
        <v>-89.2319152214803</v>
      </c>
      <c r="E830" t="str">
        <f t="shared" si="75"/>
        <v>807-624-1100</v>
      </c>
      <c r="F830" t="str">
        <f t="shared" si="76"/>
        <v>P7B 5L6</v>
      </c>
      <c r="G830" t="str">
        <f t="shared" si="77"/>
        <v>[ "Home Depot", 48.4064211155068, -89.2319152214803, '807-624-1100', 'P7B 5L6'],</v>
      </c>
    </row>
    <row r="831" spans="1:7" hidden="1" x14ac:dyDescent="0.2">
      <c r="A831" t="s">
        <v>853</v>
      </c>
      <c r="B831" t="str">
        <f t="shared" si="72"/>
        <v>Canadian Tire</v>
      </c>
      <c r="C831" t="str">
        <f t="shared" si="73"/>
        <v>48.60725</v>
      </c>
      <c r="D831" t="str">
        <f t="shared" si="74"/>
        <v>-93.42748</v>
      </c>
      <c r="E831" t="str">
        <f t="shared" si="75"/>
        <v>807-274-7711</v>
      </c>
      <c r="F831" t="str">
        <f t="shared" si="76"/>
        <v>P9A 2X6</v>
      </c>
      <c r="G831" t="str">
        <f t="shared" si="77"/>
        <v>[ "Canadian Tire", 48.60725, -93.42748, '807-274-7711', 'P9A 2X6'],</v>
      </c>
    </row>
    <row r="832" spans="1:7" hidden="1" x14ac:dyDescent="0.2">
      <c r="A832" t="s">
        <v>854</v>
      </c>
      <c r="B832" t="str">
        <f t="shared" si="72"/>
        <v>Sound North</v>
      </c>
      <c r="C832" t="str">
        <f t="shared" si="73"/>
        <v>48.5798686080344</v>
      </c>
      <c r="D832" t="str">
        <f t="shared" si="74"/>
        <v>-93.4027900347991</v>
      </c>
      <c r="E832" t="str">
        <f t="shared" si="75"/>
        <v>218-283-9290</v>
      </c>
      <c r="F832" t="str">
        <f t="shared" si="76"/>
        <v>56649</v>
      </c>
      <c r="G832" t="str">
        <f t="shared" si="77"/>
        <v>[ "Sound North", 48.5798686080344, -93.4027900347991, '218-283-9290', '56649'],</v>
      </c>
    </row>
    <row r="833" spans="1:7" hidden="1" x14ac:dyDescent="0.2">
      <c r="A833" t="s">
        <v>855</v>
      </c>
      <c r="B833" t="str">
        <f t="shared" ref="B833:B896" si="78">MID(A833,SEARCH("name"&amp;CHAR(34)&amp;":"&amp;CHAR(34),A833)+7,SEARCH(CHAR(34)&amp;", "&amp;CHAR(34)&amp;"locationlinkurl",A833)-SEARCH("name"&amp;CHAR(34)&amp;":"&amp;CHAR(34),A833)-7)</f>
        <v>Canadian Tire</v>
      </c>
      <c r="C833" t="str">
        <f t="shared" ref="C833:C896" si="79">MID(A833,SEARCH(CHAR(34)&amp;"latitude"&amp;CHAR(34)&amp;":"&amp;CHAR(34),A833)+12,SEARCH(CHAR(34)&amp;", "&amp;CHAR(34)&amp;"url"&amp;CHAR(34),A833)-SEARCH(CHAR(34)&amp;"latitude"&amp;CHAR(34)&amp;":"&amp;CHAR(34),A833)-12)</f>
        <v>49.7599093383811</v>
      </c>
      <c r="D833" t="str">
        <f t="shared" ref="D833:D896" si="80">MID(A833,SEARCH(CHAR(34)&amp;"longitude"&amp;CHAR(34)&amp;":"&amp;CHAR(34),A833)+13,SEARCH(CHAR(34)&amp;", "&amp;CHAR(34)&amp;"uid"&amp;CHAR(34),A833)-SEARCH(CHAR(34)&amp;"longitude"&amp;CHAR(34)&amp;":"&amp;CHAR(34),A833)-13)</f>
        <v>-94.4716898710625</v>
      </c>
      <c r="E833" t="str">
        <f t="shared" ref="E833:E896" si="81">MID(A833,SEARCH(CHAR(34)&amp;"phone"&amp;CHAR(34)&amp;":"&amp;CHAR(34),A833)+9,SEARCH(CHAR(34)&amp;", "&amp;CHAR(34)&amp;"address2"&amp;CHAR(34),A833)-SEARCH(CHAR(34)&amp;"phone"&amp;CHAR(34)&amp;":"&amp;CHAR(34),A833)-9)</f>
        <v>807-468-3014</v>
      </c>
      <c r="F833" t="str">
        <f t="shared" ref="F833:F896" si="82">MID(A833,SEARCH(CHAR(34)&amp;"postalcode"&amp;CHAR(34)&amp;":"&amp;CHAR(34),A833)+14,SEARCH(CHAR(34)&amp;", "&amp;CHAR(34)&amp;"province"&amp;CHAR(34),A833)-SEARCH(CHAR(34)&amp;"postalcode"&amp;CHAR(34)&amp;":"&amp;CHAR(34),A833)-14)</f>
        <v>P9N 1L9</v>
      </c>
      <c r="G833" t="str">
        <f t="shared" ref="G833:G896" si="83">"[ "&amp;CHAR(34)&amp;B833&amp;CHAR(34)&amp;", "&amp;C833&amp;", "&amp;D833&amp;", '"&amp;E833&amp;"', '"&amp;F833&amp;"'],"</f>
        <v>[ "Canadian Tire", 49.7599093383811, -94.4716898710625, '807-468-3014', 'P9N 1L9'],</v>
      </c>
    </row>
    <row r="834" spans="1:7" hidden="1" x14ac:dyDescent="0.2">
      <c r="A834" t="s">
        <v>856</v>
      </c>
      <c r="B834" t="str">
        <f t="shared" si="78"/>
        <v>Prairie Mobile Communications</v>
      </c>
      <c r="C834" t="str">
        <f t="shared" si="79"/>
        <v>49.7552345</v>
      </c>
      <c r="D834" t="str">
        <f t="shared" si="80"/>
        <v>-94.5633985</v>
      </c>
      <c r="E834" t="str">
        <f t="shared" si="81"/>
        <v>807-547-2929</v>
      </c>
      <c r="F834" t="str">
        <f t="shared" si="82"/>
        <v>P0X 1C0</v>
      </c>
      <c r="G834" t="str">
        <f t="shared" si="83"/>
        <v>[ "Prairie Mobile Communications", 49.7552345, -94.5633985, '807-547-2929', 'P0X 1C0'],</v>
      </c>
    </row>
    <row r="835" spans="1:7" hidden="1" x14ac:dyDescent="0.2">
      <c r="A835" t="s">
        <v>857</v>
      </c>
      <c r="B835" t="str">
        <f t="shared" si="78"/>
        <v>Township of Pickle Lake</v>
      </c>
      <c r="C835" t="str">
        <f t="shared" si="79"/>
        <v>51.46791</v>
      </c>
      <c r="D835" t="str">
        <f t="shared" si="80"/>
        <v>-90.19242</v>
      </c>
      <c r="E835" t="str">
        <f t="shared" si="81"/>
        <v>807-928-2034</v>
      </c>
      <c r="F835" t="str">
        <f t="shared" si="82"/>
        <v>P0V 3A0</v>
      </c>
      <c r="G835" t="str">
        <f t="shared" si="83"/>
        <v>[ "Township of Pickle Lake", 51.46791, -90.19242, '807-928-2034', 'P0V 3A0'],</v>
      </c>
    </row>
    <row r="836" spans="1:7" hidden="1" x14ac:dyDescent="0.2">
      <c r="A836" t="s">
        <v>858</v>
      </c>
      <c r="B836" t="str">
        <f t="shared" si="78"/>
        <v>Timbermax Home &amp; Garden</v>
      </c>
      <c r="C836" t="str">
        <f t="shared" si="79"/>
        <v>49.7862262006702</v>
      </c>
      <c r="D836" t="str">
        <f t="shared" si="80"/>
        <v>-92.8356896388725</v>
      </c>
      <c r="E836" t="str">
        <f t="shared" si="81"/>
        <v>807-223-6699</v>
      </c>
      <c r="F836" t="str">
        <f t="shared" si="82"/>
        <v>P8N 2P4</v>
      </c>
      <c r="G836" t="str">
        <f t="shared" si="83"/>
        <v>[ "Timbermax Home &amp; Garden", 49.7862262006702, -92.8356896388725, '807-223-6699', 'P8N 2P4'],</v>
      </c>
    </row>
    <row r="837" spans="1:7" hidden="1" x14ac:dyDescent="0.2">
      <c r="A837" t="s">
        <v>859</v>
      </c>
      <c r="B837" t="str">
        <f t="shared" si="78"/>
        <v>Township of Pickle Lake</v>
      </c>
      <c r="C837" t="str">
        <f t="shared" si="79"/>
        <v>51.46791</v>
      </c>
      <c r="D837" t="str">
        <f t="shared" si="80"/>
        <v>-90.19242</v>
      </c>
      <c r="E837" t="str">
        <f t="shared" si="81"/>
        <v>807-928-2034</v>
      </c>
      <c r="F837" t="str">
        <f t="shared" si="82"/>
        <v>P0V 3A0</v>
      </c>
      <c r="G837" t="str">
        <f t="shared" si="83"/>
        <v>[ "Township of Pickle Lake", 51.46791, -90.19242, '807-928-2034', 'P0V 3A0'],</v>
      </c>
    </row>
    <row r="838" spans="1:7" hidden="1" x14ac:dyDescent="0.2">
      <c r="A838" t="s">
        <v>860</v>
      </c>
      <c r="B838" t="str">
        <f t="shared" si="78"/>
        <v>Township of Pickle Lake</v>
      </c>
      <c r="C838" t="str">
        <f t="shared" si="79"/>
        <v>51.46791</v>
      </c>
      <c r="D838" t="str">
        <f t="shared" si="80"/>
        <v>-90.19242</v>
      </c>
      <c r="E838" t="str">
        <f t="shared" si="81"/>
        <v>807-928-2034</v>
      </c>
      <c r="F838" t="str">
        <f t="shared" si="82"/>
        <v>P0V 3A0</v>
      </c>
      <c r="G838" t="str">
        <f t="shared" si="83"/>
        <v>[ "Township of Pickle Lake", 51.46791, -90.19242, '807-928-2034', 'P0V 3A0'],</v>
      </c>
    </row>
    <row r="839" spans="1:7" hidden="1" x14ac:dyDescent="0.2">
      <c r="A839" t="s">
        <v>861</v>
      </c>
      <c r="B839" t="str">
        <f t="shared" si="78"/>
        <v>Pauls Music World</v>
      </c>
      <c r="C839" t="str">
        <f t="shared" si="79"/>
        <v>49.7964</v>
      </c>
      <c r="D839" t="str">
        <f t="shared" si="80"/>
        <v>-83.66066</v>
      </c>
      <c r="E839" t="str">
        <f t="shared" si="81"/>
        <v>705-362-5779</v>
      </c>
      <c r="F839" t="str">
        <f t="shared" si="82"/>
        <v>P0L 1N0</v>
      </c>
      <c r="G839" t="str">
        <f t="shared" si="83"/>
        <v>[ "Pauls Music World", 49.7964, -83.66066, '705-362-5779', 'P0L 1N0'],</v>
      </c>
    </row>
    <row r="840" spans="1:7" hidden="1" x14ac:dyDescent="0.2">
      <c r="A840" t="s">
        <v>862</v>
      </c>
      <c r="B840" t="str">
        <f t="shared" si="78"/>
        <v>Hearst Lumber Co.Ltd.</v>
      </c>
      <c r="C840" t="str">
        <f t="shared" si="79"/>
        <v>49.6884745463573</v>
      </c>
      <c r="D840" t="str">
        <f t="shared" si="80"/>
        <v>-83.6604700049651</v>
      </c>
      <c r="E840" t="str">
        <f t="shared" si="81"/>
        <v>705-362-4325</v>
      </c>
      <c r="F840" t="str">
        <f t="shared" si="82"/>
        <v>P0L 1N0</v>
      </c>
      <c r="G840" t="str">
        <f t="shared" si="83"/>
        <v>[ "Hearst Lumber Co.Ltd.", 49.6884745463573, -83.6604700049651, '705-362-4325', 'P0L 1N0'],</v>
      </c>
    </row>
    <row r="841" spans="1:7" hidden="1" x14ac:dyDescent="0.2">
      <c r="A841" t="s">
        <v>863</v>
      </c>
      <c r="B841" t="str">
        <f t="shared" si="78"/>
        <v>Hearst Public Library</v>
      </c>
      <c r="C841" t="str">
        <f t="shared" si="79"/>
        <v>49.68876</v>
      </c>
      <c r="D841" t="str">
        <f t="shared" si="80"/>
        <v>-83.66251</v>
      </c>
      <c r="E841" t="str">
        <f t="shared" si="81"/>
        <v>705-372-2843</v>
      </c>
      <c r="F841" t="str">
        <f t="shared" si="82"/>
        <v>P0L 1N0</v>
      </c>
      <c r="G841" t="str">
        <f t="shared" si="83"/>
        <v>[ "Hearst Public Library", 49.68876, -83.66251, '705-372-2843', 'P0L 1N0'],</v>
      </c>
    </row>
    <row r="842" spans="1:7" hidden="1" x14ac:dyDescent="0.2">
      <c r="A842" t="s">
        <v>864</v>
      </c>
      <c r="B842" t="str">
        <f t="shared" si="78"/>
        <v>The Source</v>
      </c>
      <c r="C842" t="str">
        <f t="shared" si="79"/>
        <v>49.4200538028779</v>
      </c>
      <c r="D842" t="str">
        <f t="shared" si="80"/>
        <v>-82.4197553660716</v>
      </c>
      <c r="E842" t="str">
        <f t="shared" si="81"/>
        <v>705-335-8787</v>
      </c>
      <c r="F842" t="str">
        <f t="shared" si="82"/>
        <v>P5N 2E9</v>
      </c>
      <c r="G842" t="str">
        <f t="shared" si="83"/>
        <v>[ "The Source", 49.4200538028779, -82.4197553660716, '705-335-8787', 'P5N 2E9'],</v>
      </c>
    </row>
    <row r="843" spans="1:7" hidden="1" x14ac:dyDescent="0.2">
      <c r="A843" t="s">
        <v>865</v>
      </c>
      <c r="B843" t="str">
        <f t="shared" si="78"/>
        <v>Canadian Tire</v>
      </c>
      <c r="C843" t="str">
        <f t="shared" si="79"/>
        <v>49.0600608</v>
      </c>
      <c r="D843" t="str">
        <f t="shared" si="80"/>
        <v>-81.045488</v>
      </c>
      <c r="E843" t="str">
        <f t="shared" si="81"/>
        <v>705-272-4341</v>
      </c>
      <c r="F843" t="str">
        <f t="shared" si="82"/>
        <v>P0L 1C0</v>
      </c>
      <c r="G843" t="str">
        <f t="shared" si="83"/>
        <v>[ "Canadian Tire", 49.0600608, -81.045488, '705-272-4341', 'P0L 1C0'],</v>
      </c>
    </row>
    <row r="844" spans="1:7" hidden="1" x14ac:dyDescent="0.2">
      <c r="A844" t="s">
        <v>866</v>
      </c>
      <c r="B844" t="str">
        <f t="shared" si="78"/>
        <v>Town of Cochrane</v>
      </c>
      <c r="C844" t="str">
        <f t="shared" si="79"/>
        <v>49.0632506818182</v>
      </c>
      <c r="D844" t="str">
        <f t="shared" si="80"/>
        <v>-81.0281920454545</v>
      </c>
      <c r="E844" t="str">
        <f t="shared" si="81"/>
        <v>705-272-4361</v>
      </c>
      <c r="F844" t="str">
        <f t="shared" si="82"/>
        <v>P0L 1C0</v>
      </c>
      <c r="G844" t="str">
        <f t="shared" si="83"/>
        <v>[ "Town of Cochrane", 49.0632506818182, -81.0281920454545, '705-272-4361', 'P0L 1C0'],</v>
      </c>
    </row>
    <row r="845" spans="1:7" hidden="1" x14ac:dyDescent="0.2">
      <c r="A845" t="s">
        <v>867</v>
      </c>
      <c r="B845" t="str">
        <f t="shared" si="78"/>
        <v>Cree Nation of Chisasibi</v>
      </c>
      <c r="C845" t="str">
        <f t="shared" si="79"/>
        <v>52.24531</v>
      </c>
      <c r="D845" t="str">
        <f t="shared" si="80"/>
        <v>-78.48449</v>
      </c>
      <c r="E845" t="str">
        <f t="shared" si="81"/>
        <v>819-855-2878</v>
      </c>
      <c r="F845" t="str">
        <f t="shared" si="82"/>
        <v>J0M 1E0</v>
      </c>
      <c r="G845" t="str">
        <f t="shared" si="83"/>
        <v>[ "Cree Nation of Chisasibi", 52.24531, -78.48449, '819-855-2878', 'J0M 1E0'],</v>
      </c>
    </row>
    <row r="846" spans="1:7" hidden="1" x14ac:dyDescent="0.2">
      <c r="A846" t="s">
        <v>868</v>
      </c>
      <c r="B846" t="str">
        <f t="shared" si="78"/>
        <v>Town of Cochrane</v>
      </c>
      <c r="C846" t="str">
        <f t="shared" si="79"/>
        <v>49.060500625</v>
      </c>
      <c r="D846" t="str">
        <f t="shared" si="80"/>
        <v>-81.029883125</v>
      </c>
      <c r="E846" t="str">
        <f t="shared" si="81"/>
        <v>705-272-5086</v>
      </c>
      <c r="F846" t="str">
        <f t="shared" si="82"/>
        <v>P0L 1C0</v>
      </c>
      <c r="G846" t="str">
        <f t="shared" si="83"/>
        <v>[ "Town of Cochrane", 49.060500625, -81.029883125, '705-272-5086', 'P0L 1C0'],</v>
      </c>
    </row>
    <row r="847" spans="1:7" hidden="1" x14ac:dyDescent="0.2">
      <c r="A847" t="s">
        <v>869</v>
      </c>
      <c r="B847" t="str">
        <f t="shared" si="78"/>
        <v>Township of Hornepayne</v>
      </c>
      <c r="C847" t="str">
        <f t="shared" si="79"/>
        <v>49.218</v>
      </c>
      <c r="D847" t="str">
        <f t="shared" si="80"/>
        <v>-84.77496</v>
      </c>
      <c r="E847" t="str">
        <f t="shared" si="81"/>
        <v>807-868-2020</v>
      </c>
      <c r="F847" t="str">
        <f t="shared" si="82"/>
        <v>P0M 1Z0</v>
      </c>
      <c r="G847" t="str">
        <f t="shared" si="83"/>
        <v>[ "Township of Hornepayne", 49.218, -84.77496, '807-868-2020', 'P0M 1Z0'],</v>
      </c>
    </row>
    <row r="848" spans="1:7" hidden="1" x14ac:dyDescent="0.2">
      <c r="A848" t="s">
        <v>870</v>
      </c>
      <c r="B848" t="str">
        <f t="shared" si="78"/>
        <v>Ricks Hi-Fi &amp; Decorating</v>
      </c>
      <c r="C848" t="str">
        <f t="shared" si="79"/>
        <v>48.75815325</v>
      </c>
      <c r="D848" t="str">
        <f t="shared" si="80"/>
        <v>-80.68585225</v>
      </c>
      <c r="E848" t="str">
        <f t="shared" si="81"/>
        <v>705-232-5557</v>
      </c>
      <c r="F848" t="str">
        <f t="shared" si="82"/>
        <v>P0K 1G0</v>
      </c>
      <c r="G848" t="str">
        <f t="shared" si="83"/>
        <v>[ "Ricks Hi-Fi &amp; Decorating", 48.75815325, -80.68585225, '705-232-5557', 'P0K 1G0'],</v>
      </c>
    </row>
    <row r="849" spans="1:7" hidden="1" x14ac:dyDescent="0.2">
      <c r="A849" t="s">
        <v>871</v>
      </c>
      <c r="B849" t="str">
        <f t="shared" si="78"/>
        <v>Home Depot</v>
      </c>
      <c r="C849" t="str">
        <f t="shared" si="79"/>
        <v>48.4698689144691</v>
      </c>
      <c r="D849" t="str">
        <f t="shared" si="80"/>
        <v>-81.4223946969216</v>
      </c>
      <c r="E849" t="str">
        <f t="shared" si="81"/>
        <v>705-360-8750</v>
      </c>
      <c r="F849" t="str">
        <f t="shared" si="82"/>
        <v>P4R 0A1</v>
      </c>
      <c r="G849" t="str">
        <f t="shared" si="83"/>
        <v>[ "Home Depot", 48.4698689144691, -81.4223946969216, '705-360-8750', 'P4R 0A1'],</v>
      </c>
    </row>
    <row r="850" spans="1:7" x14ac:dyDescent="0.2">
      <c r="A850" t="s">
        <v>872</v>
      </c>
      <c r="B850" t="str">
        <f t="shared" si="78"/>
        <v>Staples</v>
      </c>
      <c r="C850" t="str">
        <f t="shared" si="79"/>
        <v>48.4725132307692</v>
      </c>
      <c r="D850" t="str">
        <f t="shared" si="80"/>
        <v>-81.3808703076923</v>
      </c>
      <c r="E850" t="str">
        <f t="shared" si="81"/>
        <v>705-360-4200</v>
      </c>
      <c r="F850" t="str">
        <f t="shared" si="82"/>
        <v>P4R 1M8</v>
      </c>
      <c r="G850" t="str">
        <f t="shared" si="83"/>
        <v>[ "Staples", 48.4725132307692, -81.3808703076923, '705-360-4200', 'P4R 1M8'],</v>
      </c>
    </row>
    <row r="851" spans="1:7" x14ac:dyDescent="0.2">
      <c r="A851" t="s">
        <v>873</v>
      </c>
      <c r="B851" t="str">
        <f t="shared" si="78"/>
        <v>Best Buy Canada</v>
      </c>
      <c r="C851" t="str">
        <f t="shared" si="79"/>
        <v>48.4725115789474</v>
      </c>
      <c r="D851" t="str">
        <f t="shared" si="80"/>
        <v>-81.3782257894737</v>
      </c>
      <c r="E851" t="str">
        <f t="shared" si="81"/>
        <v>705-268-9111</v>
      </c>
      <c r="F851" t="str">
        <f t="shared" si="82"/>
        <v>P4R 1A5</v>
      </c>
      <c r="G851" t="str">
        <f t="shared" si="83"/>
        <v>[ "Best Buy Canada", 48.4725115789474, -81.3782257894737, '705-268-9111', 'P4R 1A5'],</v>
      </c>
    </row>
    <row r="852" spans="1:7" hidden="1" x14ac:dyDescent="0.2">
      <c r="A852" t="s">
        <v>874</v>
      </c>
      <c r="B852" t="str">
        <f t="shared" si="78"/>
        <v>Spectrum Telecom Group Ltd</v>
      </c>
      <c r="C852" t="str">
        <f t="shared" si="79"/>
        <v>48.4763985714286</v>
      </c>
      <c r="D852" t="str">
        <f t="shared" si="80"/>
        <v>-81.3026775510204</v>
      </c>
      <c r="E852" t="str">
        <f t="shared" si="81"/>
        <v>705-268-9090</v>
      </c>
      <c r="F852" t="str">
        <f t="shared" si="82"/>
        <v>P0N 1G0</v>
      </c>
      <c r="G852" t="str">
        <f t="shared" si="83"/>
        <v>[ "Spectrum Telecom Group Ltd", 48.4763985714286, -81.3026775510204, '705-268-9090', 'P0N 1G0'],</v>
      </c>
    </row>
    <row r="853" spans="1:7" hidden="1" x14ac:dyDescent="0.2">
      <c r="A853" t="s">
        <v>875</v>
      </c>
      <c r="B853" t="str">
        <f t="shared" si="78"/>
        <v>Rona</v>
      </c>
      <c r="C853" t="str">
        <f t="shared" si="79"/>
        <v>49.7743958847974</v>
      </c>
      <c r="D853" t="str">
        <f t="shared" si="80"/>
        <v>-86.5374523574809</v>
      </c>
      <c r="E853" t="str">
        <f t="shared" si="81"/>
        <v>807-876-2294</v>
      </c>
      <c r="F853" t="str">
        <f t="shared" si="82"/>
        <v>P0T 2A0</v>
      </c>
      <c r="G853" t="str">
        <f t="shared" si="83"/>
        <v>[ "Rona", 49.7743958847974, -86.5374523574809, '807-876-2294', 'P0T 2A0'],</v>
      </c>
    </row>
    <row r="854" spans="1:7" hidden="1" x14ac:dyDescent="0.2">
      <c r="A854" t="s">
        <v>876</v>
      </c>
      <c r="B854" t="str">
        <f t="shared" si="78"/>
        <v>Jean Coutu</v>
      </c>
      <c r="C854" t="str">
        <f t="shared" si="79"/>
        <v>48.8053180769231</v>
      </c>
      <c r="D854" t="str">
        <f t="shared" si="80"/>
        <v>-79.2010484615385</v>
      </c>
      <c r="E854" t="str">
        <f t="shared" si="81"/>
        <v>819-333-1160</v>
      </c>
      <c r="F854" t="str">
        <f t="shared" si="82"/>
        <v>J9Z 1K9</v>
      </c>
      <c r="G854" t="str">
        <f t="shared" si="83"/>
        <v>[ "Jean Coutu", 48.8053180769231, -79.2010484615385, '819-333-1160', 'J9Z 1K9'],</v>
      </c>
    </row>
    <row r="855" spans="1:7" hidden="1" x14ac:dyDescent="0.2">
      <c r="A855" t="s">
        <v>877</v>
      </c>
      <c r="B855" t="str">
        <f t="shared" si="78"/>
        <v>Roberge &amp; Fils Inc</v>
      </c>
      <c r="C855" t="str">
        <f t="shared" si="79"/>
        <v>48.80318</v>
      </c>
      <c r="D855" t="str">
        <f t="shared" si="80"/>
        <v>-79.2029</v>
      </c>
      <c r="E855" t="str">
        <f t="shared" si="81"/>
        <v>819-333-5405</v>
      </c>
      <c r="F855" t="str">
        <f t="shared" si="82"/>
        <v>J9Z 1M5</v>
      </c>
      <c r="G855" t="str">
        <f t="shared" si="83"/>
        <v>[ "Roberge &amp; Fils Inc", 48.80318, -79.2029, '819-333-5405', 'J9Z 1M5'],</v>
      </c>
    </row>
    <row r="856" spans="1:7" hidden="1" x14ac:dyDescent="0.2">
      <c r="A856" t="s">
        <v>878</v>
      </c>
      <c r="B856" t="str">
        <f t="shared" si="78"/>
        <v>Corporation du Canton de Dubreuilville</v>
      </c>
      <c r="C856" t="str">
        <f t="shared" si="79"/>
        <v>48.3511856670082</v>
      </c>
      <c r="D856" t="str">
        <f t="shared" si="80"/>
        <v>-84.5473311099727</v>
      </c>
      <c r="E856" t="str">
        <f t="shared" si="81"/>
        <v>705-884-2340</v>
      </c>
      <c r="F856" t="str">
        <f t="shared" si="82"/>
        <v>P0S 1B0</v>
      </c>
      <c r="G856" t="str">
        <f t="shared" si="83"/>
        <v>[ "Corporation du Canton de Dubreuilville", 48.3511856670082, -84.5473311099727, '705-884-2340', 'P0S 1B0'],</v>
      </c>
    </row>
    <row r="857" spans="1:7" hidden="1" x14ac:dyDescent="0.2">
      <c r="A857" t="s">
        <v>879</v>
      </c>
      <c r="B857" t="str">
        <f t="shared" si="78"/>
        <v>BMR Matériaux Abitibi ltée</v>
      </c>
      <c r="C857" t="str">
        <f t="shared" si="79"/>
        <v>48.75642</v>
      </c>
      <c r="D857" t="str">
        <f t="shared" si="80"/>
        <v>-79.0066658333333</v>
      </c>
      <c r="E857" t="str">
        <f t="shared" si="81"/>
        <v>819-782-4611</v>
      </c>
      <c r="F857" t="str">
        <f t="shared" si="82"/>
        <v>J0Z 2S0</v>
      </c>
      <c r="G857" t="str">
        <f t="shared" si="83"/>
        <v>[ "BMR Matériaux Abitibi ltée", 48.75642, -79.0066658333333, '819-782-4611', 'J0Z 2S0'],</v>
      </c>
    </row>
    <row r="858" spans="1:7" hidden="1" x14ac:dyDescent="0.2">
      <c r="A858" t="s">
        <v>880</v>
      </c>
      <c r="B858" t="str">
        <f t="shared" si="78"/>
        <v>Dépôt Nédélec</v>
      </c>
      <c r="C858" t="str">
        <f t="shared" si="79"/>
        <v>48.75043</v>
      </c>
      <c r="D858" t="str">
        <f t="shared" si="80"/>
        <v>-79.00223</v>
      </c>
      <c r="E858" t="str">
        <f t="shared" si="81"/>
        <v>--</v>
      </c>
      <c r="F858" t="str">
        <f t="shared" si="82"/>
        <v>J0Z 2Z0</v>
      </c>
      <c r="G858" t="str">
        <f t="shared" si="83"/>
        <v>[ "Dépôt Nédélec", 48.75043, -79.00223, '--', 'J0Z 2Z0'],</v>
      </c>
    </row>
    <row r="859" spans="1:7" hidden="1" x14ac:dyDescent="0.2">
      <c r="A859" t="s">
        <v>881</v>
      </c>
      <c r="B859" t="str">
        <f t="shared" si="78"/>
        <v>Dépôt Ste-Germaine-Boulé</v>
      </c>
      <c r="C859" t="str">
        <f t="shared" si="79"/>
        <v>48.6025182</v>
      </c>
      <c r="D859" t="str">
        <f t="shared" si="80"/>
        <v>-79.11541</v>
      </c>
      <c r="E859" t="str">
        <f t="shared" si="81"/>
        <v>--</v>
      </c>
      <c r="F859" t="str">
        <f t="shared" si="82"/>
        <v>J0Z 1M0</v>
      </c>
      <c r="G859" t="str">
        <f t="shared" si="83"/>
        <v>[ "Dépôt Ste-Germaine-Boulé", 48.6025182, -79.11541, '--', 'J0Z 1M0'],</v>
      </c>
    </row>
    <row r="860" spans="1:7" hidden="1" x14ac:dyDescent="0.2">
      <c r="A860" t="s">
        <v>882</v>
      </c>
      <c r="B860" t="str">
        <f t="shared" si="78"/>
        <v>The Source</v>
      </c>
      <c r="C860" t="str">
        <f t="shared" si="79"/>
        <v>48.14718</v>
      </c>
      <c r="D860" t="str">
        <f t="shared" si="80"/>
        <v>-80.0469</v>
      </c>
      <c r="E860" t="str">
        <f t="shared" si="81"/>
        <v>705-567-3060</v>
      </c>
      <c r="F860" t="str">
        <f t="shared" si="82"/>
        <v>P2N 2E9</v>
      </c>
      <c r="G860" t="str">
        <f t="shared" si="83"/>
        <v>[ "The Source", 48.14718, -80.0469, '705-567-3060', 'P2N 2E9'],</v>
      </c>
    </row>
    <row r="861" spans="1:7" hidden="1" x14ac:dyDescent="0.2">
      <c r="A861" t="s">
        <v>861</v>
      </c>
      <c r="B861" t="str">
        <f t="shared" si="78"/>
        <v>Pauls Music World</v>
      </c>
      <c r="C861" t="str">
        <f t="shared" si="79"/>
        <v>49.7964</v>
      </c>
      <c r="D861" t="str">
        <f t="shared" si="80"/>
        <v>-83.66066</v>
      </c>
      <c r="E861" t="str">
        <f t="shared" si="81"/>
        <v>705-362-5779</v>
      </c>
      <c r="F861" t="str">
        <f t="shared" si="82"/>
        <v>P0L 1N0</v>
      </c>
      <c r="G861" t="str">
        <f t="shared" si="83"/>
        <v>[ "Pauls Music World", 49.7964, -83.66066, '705-362-5779', 'P0L 1N0'],</v>
      </c>
    </row>
    <row r="862" spans="1:7" hidden="1" x14ac:dyDescent="0.2">
      <c r="A862" t="s">
        <v>862</v>
      </c>
      <c r="B862" t="str">
        <f t="shared" si="78"/>
        <v>Hearst Lumber Co.Ltd.</v>
      </c>
      <c r="C862" t="str">
        <f t="shared" si="79"/>
        <v>49.6884745463573</v>
      </c>
      <c r="D862" t="str">
        <f t="shared" si="80"/>
        <v>-83.6604700049651</v>
      </c>
      <c r="E862" t="str">
        <f t="shared" si="81"/>
        <v>705-362-4325</v>
      </c>
      <c r="F862" t="str">
        <f t="shared" si="82"/>
        <v>P0L 1N0</v>
      </c>
      <c r="G862" t="str">
        <f t="shared" si="83"/>
        <v>[ "Hearst Lumber Co.Ltd.", 49.6884745463573, -83.6604700049651, '705-362-4325', 'P0L 1N0'],</v>
      </c>
    </row>
    <row r="863" spans="1:7" hidden="1" x14ac:dyDescent="0.2">
      <c r="A863" t="s">
        <v>863</v>
      </c>
      <c r="B863" t="str">
        <f t="shared" si="78"/>
        <v>Hearst Public Library</v>
      </c>
      <c r="C863" t="str">
        <f t="shared" si="79"/>
        <v>49.68876</v>
      </c>
      <c r="D863" t="str">
        <f t="shared" si="80"/>
        <v>-83.66251</v>
      </c>
      <c r="E863" t="str">
        <f t="shared" si="81"/>
        <v>705-372-2843</v>
      </c>
      <c r="F863" t="str">
        <f t="shared" si="82"/>
        <v>P0L 1N0</v>
      </c>
      <c r="G863" t="str">
        <f t="shared" si="83"/>
        <v>[ "Hearst Public Library", 49.68876, -83.66251, '705-372-2843', 'P0L 1N0'],</v>
      </c>
    </row>
    <row r="864" spans="1:7" hidden="1" x14ac:dyDescent="0.2">
      <c r="A864" t="s">
        <v>864</v>
      </c>
      <c r="B864" t="str">
        <f t="shared" si="78"/>
        <v>The Source</v>
      </c>
      <c r="C864" t="str">
        <f t="shared" si="79"/>
        <v>49.4200538028779</v>
      </c>
      <c r="D864" t="str">
        <f t="shared" si="80"/>
        <v>-82.4197553660716</v>
      </c>
      <c r="E864" t="str">
        <f t="shared" si="81"/>
        <v>705-335-8787</v>
      </c>
      <c r="F864" t="str">
        <f t="shared" si="82"/>
        <v>P5N 2E9</v>
      </c>
      <c r="G864" t="str">
        <f t="shared" si="83"/>
        <v>[ "The Source", 49.4200538028779, -82.4197553660716, '705-335-8787', 'P5N 2E9'],</v>
      </c>
    </row>
    <row r="865" spans="1:7" hidden="1" x14ac:dyDescent="0.2">
      <c r="A865" t="s">
        <v>865</v>
      </c>
      <c r="B865" t="str">
        <f t="shared" si="78"/>
        <v>Canadian Tire</v>
      </c>
      <c r="C865" t="str">
        <f t="shared" si="79"/>
        <v>49.0600608</v>
      </c>
      <c r="D865" t="str">
        <f t="shared" si="80"/>
        <v>-81.045488</v>
      </c>
      <c r="E865" t="str">
        <f t="shared" si="81"/>
        <v>705-272-4341</v>
      </c>
      <c r="F865" t="str">
        <f t="shared" si="82"/>
        <v>P0L 1C0</v>
      </c>
      <c r="G865" t="str">
        <f t="shared" si="83"/>
        <v>[ "Canadian Tire", 49.0600608, -81.045488, '705-272-4341', 'P0L 1C0'],</v>
      </c>
    </row>
    <row r="866" spans="1:7" hidden="1" x14ac:dyDescent="0.2">
      <c r="A866" t="s">
        <v>866</v>
      </c>
      <c r="B866" t="str">
        <f t="shared" si="78"/>
        <v>Town of Cochrane</v>
      </c>
      <c r="C866" t="str">
        <f t="shared" si="79"/>
        <v>49.0632506818182</v>
      </c>
      <c r="D866" t="str">
        <f t="shared" si="80"/>
        <v>-81.0281920454545</v>
      </c>
      <c r="E866" t="str">
        <f t="shared" si="81"/>
        <v>705-272-4361</v>
      </c>
      <c r="F866" t="str">
        <f t="shared" si="82"/>
        <v>P0L 1C0</v>
      </c>
      <c r="G866" t="str">
        <f t="shared" si="83"/>
        <v>[ "Town of Cochrane", 49.0632506818182, -81.0281920454545, '705-272-4361', 'P0L 1C0'],</v>
      </c>
    </row>
    <row r="867" spans="1:7" hidden="1" x14ac:dyDescent="0.2">
      <c r="A867" t="s">
        <v>867</v>
      </c>
      <c r="B867" t="str">
        <f t="shared" si="78"/>
        <v>Cree Nation of Chisasibi</v>
      </c>
      <c r="C867" t="str">
        <f t="shared" si="79"/>
        <v>52.24531</v>
      </c>
      <c r="D867" t="str">
        <f t="shared" si="80"/>
        <v>-78.48449</v>
      </c>
      <c r="E867" t="str">
        <f t="shared" si="81"/>
        <v>819-855-2878</v>
      </c>
      <c r="F867" t="str">
        <f t="shared" si="82"/>
        <v>J0M 1E0</v>
      </c>
      <c r="G867" t="str">
        <f t="shared" si="83"/>
        <v>[ "Cree Nation of Chisasibi", 52.24531, -78.48449, '819-855-2878', 'J0M 1E0'],</v>
      </c>
    </row>
    <row r="868" spans="1:7" hidden="1" x14ac:dyDescent="0.2">
      <c r="A868" t="s">
        <v>868</v>
      </c>
      <c r="B868" t="str">
        <f t="shared" si="78"/>
        <v>Town of Cochrane</v>
      </c>
      <c r="C868" t="str">
        <f t="shared" si="79"/>
        <v>49.060500625</v>
      </c>
      <c r="D868" t="str">
        <f t="shared" si="80"/>
        <v>-81.029883125</v>
      </c>
      <c r="E868" t="str">
        <f t="shared" si="81"/>
        <v>705-272-5086</v>
      </c>
      <c r="F868" t="str">
        <f t="shared" si="82"/>
        <v>P0L 1C0</v>
      </c>
      <c r="G868" t="str">
        <f t="shared" si="83"/>
        <v>[ "Town of Cochrane", 49.060500625, -81.029883125, '705-272-5086', 'P0L 1C0'],</v>
      </c>
    </row>
    <row r="869" spans="1:7" hidden="1" x14ac:dyDescent="0.2">
      <c r="A869" t="s">
        <v>869</v>
      </c>
      <c r="B869" t="str">
        <f t="shared" si="78"/>
        <v>Township of Hornepayne</v>
      </c>
      <c r="C869" t="str">
        <f t="shared" si="79"/>
        <v>49.218</v>
      </c>
      <c r="D869" t="str">
        <f t="shared" si="80"/>
        <v>-84.77496</v>
      </c>
      <c r="E869" t="str">
        <f t="shared" si="81"/>
        <v>807-868-2020</v>
      </c>
      <c r="F869" t="str">
        <f t="shared" si="82"/>
        <v>P0M 1Z0</v>
      </c>
      <c r="G869" t="str">
        <f t="shared" si="83"/>
        <v>[ "Township of Hornepayne", 49.218, -84.77496, '807-868-2020', 'P0M 1Z0'],</v>
      </c>
    </row>
    <row r="870" spans="1:7" hidden="1" x14ac:dyDescent="0.2">
      <c r="A870" t="s">
        <v>870</v>
      </c>
      <c r="B870" t="str">
        <f t="shared" si="78"/>
        <v>Ricks Hi-Fi &amp; Decorating</v>
      </c>
      <c r="C870" t="str">
        <f t="shared" si="79"/>
        <v>48.75815325</v>
      </c>
      <c r="D870" t="str">
        <f t="shared" si="80"/>
        <v>-80.68585225</v>
      </c>
      <c r="E870" t="str">
        <f t="shared" si="81"/>
        <v>705-232-5557</v>
      </c>
      <c r="F870" t="str">
        <f t="shared" si="82"/>
        <v>P0K 1G0</v>
      </c>
      <c r="G870" t="str">
        <f t="shared" si="83"/>
        <v>[ "Ricks Hi-Fi &amp; Decorating", 48.75815325, -80.68585225, '705-232-5557', 'P0K 1G0'],</v>
      </c>
    </row>
    <row r="871" spans="1:7" hidden="1" x14ac:dyDescent="0.2">
      <c r="A871" t="s">
        <v>871</v>
      </c>
      <c r="B871" t="str">
        <f t="shared" si="78"/>
        <v>Home Depot</v>
      </c>
      <c r="C871" t="str">
        <f t="shared" si="79"/>
        <v>48.4698689144691</v>
      </c>
      <c r="D871" t="str">
        <f t="shared" si="80"/>
        <v>-81.4223946969216</v>
      </c>
      <c r="E871" t="str">
        <f t="shared" si="81"/>
        <v>705-360-8750</v>
      </c>
      <c r="F871" t="str">
        <f t="shared" si="82"/>
        <v>P4R 0A1</v>
      </c>
      <c r="G871" t="str">
        <f t="shared" si="83"/>
        <v>[ "Home Depot", 48.4698689144691, -81.4223946969216, '705-360-8750', 'P4R 0A1'],</v>
      </c>
    </row>
    <row r="872" spans="1:7" x14ac:dyDescent="0.2">
      <c r="A872" t="s">
        <v>872</v>
      </c>
      <c r="B872" t="str">
        <f t="shared" si="78"/>
        <v>Staples</v>
      </c>
      <c r="C872" t="str">
        <f t="shared" si="79"/>
        <v>48.4725132307692</v>
      </c>
      <c r="D872" t="str">
        <f t="shared" si="80"/>
        <v>-81.3808703076923</v>
      </c>
      <c r="E872" t="str">
        <f t="shared" si="81"/>
        <v>705-360-4200</v>
      </c>
      <c r="F872" t="str">
        <f t="shared" si="82"/>
        <v>P4R 1M8</v>
      </c>
      <c r="G872" t="str">
        <f t="shared" si="83"/>
        <v>[ "Staples", 48.4725132307692, -81.3808703076923, '705-360-4200', 'P4R 1M8'],</v>
      </c>
    </row>
    <row r="873" spans="1:7" x14ac:dyDescent="0.2">
      <c r="A873" t="s">
        <v>873</v>
      </c>
      <c r="B873" t="str">
        <f t="shared" si="78"/>
        <v>Best Buy Canada</v>
      </c>
      <c r="C873" t="str">
        <f t="shared" si="79"/>
        <v>48.4725115789474</v>
      </c>
      <c r="D873" t="str">
        <f t="shared" si="80"/>
        <v>-81.3782257894737</v>
      </c>
      <c r="E873" t="str">
        <f t="shared" si="81"/>
        <v>705-268-9111</v>
      </c>
      <c r="F873" t="str">
        <f t="shared" si="82"/>
        <v>P4R 1A5</v>
      </c>
      <c r="G873" t="str">
        <f t="shared" si="83"/>
        <v>[ "Best Buy Canada", 48.4725115789474, -81.3782257894737, '705-268-9111', 'P4R 1A5'],</v>
      </c>
    </row>
    <row r="874" spans="1:7" hidden="1" x14ac:dyDescent="0.2">
      <c r="A874" t="s">
        <v>874</v>
      </c>
      <c r="B874" t="str">
        <f t="shared" si="78"/>
        <v>Spectrum Telecom Group Ltd</v>
      </c>
      <c r="C874" t="str">
        <f t="shared" si="79"/>
        <v>48.4763985714286</v>
      </c>
      <c r="D874" t="str">
        <f t="shared" si="80"/>
        <v>-81.3026775510204</v>
      </c>
      <c r="E874" t="str">
        <f t="shared" si="81"/>
        <v>705-268-9090</v>
      </c>
      <c r="F874" t="str">
        <f t="shared" si="82"/>
        <v>P0N 1G0</v>
      </c>
      <c r="G874" t="str">
        <f t="shared" si="83"/>
        <v>[ "Spectrum Telecom Group Ltd", 48.4763985714286, -81.3026775510204, '705-268-9090', 'P0N 1G0'],</v>
      </c>
    </row>
    <row r="875" spans="1:7" hidden="1" x14ac:dyDescent="0.2">
      <c r="A875" t="s">
        <v>875</v>
      </c>
      <c r="B875" t="str">
        <f t="shared" si="78"/>
        <v>Rona</v>
      </c>
      <c r="C875" t="str">
        <f t="shared" si="79"/>
        <v>49.7743958847974</v>
      </c>
      <c r="D875" t="str">
        <f t="shared" si="80"/>
        <v>-86.5374523574809</v>
      </c>
      <c r="E875" t="str">
        <f t="shared" si="81"/>
        <v>807-876-2294</v>
      </c>
      <c r="F875" t="str">
        <f t="shared" si="82"/>
        <v>P0T 2A0</v>
      </c>
      <c r="G875" t="str">
        <f t="shared" si="83"/>
        <v>[ "Rona", 49.7743958847974, -86.5374523574809, '807-876-2294', 'P0T 2A0'],</v>
      </c>
    </row>
    <row r="876" spans="1:7" hidden="1" x14ac:dyDescent="0.2">
      <c r="A876" t="s">
        <v>876</v>
      </c>
      <c r="B876" t="str">
        <f t="shared" si="78"/>
        <v>Jean Coutu</v>
      </c>
      <c r="C876" t="str">
        <f t="shared" si="79"/>
        <v>48.8053180769231</v>
      </c>
      <c r="D876" t="str">
        <f t="shared" si="80"/>
        <v>-79.2010484615385</v>
      </c>
      <c r="E876" t="str">
        <f t="shared" si="81"/>
        <v>819-333-1160</v>
      </c>
      <c r="F876" t="str">
        <f t="shared" si="82"/>
        <v>J9Z 1K9</v>
      </c>
      <c r="G876" t="str">
        <f t="shared" si="83"/>
        <v>[ "Jean Coutu", 48.8053180769231, -79.2010484615385, '819-333-1160', 'J9Z 1K9'],</v>
      </c>
    </row>
    <row r="877" spans="1:7" hidden="1" x14ac:dyDescent="0.2">
      <c r="A877" t="s">
        <v>877</v>
      </c>
      <c r="B877" t="str">
        <f t="shared" si="78"/>
        <v>Roberge &amp; Fils Inc</v>
      </c>
      <c r="C877" t="str">
        <f t="shared" si="79"/>
        <v>48.80318</v>
      </c>
      <c r="D877" t="str">
        <f t="shared" si="80"/>
        <v>-79.2029</v>
      </c>
      <c r="E877" t="str">
        <f t="shared" si="81"/>
        <v>819-333-5405</v>
      </c>
      <c r="F877" t="str">
        <f t="shared" si="82"/>
        <v>J9Z 1M5</v>
      </c>
      <c r="G877" t="str">
        <f t="shared" si="83"/>
        <v>[ "Roberge &amp; Fils Inc", 48.80318, -79.2029, '819-333-5405', 'J9Z 1M5'],</v>
      </c>
    </row>
    <row r="878" spans="1:7" hidden="1" x14ac:dyDescent="0.2">
      <c r="A878" t="s">
        <v>878</v>
      </c>
      <c r="B878" t="str">
        <f t="shared" si="78"/>
        <v>Corporation du Canton de Dubreuilville</v>
      </c>
      <c r="C878" t="str">
        <f t="shared" si="79"/>
        <v>48.3511856670082</v>
      </c>
      <c r="D878" t="str">
        <f t="shared" si="80"/>
        <v>-84.5473311099727</v>
      </c>
      <c r="E878" t="str">
        <f t="shared" si="81"/>
        <v>705-884-2340</v>
      </c>
      <c r="F878" t="str">
        <f t="shared" si="82"/>
        <v>P0S 1B0</v>
      </c>
      <c r="G878" t="str">
        <f t="shared" si="83"/>
        <v>[ "Corporation du Canton de Dubreuilville", 48.3511856670082, -84.5473311099727, '705-884-2340', 'P0S 1B0'],</v>
      </c>
    </row>
    <row r="879" spans="1:7" hidden="1" x14ac:dyDescent="0.2">
      <c r="A879" t="s">
        <v>879</v>
      </c>
      <c r="B879" t="str">
        <f t="shared" si="78"/>
        <v>BMR Matériaux Abitibi ltée</v>
      </c>
      <c r="C879" t="str">
        <f t="shared" si="79"/>
        <v>48.75642</v>
      </c>
      <c r="D879" t="str">
        <f t="shared" si="80"/>
        <v>-79.0066658333333</v>
      </c>
      <c r="E879" t="str">
        <f t="shared" si="81"/>
        <v>819-782-4611</v>
      </c>
      <c r="F879" t="str">
        <f t="shared" si="82"/>
        <v>J0Z 2S0</v>
      </c>
      <c r="G879" t="str">
        <f t="shared" si="83"/>
        <v>[ "BMR Matériaux Abitibi ltée", 48.75642, -79.0066658333333, '819-782-4611', 'J0Z 2S0'],</v>
      </c>
    </row>
    <row r="880" spans="1:7" hidden="1" x14ac:dyDescent="0.2">
      <c r="A880" t="s">
        <v>880</v>
      </c>
      <c r="B880" t="str">
        <f t="shared" si="78"/>
        <v>Dépôt Nédélec</v>
      </c>
      <c r="C880" t="str">
        <f t="shared" si="79"/>
        <v>48.75043</v>
      </c>
      <c r="D880" t="str">
        <f t="shared" si="80"/>
        <v>-79.00223</v>
      </c>
      <c r="E880" t="str">
        <f t="shared" si="81"/>
        <v>--</v>
      </c>
      <c r="F880" t="str">
        <f t="shared" si="82"/>
        <v>J0Z 2Z0</v>
      </c>
      <c r="G880" t="str">
        <f t="shared" si="83"/>
        <v>[ "Dépôt Nédélec", 48.75043, -79.00223, '--', 'J0Z 2Z0'],</v>
      </c>
    </row>
    <row r="881" spans="1:7" hidden="1" x14ac:dyDescent="0.2">
      <c r="A881" t="s">
        <v>881</v>
      </c>
      <c r="B881" t="str">
        <f t="shared" si="78"/>
        <v>Dépôt Ste-Germaine-Boulé</v>
      </c>
      <c r="C881" t="str">
        <f t="shared" si="79"/>
        <v>48.6025182</v>
      </c>
      <c r="D881" t="str">
        <f t="shared" si="80"/>
        <v>-79.11541</v>
      </c>
      <c r="E881" t="str">
        <f t="shared" si="81"/>
        <v>--</v>
      </c>
      <c r="F881" t="str">
        <f t="shared" si="82"/>
        <v>J0Z 1M0</v>
      </c>
      <c r="G881" t="str">
        <f t="shared" si="83"/>
        <v>[ "Dépôt Ste-Germaine-Boulé", 48.6025182, -79.11541, '--', 'J0Z 1M0'],</v>
      </c>
    </row>
    <row r="882" spans="1:7" hidden="1" x14ac:dyDescent="0.2">
      <c r="A882" t="s">
        <v>882</v>
      </c>
      <c r="B882" t="str">
        <f t="shared" si="78"/>
        <v>The Source</v>
      </c>
      <c r="C882" t="str">
        <f t="shared" si="79"/>
        <v>48.14718</v>
      </c>
      <c r="D882" t="str">
        <f t="shared" si="80"/>
        <v>-80.0469</v>
      </c>
      <c r="E882" t="str">
        <f t="shared" si="81"/>
        <v>705-567-3060</v>
      </c>
      <c r="F882" t="str">
        <f t="shared" si="82"/>
        <v>P2N 2E9</v>
      </c>
      <c r="G882" t="str">
        <f t="shared" si="83"/>
        <v>[ "The Source", 48.14718, -80.0469, '705-567-3060', 'P2N 2E9'],</v>
      </c>
    </row>
    <row r="883" spans="1:7" hidden="1" x14ac:dyDescent="0.2">
      <c r="A883" t="s">
        <v>4</v>
      </c>
      <c r="B883" t="str">
        <f t="shared" si="78"/>
        <v>Ottawa Fastener Supply Ltd</v>
      </c>
      <c r="C883" t="str">
        <f t="shared" si="79"/>
        <v>45.31561</v>
      </c>
      <c r="D883" t="str">
        <f t="shared" si="80"/>
        <v>-75.84883</v>
      </c>
      <c r="E883" t="str">
        <f t="shared" si="81"/>
        <v>613-828-4117</v>
      </c>
      <c r="F883" t="str">
        <f t="shared" si="82"/>
        <v>K2H 5Z2</v>
      </c>
      <c r="G883" t="str">
        <f t="shared" si="83"/>
        <v>[ "Ottawa Fastener Supply Ltd", 45.31561, -75.84883, '613-828-4117', 'K2H 5Z2'],</v>
      </c>
    </row>
    <row r="884" spans="1:7" hidden="1" x14ac:dyDescent="0.2">
      <c r="A884" t="s">
        <v>5</v>
      </c>
      <c r="B884" t="str">
        <f t="shared" si="78"/>
        <v>Canadian Tire</v>
      </c>
      <c r="C884" t="str">
        <f t="shared" si="79"/>
        <v>45.31561</v>
      </c>
      <c r="D884" t="str">
        <f t="shared" si="80"/>
        <v>-75.84883</v>
      </c>
      <c r="E884" t="str">
        <f t="shared" si="81"/>
        <v>613-829-9580</v>
      </c>
      <c r="F884" t="str">
        <f t="shared" si="82"/>
        <v>K2H 5Z2</v>
      </c>
      <c r="G884" t="str">
        <f t="shared" si="83"/>
        <v>[ "Canadian Tire", 45.31561, -75.84883, '613-829-9580', 'K2H 5Z2'],</v>
      </c>
    </row>
    <row r="885" spans="1:7" hidden="1" x14ac:dyDescent="0.2">
      <c r="A885" t="s">
        <v>6</v>
      </c>
      <c r="B885" t="str">
        <f t="shared" si="78"/>
        <v>The Source</v>
      </c>
      <c r="C885" t="str">
        <f t="shared" si="79"/>
        <v>45.30262</v>
      </c>
      <c r="D885" t="str">
        <f t="shared" si="80"/>
        <v>-75.876055</v>
      </c>
      <c r="E885" t="str">
        <f t="shared" si="81"/>
        <v>613-254-7298</v>
      </c>
      <c r="F885" t="str">
        <f t="shared" si="82"/>
        <v>K2M 1C9</v>
      </c>
      <c r="G885" t="str">
        <f t="shared" si="83"/>
        <v>[ "The Source", 45.30262, -75.876055, '613-254-7298', 'K2M 1C9'],</v>
      </c>
    </row>
    <row r="886" spans="1:7" hidden="1" x14ac:dyDescent="0.2">
      <c r="A886" t="s">
        <v>7</v>
      </c>
      <c r="B886" t="str">
        <f t="shared" si="78"/>
        <v>Foxy Recycle</v>
      </c>
      <c r="C886" t="str">
        <f t="shared" si="79"/>
        <v>45.3361577807865</v>
      </c>
      <c r="D886" t="str">
        <f t="shared" si="80"/>
        <v>-75.7994028475483</v>
      </c>
      <c r="E886" t="str">
        <f t="shared" si="81"/>
        <v>613-726-3699</v>
      </c>
      <c r="F886" t="str">
        <f t="shared" si="82"/>
        <v>K2H 7T3</v>
      </c>
      <c r="G886" t="str">
        <f t="shared" si="83"/>
        <v>[ "Foxy Recycle", 45.3361577807865, -75.7994028475483, '613-726-3699', 'K2H 7T3'],</v>
      </c>
    </row>
    <row r="887" spans="1:7" x14ac:dyDescent="0.2">
      <c r="A887" t="s">
        <v>8</v>
      </c>
      <c r="B887" t="str">
        <f t="shared" si="78"/>
        <v>Best Buy Canada</v>
      </c>
      <c r="C887" t="str">
        <f t="shared" si="79"/>
        <v>45.2686415669868</v>
      </c>
      <c r="D887" t="str">
        <f t="shared" si="80"/>
        <v>-75.7511392975935</v>
      </c>
      <c r="E887" t="str">
        <f t="shared" si="81"/>
        <v>613-843-5625</v>
      </c>
      <c r="F887" t="str">
        <f t="shared" si="82"/>
        <v>K2J 4B1</v>
      </c>
      <c r="G887" t="str">
        <f t="shared" si="83"/>
        <v>[ "Best Buy Canada", 45.2686415669868, -75.7511392975935, '613-843-5625', 'K2J 4B1'],</v>
      </c>
    </row>
    <row r="888" spans="1:7" hidden="1" x14ac:dyDescent="0.2">
      <c r="A888" t="s">
        <v>9</v>
      </c>
      <c r="B888" t="str">
        <f t="shared" si="78"/>
        <v>Home Depot</v>
      </c>
      <c r="C888" t="str">
        <f t="shared" si="79"/>
        <v>45.2686323504802</v>
      </c>
      <c r="D888" t="str">
        <f t="shared" si="80"/>
        <v>-75.7511639463902</v>
      </c>
      <c r="E888" t="str">
        <f t="shared" si="81"/>
        <v>613-843-7900</v>
      </c>
      <c r="F888" t="str">
        <f t="shared" si="82"/>
        <v>K2J 5M4</v>
      </c>
      <c r="G888" t="str">
        <f t="shared" si="83"/>
        <v>[ "Home Depot", 45.2686323504802, -75.7511639463902, '613-843-7900', 'K2J 5M4'],</v>
      </c>
    </row>
    <row r="889" spans="1:7" hidden="1" x14ac:dyDescent="0.2">
      <c r="A889" t="s">
        <v>10</v>
      </c>
      <c r="B889" t="str">
        <f t="shared" si="78"/>
        <v>Canadian Tire</v>
      </c>
      <c r="C889" t="str">
        <f t="shared" si="79"/>
        <v>45.27155</v>
      </c>
      <c r="D889" t="str">
        <f t="shared" si="80"/>
        <v>-75.74702</v>
      </c>
      <c r="E889" t="str">
        <f t="shared" si="81"/>
        <v>613-823-5278</v>
      </c>
      <c r="F889" t="str">
        <f t="shared" si="82"/>
        <v>K2J 4Y6</v>
      </c>
      <c r="G889" t="str">
        <f t="shared" si="83"/>
        <v>[ "Canadian Tire", 45.27155, -75.74702, '613-823-5278', 'K2J 4Y6'],</v>
      </c>
    </row>
    <row r="890" spans="1:7" hidden="1" x14ac:dyDescent="0.2">
      <c r="A890" t="s">
        <v>11</v>
      </c>
      <c r="B890" t="str">
        <f t="shared" si="78"/>
        <v>The Source</v>
      </c>
      <c r="C890" t="str">
        <f t="shared" si="79"/>
        <v>45.27028</v>
      </c>
      <c r="D890" t="str">
        <f t="shared" si="80"/>
        <v>-75.74192</v>
      </c>
      <c r="E890" t="str">
        <f t="shared" si="81"/>
        <v>613-823-1995</v>
      </c>
      <c r="F890" t="str">
        <f t="shared" si="82"/>
        <v>K2J 5G5</v>
      </c>
      <c r="G890" t="str">
        <f t="shared" si="83"/>
        <v>[ "The Source", 45.27028, -75.74192, '613-823-1995', 'K2J 5G5'],</v>
      </c>
    </row>
    <row r="891" spans="1:7" x14ac:dyDescent="0.2">
      <c r="A891" t="s">
        <v>12</v>
      </c>
      <c r="B891" t="str">
        <f t="shared" si="78"/>
        <v>Staples</v>
      </c>
      <c r="C891" t="str">
        <f t="shared" si="79"/>
        <v>45.27069125</v>
      </c>
      <c r="D891" t="str">
        <f t="shared" si="80"/>
        <v>-75.7408525</v>
      </c>
      <c r="E891" t="str">
        <f t="shared" si="81"/>
        <v>613-825-0457</v>
      </c>
      <c r="F891" t="str">
        <f t="shared" si="82"/>
        <v>K2J 5G5</v>
      </c>
      <c r="G891" t="str">
        <f t="shared" si="83"/>
        <v>[ "Staples", 45.27069125, -75.7408525, '613-825-0457', 'K2J 5G5'],</v>
      </c>
    </row>
    <row r="892" spans="1:7" hidden="1" x14ac:dyDescent="0.2">
      <c r="A892" t="s">
        <v>13</v>
      </c>
      <c r="B892" t="str">
        <f t="shared" si="78"/>
        <v>The Source</v>
      </c>
      <c r="C892" t="str">
        <f t="shared" si="79"/>
        <v>45.34921</v>
      </c>
      <c r="D892" t="str">
        <f t="shared" si="80"/>
        <v>-75.80515</v>
      </c>
      <c r="E892" t="str">
        <f t="shared" si="81"/>
        <v>613-820-6194</v>
      </c>
      <c r="F892" t="str">
        <f t="shared" si="82"/>
        <v>K2B 8C1</v>
      </c>
      <c r="G892" t="str">
        <f t="shared" si="83"/>
        <v>[ "The Source", 45.34921, -75.80515, '613-820-6194', 'K2B 8C1'],</v>
      </c>
    </row>
    <row r="893" spans="1:7" hidden="1" x14ac:dyDescent="0.2">
      <c r="A893" t="s">
        <v>14</v>
      </c>
      <c r="B893" t="str">
        <f t="shared" si="78"/>
        <v>Franklin Empire</v>
      </c>
      <c r="C893" t="str">
        <f t="shared" si="79"/>
        <v>45.3169700050834</v>
      </c>
      <c r="D893" t="str">
        <f t="shared" si="80"/>
        <v>-75.8900513218109</v>
      </c>
      <c r="E893" t="str">
        <f t="shared" si="81"/>
        <v>613-596-1144</v>
      </c>
      <c r="F893" t="str">
        <f t="shared" si="82"/>
        <v>K2L 4E9</v>
      </c>
      <c r="G893" t="str">
        <f t="shared" si="83"/>
        <v>[ "Franklin Empire", 45.3169700050834, -75.8900513218109, '613-596-1144', 'K2L 4E9'],</v>
      </c>
    </row>
    <row r="894" spans="1:7" hidden="1" x14ac:dyDescent="0.2">
      <c r="A894" t="s">
        <v>15</v>
      </c>
      <c r="B894" t="str">
        <f t="shared" si="78"/>
        <v>ListenUp! Canada</v>
      </c>
      <c r="C894" t="str">
        <f t="shared" si="79"/>
        <v>45.3481964767298</v>
      </c>
      <c r="D894" t="str">
        <f t="shared" si="80"/>
        <v>-75.7863466375104</v>
      </c>
      <c r="E894" t="str">
        <f t="shared" si="81"/>
        <v>613-721-1052</v>
      </c>
      <c r="F894" t="str">
        <f t="shared" si="82"/>
        <v>K2C 1E6</v>
      </c>
      <c r="G894" t="str">
        <f t="shared" si="83"/>
        <v>[ "ListenUp! Canada", 45.3481964767298, -75.7863466375104, '613-721-1052', 'K2C 1E6'],</v>
      </c>
    </row>
    <row r="895" spans="1:7" hidden="1" x14ac:dyDescent="0.2">
      <c r="A895" t="s">
        <v>16</v>
      </c>
      <c r="B895" t="str">
        <f t="shared" si="78"/>
        <v>The Source</v>
      </c>
      <c r="C895" t="str">
        <f t="shared" si="79"/>
        <v>45.3488851541784</v>
      </c>
      <c r="D895" t="str">
        <f t="shared" si="80"/>
        <v>-75.7608445840817</v>
      </c>
      <c r="E895" t="str">
        <f t="shared" si="81"/>
        <v>613-224-1683</v>
      </c>
      <c r="F895" t="str">
        <f t="shared" si="82"/>
        <v>K2G 1V7</v>
      </c>
      <c r="G895" t="str">
        <f t="shared" si="83"/>
        <v>[ "The Source", 45.3488851541784, -75.7608445840817, '613-224-1683', 'K2G 1V7'],</v>
      </c>
    </row>
    <row r="896" spans="1:7" hidden="1" x14ac:dyDescent="0.2">
      <c r="A896" t="s">
        <v>17</v>
      </c>
      <c r="B896" t="str">
        <f t="shared" si="78"/>
        <v>Home Depot</v>
      </c>
      <c r="C896" t="str">
        <f t="shared" si="79"/>
        <v>45.3022741666667</v>
      </c>
      <c r="D896" t="str">
        <f t="shared" si="80"/>
        <v>-75.9142483333333</v>
      </c>
      <c r="E896" t="str">
        <f t="shared" si="81"/>
        <v>613-271-7577</v>
      </c>
      <c r="F896" t="str">
        <f t="shared" si="82"/>
        <v>K2T 1C4</v>
      </c>
      <c r="G896" t="str">
        <f t="shared" si="83"/>
        <v>[ "Home Depot", 45.3022741666667, -75.9142483333333, '613-271-7577', 'K2T 1C4'],</v>
      </c>
    </row>
    <row r="897" spans="1:7" hidden="1" x14ac:dyDescent="0.2">
      <c r="A897" t="s">
        <v>18</v>
      </c>
      <c r="B897" t="str">
        <f t="shared" ref="B897:B960" si="84">MID(A897,SEARCH("name"&amp;CHAR(34)&amp;":"&amp;CHAR(34),A897)+7,SEARCH(CHAR(34)&amp;", "&amp;CHAR(34)&amp;"locationlinkurl",A897)-SEARCH("name"&amp;CHAR(34)&amp;":"&amp;CHAR(34),A897)-7)</f>
        <v>RONA</v>
      </c>
      <c r="C897" t="str">
        <f t="shared" ref="C897:C960" si="85">MID(A897,SEARCH(CHAR(34)&amp;"latitude"&amp;CHAR(34)&amp;":"&amp;CHAR(34),A897)+12,SEARCH(CHAR(34)&amp;", "&amp;CHAR(34)&amp;"url"&amp;CHAR(34),A897)-SEARCH(CHAR(34)&amp;"latitude"&amp;CHAR(34)&amp;":"&amp;CHAR(34),A897)-12)</f>
        <v>45.33296</v>
      </c>
      <c r="D897" t="str">
        <f t="shared" ref="D897:D960" si="86">MID(A897,SEARCH(CHAR(34)&amp;"longitude"&amp;CHAR(34)&amp;":"&amp;CHAR(34),A897)+13,SEARCH(CHAR(34)&amp;", "&amp;CHAR(34)&amp;"uid"&amp;CHAR(34),A897)-SEARCH(CHAR(34)&amp;"longitude"&amp;CHAR(34)&amp;":"&amp;CHAR(34),A897)-13)</f>
        <v>-75.72896</v>
      </c>
      <c r="E897" t="str">
        <f t="shared" ref="E897:E960" si="87">MID(A897,SEARCH(CHAR(34)&amp;"phone"&amp;CHAR(34)&amp;":"&amp;CHAR(34),A897)+9,SEARCH(CHAR(34)&amp;", "&amp;CHAR(34)&amp;"address2"&amp;CHAR(34),A897)-SEARCH(CHAR(34)&amp;"phone"&amp;CHAR(34)&amp;":"&amp;CHAR(34),A897)-9)</f>
        <v>613-226-5636</v>
      </c>
      <c r="F897" t="str">
        <f t="shared" ref="F897:F960" si="88">MID(A897,SEARCH(CHAR(34)&amp;"postalcode"&amp;CHAR(34)&amp;":"&amp;CHAR(34),A897)+14,SEARCH(CHAR(34)&amp;", "&amp;CHAR(34)&amp;"province"&amp;CHAR(34),A897)-SEARCH(CHAR(34)&amp;"postalcode"&amp;CHAR(34)&amp;":"&amp;CHAR(34),A897)-14)</f>
        <v>K2G 5X6</v>
      </c>
      <c r="G897" t="str">
        <f t="shared" ref="G897:G960" si="89">"[ "&amp;CHAR(34)&amp;B897&amp;CHAR(34)&amp;", "&amp;C897&amp;", "&amp;D897&amp;", '"&amp;E897&amp;"', '"&amp;F897&amp;"'],"</f>
        <v>[ "RONA", 45.33296, -75.72896, '613-226-5636', 'K2G 5X6'],</v>
      </c>
    </row>
    <row r="898" spans="1:7" hidden="1" x14ac:dyDescent="0.2">
      <c r="A898" t="s">
        <v>19</v>
      </c>
      <c r="B898" t="str">
        <f t="shared" si="84"/>
        <v>Home Depot</v>
      </c>
      <c r="C898" t="str">
        <f t="shared" si="85"/>
        <v>45.3529242478139</v>
      </c>
      <c r="D898" t="str">
        <f t="shared" si="86"/>
        <v>-75.7593245369859</v>
      </c>
      <c r="E898" t="str">
        <f t="shared" si="87"/>
        <v>613-723-5900</v>
      </c>
      <c r="F898" t="str">
        <f t="shared" si="88"/>
        <v>K2C 0C6</v>
      </c>
      <c r="G898" t="str">
        <f t="shared" si="89"/>
        <v>[ "Home Depot", 45.3529242478139, -75.7593245369859, '613-723-5900', 'K2C 0C6'],</v>
      </c>
    </row>
    <row r="899" spans="1:7" hidden="1" x14ac:dyDescent="0.2">
      <c r="A899" t="s">
        <v>20</v>
      </c>
      <c r="B899" t="str">
        <f t="shared" si="84"/>
        <v>Interstate Batteries of Ont</v>
      </c>
      <c r="C899" t="str">
        <f t="shared" si="85"/>
        <v>45.3247075</v>
      </c>
      <c r="D899" t="str">
        <f t="shared" si="86"/>
        <v>-75.71596875</v>
      </c>
      <c r="E899" t="str">
        <f t="shared" si="87"/>
        <v>613-798-9700</v>
      </c>
      <c r="F899" t="str">
        <f t="shared" si="88"/>
        <v>K2E 6V4</v>
      </c>
      <c r="G899" t="str">
        <f t="shared" si="89"/>
        <v>[ "Interstate Batteries of Ont", 45.3247075, -75.71596875, '613-798-9700', 'K2E 6V4'],</v>
      </c>
    </row>
    <row r="900" spans="1:7" hidden="1" x14ac:dyDescent="0.2">
      <c r="A900" t="s">
        <v>21</v>
      </c>
      <c r="B900" t="str">
        <f t="shared" si="84"/>
        <v>Canadian Tire</v>
      </c>
      <c r="C900" t="str">
        <f t="shared" si="85"/>
        <v>45.3362070935906</v>
      </c>
      <c r="D900" t="str">
        <f t="shared" si="86"/>
        <v>-75.7250272826182</v>
      </c>
      <c r="E900" t="str">
        <f t="shared" si="87"/>
        <v>613-224-9330</v>
      </c>
      <c r="F900" t="str">
        <f t="shared" si="88"/>
        <v>K2G 1E6</v>
      </c>
      <c r="G900" t="str">
        <f t="shared" si="89"/>
        <v>[ "Canadian Tire", 45.3362070935906, -75.7250272826182, '613-224-9330', 'K2G 1E6'],</v>
      </c>
    </row>
    <row r="901" spans="1:7" x14ac:dyDescent="0.2">
      <c r="A901" t="s">
        <v>22</v>
      </c>
      <c r="B901" t="str">
        <f t="shared" si="84"/>
        <v>Staples</v>
      </c>
      <c r="C901" t="str">
        <f t="shared" si="85"/>
        <v>45.3077106580804</v>
      </c>
      <c r="D901" t="str">
        <f t="shared" si="86"/>
        <v>-75.9191627451347</v>
      </c>
      <c r="E901" t="str">
        <f t="shared" si="87"/>
        <v>613-592-3538</v>
      </c>
      <c r="F901" t="str">
        <f t="shared" si="88"/>
        <v>K2T 1B7</v>
      </c>
      <c r="G901" t="str">
        <f t="shared" si="89"/>
        <v>[ "Staples", 45.3077106580804, -75.9191627451347, '613-592-3538', 'K2T 1B7'],</v>
      </c>
    </row>
    <row r="902" spans="1:7" hidden="1" x14ac:dyDescent="0.2">
      <c r="A902" t="s">
        <v>23</v>
      </c>
      <c r="B902" t="str">
        <f t="shared" si="84"/>
        <v>Canadian Tire</v>
      </c>
      <c r="C902" t="str">
        <f t="shared" si="85"/>
        <v>45.307406755956</v>
      </c>
      <c r="D902" t="str">
        <f t="shared" si="86"/>
        <v>-75.9196711967659</v>
      </c>
      <c r="E902" t="str">
        <f t="shared" si="87"/>
        <v>613-599-5105</v>
      </c>
      <c r="F902" t="str">
        <f t="shared" si="88"/>
        <v>K2T 1B7</v>
      </c>
      <c r="G902" t="str">
        <f t="shared" si="89"/>
        <v>[ "Canadian Tire", 45.307406755956, -75.9196711967659, '613-599-5105', 'K2T 1B7'],</v>
      </c>
    </row>
    <row r="903" spans="1:7" hidden="1" x14ac:dyDescent="0.2">
      <c r="A903" t="s">
        <v>24</v>
      </c>
      <c r="B903" t="str">
        <f t="shared" si="84"/>
        <v>The Source</v>
      </c>
      <c r="C903" t="str">
        <f t="shared" si="85"/>
        <v>45.3456195926914</v>
      </c>
      <c r="D903" t="str">
        <f t="shared" si="86"/>
        <v>-75.7304456845579</v>
      </c>
      <c r="E903" t="str">
        <f t="shared" si="87"/>
        <v>613-224-9648</v>
      </c>
      <c r="F903" t="str">
        <f t="shared" si="88"/>
        <v>K2G 4A1</v>
      </c>
      <c r="G903" t="str">
        <f t="shared" si="89"/>
        <v>[ "The Source", 45.3456195926914, -75.7304456845579, '613-224-9648', 'K2G 4A1'],</v>
      </c>
    </row>
    <row r="904" spans="1:7" hidden="1" x14ac:dyDescent="0.2">
      <c r="A904" t="s">
        <v>25</v>
      </c>
      <c r="B904" t="str">
        <f t="shared" si="84"/>
        <v>uBreakiFix</v>
      </c>
      <c r="C904" t="str">
        <f t="shared" si="85"/>
        <v>45.3489677777778</v>
      </c>
      <c r="D904" t="str">
        <f t="shared" si="86"/>
        <v>-75.7324555555556</v>
      </c>
      <c r="E904" t="str">
        <f t="shared" si="87"/>
        <v>613-422-8243</v>
      </c>
      <c r="F904" t="str">
        <f t="shared" si="88"/>
        <v>K2G 5J8</v>
      </c>
      <c r="G904" t="str">
        <f t="shared" si="89"/>
        <v>[ "uBreakiFix", 45.3489677777778, -75.7324555555556, '613-422-8243', 'K2G 5J8'],</v>
      </c>
    </row>
    <row r="905" spans="1:7" hidden="1" x14ac:dyDescent="0.2">
      <c r="A905" t="s">
        <v>26</v>
      </c>
      <c r="B905" t="str">
        <f t="shared" si="84"/>
        <v>ListenUp! Canada</v>
      </c>
      <c r="C905" t="str">
        <f t="shared" si="85"/>
        <v>45.35091</v>
      </c>
      <c r="D905" t="str">
        <f t="shared" si="86"/>
        <v>-75.73358</v>
      </c>
      <c r="E905" t="str">
        <f t="shared" si="87"/>
        <v>613-727-3132</v>
      </c>
      <c r="F905" t="str">
        <f t="shared" si="88"/>
        <v>K2G 4B5</v>
      </c>
      <c r="G905" t="str">
        <f t="shared" si="89"/>
        <v>[ "ListenUp! Canada", 45.35091, -75.73358, '613-727-3132', 'K2G 4B5'],</v>
      </c>
    </row>
    <row r="906" spans="1:7" x14ac:dyDescent="0.2">
      <c r="A906" t="s">
        <v>27</v>
      </c>
      <c r="B906" t="str">
        <f t="shared" si="84"/>
        <v>Staples</v>
      </c>
      <c r="C906" t="str">
        <f t="shared" si="85"/>
        <v>45.35311</v>
      </c>
      <c r="D906" t="str">
        <f t="shared" si="86"/>
        <v>-75.73469</v>
      </c>
      <c r="E906" t="str">
        <f t="shared" si="87"/>
        <v>613-226-7989</v>
      </c>
      <c r="F906" t="str">
        <f t="shared" si="88"/>
        <v>K2G 3J4</v>
      </c>
      <c r="G906" t="str">
        <f t="shared" si="89"/>
        <v>[ "Staples", 45.35311, -75.73469, '613-226-7989', 'K2G 3J4'],</v>
      </c>
    </row>
    <row r="907" spans="1:7" hidden="1" x14ac:dyDescent="0.2">
      <c r="A907" t="s">
        <v>28</v>
      </c>
      <c r="B907" t="str">
        <f t="shared" si="84"/>
        <v>Sears (Canada)</v>
      </c>
      <c r="C907" t="str">
        <f t="shared" si="85"/>
        <v>45.3705308333333</v>
      </c>
      <c r="D907" t="str">
        <f t="shared" si="86"/>
        <v>-75.7700666666667</v>
      </c>
      <c r="E907" t="str">
        <f t="shared" si="87"/>
        <v>613-729-2561</v>
      </c>
      <c r="F907" t="str">
        <f t="shared" si="88"/>
        <v>K2A 1H2</v>
      </c>
      <c r="G907" t="str">
        <f t="shared" si="89"/>
        <v>[ "Sears (Canada)", 45.3705308333333, -75.7700666666667, '613-729-2561', 'K2A 1H2'],</v>
      </c>
    </row>
    <row r="908" spans="1:7" x14ac:dyDescent="0.2">
      <c r="A908" t="s">
        <v>29</v>
      </c>
      <c r="B908" t="str">
        <f t="shared" si="84"/>
        <v>Staples</v>
      </c>
      <c r="C908" t="str">
        <f t="shared" si="85"/>
        <v>45.37061</v>
      </c>
      <c r="D908" t="str">
        <f t="shared" si="86"/>
        <v>-75.76937</v>
      </c>
      <c r="E908" t="str">
        <f t="shared" si="87"/>
        <v>613-729-4585</v>
      </c>
      <c r="F908" t="str">
        <f t="shared" si="88"/>
        <v>K2A 1H1</v>
      </c>
      <c r="G908" t="str">
        <f t="shared" si="89"/>
        <v>[ "Staples", 45.37061, -75.76937, '613-729-4585', 'K2A 1H1'],</v>
      </c>
    </row>
    <row r="909" spans="1:7" hidden="1" x14ac:dyDescent="0.2">
      <c r="A909" t="s">
        <v>30</v>
      </c>
      <c r="B909" t="str">
        <f t="shared" si="84"/>
        <v>The Source</v>
      </c>
      <c r="C909" t="str">
        <f t="shared" si="85"/>
        <v>45.3710585714286</v>
      </c>
      <c r="D909" t="str">
        <f t="shared" si="86"/>
        <v>-75.7688328571429</v>
      </c>
      <c r="E909" t="str">
        <f t="shared" si="87"/>
        <v>613-722-6052</v>
      </c>
      <c r="F909" t="str">
        <f t="shared" si="88"/>
        <v>K2A 1H2</v>
      </c>
      <c r="G909" t="str">
        <f t="shared" si="89"/>
        <v>[ "The Source", 45.3710585714286, -75.7688328571429, '613-722-6052', 'K2A 1H2'],</v>
      </c>
    </row>
    <row r="910" spans="1:7" x14ac:dyDescent="0.2">
      <c r="A910" t="s">
        <v>31</v>
      </c>
      <c r="B910" t="str">
        <f t="shared" si="84"/>
        <v>Best Buy</v>
      </c>
      <c r="C910" t="str">
        <f t="shared" si="85"/>
        <v>45.372818</v>
      </c>
      <c r="D910" t="str">
        <f t="shared" si="86"/>
        <v>-75.7679092</v>
      </c>
      <c r="E910" t="str">
        <f t="shared" si="87"/>
        <v>--</v>
      </c>
      <c r="F910" t="str">
        <f t="shared" si="88"/>
        <v>K2A 1H2</v>
      </c>
      <c r="G910" t="str">
        <f t="shared" si="89"/>
        <v>[ "Best Buy", 45.372818, -75.7679092, '--', 'K2A 1H2'],</v>
      </c>
    </row>
    <row r="911" spans="1:7" hidden="1" x14ac:dyDescent="0.2">
      <c r="A911" t="s">
        <v>32</v>
      </c>
      <c r="B911" t="str">
        <f t="shared" si="84"/>
        <v>Jean Coutu</v>
      </c>
      <c r="C911" t="str">
        <f t="shared" si="85"/>
        <v>45.39552</v>
      </c>
      <c r="D911" t="str">
        <f t="shared" si="86"/>
        <v>-75.83552</v>
      </c>
      <c r="E911" t="str">
        <f t="shared" si="87"/>
        <v>819-684-0006</v>
      </c>
      <c r="F911" t="str">
        <f t="shared" si="88"/>
        <v>J9H 6A6</v>
      </c>
      <c r="G911" t="str">
        <f t="shared" si="89"/>
        <v>[ "Jean Coutu", 45.39552, -75.83552, '819-684-0006', 'J9H 6A6'],</v>
      </c>
    </row>
    <row r="912" spans="1:7" hidden="1" x14ac:dyDescent="0.2">
      <c r="A912" t="s">
        <v>33</v>
      </c>
      <c r="B912" t="str">
        <f t="shared" si="84"/>
        <v>La Source</v>
      </c>
      <c r="C912" t="str">
        <f t="shared" si="85"/>
        <v>45.39552</v>
      </c>
      <c r="D912" t="str">
        <f t="shared" si="86"/>
        <v>-75.83552</v>
      </c>
      <c r="E912" t="str">
        <f t="shared" si="87"/>
        <v>819-684-1359</v>
      </c>
      <c r="F912" t="str">
        <f t="shared" si="88"/>
        <v>J9H 6A6</v>
      </c>
      <c r="G912" t="str">
        <f t="shared" si="89"/>
        <v>[ "La Source", 45.39552, -75.83552, '819-684-1359', 'J9H 6A6'],</v>
      </c>
    </row>
    <row r="913" spans="1:7" hidden="1" x14ac:dyDescent="0.2">
      <c r="A913" t="s">
        <v>0</v>
      </c>
      <c r="B913" t="str">
        <f t="shared" si="84"/>
        <v>Mountain Equipment Co-op</v>
      </c>
      <c r="C913" t="str">
        <f t="shared" si="85"/>
        <v>45.3915017200558</v>
      </c>
      <c r="D913" t="str">
        <f t="shared" si="86"/>
        <v>-75.755143747251</v>
      </c>
      <c r="E913" t="str">
        <f t="shared" si="87"/>
        <v>613-729-2700</v>
      </c>
      <c r="F913" t="str">
        <f t="shared" si="88"/>
        <v>K2A 0E8</v>
      </c>
      <c r="G913" t="str">
        <f t="shared" si="89"/>
        <v>[ "Mountain Equipment Co-op", 45.3915017200558, -75.755143747251, '613-729-2700', 'K2A 0E8'],</v>
      </c>
    </row>
    <row r="914" spans="1:7" hidden="1" x14ac:dyDescent="0.2">
      <c r="A914" t="s">
        <v>1</v>
      </c>
      <c r="B914" t="str">
        <f t="shared" si="84"/>
        <v>Manotick Home Hardware</v>
      </c>
      <c r="C914" t="str">
        <f t="shared" si="85"/>
        <v>45.2240975</v>
      </c>
      <c r="D914" t="str">
        <f t="shared" si="86"/>
        <v>-75.68488125</v>
      </c>
      <c r="E914" t="str">
        <f t="shared" si="87"/>
        <v>613-692-3591</v>
      </c>
      <c r="F914" t="str">
        <f t="shared" si="88"/>
        <v>K4M 1A8</v>
      </c>
      <c r="G914" t="str">
        <f t="shared" si="89"/>
        <v>[ "Manotick Home Hardware", 45.2240975, -75.68488125, '613-692-3591', 'K4M 1A8'],</v>
      </c>
    </row>
    <row r="915" spans="1:7" hidden="1" x14ac:dyDescent="0.2">
      <c r="A915" t="s">
        <v>2</v>
      </c>
      <c r="B915" t="str">
        <f t="shared" si="84"/>
        <v>RONA</v>
      </c>
      <c r="C915" t="str">
        <f t="shared" si="85"/>
        <v>45.4116065217391</v>
      </c>
      <c r="D915" t="str">
        <f t="shared" si="86"/>
        <v>-75.818777826087</v>
      </c>
      <c r="E915" t="str">
        <f t="shared" si="87"/>
        <v>819-684-3275</v>
      </c>
      <c r="F915" t="str">
        <f t="shared" si="88"/>
        <v>J9J 3M3</v>
      </c>
      <c r="G915" t="str">
        <f t="shared" si="89"/>
        <v>[ "RONA", 45.4116065217391, -75.818777826087, '819-684-3275', 'J9J 3M3'],</v>
      </c>
    </row>
    <row r="916" spans="1:7" hidden="1" x14ac:dyDescent="0.2">
      <c r="A916" t="s">
        <v>3</v>
      </c>
      <c r="B916" t="str">
        <f t="shared" si="84"/>
        <v>Pharmacie Brunet</v>
      </c>
      <c r="C916" t="str">
        <f t="shared" si="85"/>
        <v>45.411005</v>
      </c>
      <c r="D916" t="str">
        <f t="shared" si="86"/>
        <v>-75.839105</v>
      </c>
      <c r="E916" t="str">
        <f t="shared" si="87"/>
        <v>819-684-8222</v>
      </c>
      <c r="F916" t="str">
        <f t="shared" si="88"/>
        <v>J9J 1V2</v>
      </c>
      <c r="G916" t="str">
        <f t="shared" si="89"/>
        <v>[ "Pharmacie Brunet", 45.411005, -75.839105, '819-684-8222', 'J9J 1V2'],</v>
      </c>
    </row>
    <row r="917" spans="1:7" hidden="1" x14ac:dyDescent="0.2">
      <c r="A917" t="s">
        <v>34</v>
      </c>
      <c r="B917" t="str">
        <f t="shared" si="84"/>
        <v>ListenUp! Canada</v>
      </c>
      <c r="C917" t="str">
        <f t="shared" si="85"/>
        <v>45.3997827272727</v>
      </c>
      <c r="D917" t="str">
        <f t="shared" si="86"/>
        <v>-75.7320581818182</v>
      </c>
      <c r="E917" t="str">
        <f t="shared" si="87"/>
        <v>613-728-9170</v>
      </c>
      <c r="F917" t="str">
        <f t="shared" si="88"/>
        <v>K1Y 0X6</v>
      </c>
      <c r="G917" t="str">
        <f t="shared" si="89"/>
        <v>[ "ListenUp! Canada", 45.3997827272727, -75.7320581818182, '613-728-9170', 'K1Y 0X6'],</v>
      </c>
    </row>
    <row r="918" spans="1:7" hidden="1" x14ac:dyDescent="0.2">
      <c r="A918" t="s">
        <v>35</v>
      </c>
      <c r="B918" t="str">
        <f t="shared" si="84"/>
        <v>Jean Coutu</v>
      </c>
      <c r="C918" t="str">
        <f t="shared" si="85"/>
        <v>45.4199387682437</v>
      </c>
      <c r="D918" t="str">
        <f t="shared" si="86"/>
        <v>-75.8095308031074</v>
      </c>
      <c r="E918" t="str">
        <f t="shared" si="87"/>
        <v>819-682-0670</v>
      </c>
      <c r="F918" t="str">
        <f t="shared" si="88"/>
        <v>J9J 1Z4</v>
      </c>
      <c r="G918" t="str">
        <f t="shared" si="89"/>
        <v>[ "Jean Coutu", 45.4199387682437, -75.8095308031074, '819-682-0670', 'J9J 1Z4'],</v>
      </c>
    </row>
    <row r="919" spans="1:7" hidden="1" x14ac:dyDescent="0.2">
      <c r="A919" t="s">
        <v>36</v>
      </c>
      <c r="B919" t="str">
        <f t="shared" si="84"/>
        <v>The Source</v>
      </c>
      <c r="C919" t="str">
        <f t="shared" si="85"/>
        <v>45.3573151020408</v>
      </c>
      <c r="D919" t="str">
        <f t="shared" si="86"/>
        <v>-75.6538102040816</v>
      </c>
      <c r="E919" t="str">
        <f t="shared" si="87"/>
        <v>613-733-1891</v>
      </c>
      <c r="F919" t="str">
        <f t="shared" si="88"/>
        <v>K1V 1J5</v>
      </c>
      <c r="G919" t="str">
        <f t="shared" si="89"/>
        <v>[ "The Source", 45.3573151020408, -75.6538102040816, '613-733-1891', 'K1V 1J5'],</v>
      </c>
    </row>
    <row r="920" spans="1:7" x14ac:dyDescent="0.2">
      <c r="A920" t="s">
        <v>37</v>
      </c>
      <c r="B920" t="str">
        <f t="shared" si="84"/>
        <v>Staples</v>
      </c>
      <c r="C920" t="str">
        <f t="shared" si="85"/>
        <v>45.3573151020408</v>
      </c>
      <c r="D920" t="str">
        <f t="shared" si="86"/>
        <v>-75.6538102040816</v>
      </c>
      <c r="E920" t="str">
        <f t="shared" si="87"/>
        <v>613-521-3030</v>
      </c>
      <c r="F920" t="str">
        <f t="shared" si="88"/>
        <v>K1V 1J5</v>
      </c>
      <c r="G920" t="str">
        <f t="shared" si="89"/>
        <v>[ "Staples", 45.3573151020408, -75.6538102040816, '613-521-3030', 'K1V 1J5'],</v>
      </c>
    </row>
    <row r="921" spans="1:7" hidden="1" x14ac:dyDescent="0.2">
      <c r="A921" t="s">
        <v>38</v>
      </c>
      <c r="B921" t="str">
        <f t="shared" si="84"/>
        <v>Home Depot</v>
      </c>
      <c r="C921" t="str">
        <f t="shared" si="85"/>
        <v>45.3633490771332</v>
      </c>
      <c r="D921" t="str">
        <f t="shared" si="86"/>
        <v>-75.658896395124</v>
      </c>
      <c r="E921" t="str">
        <f t="shared" si="87"/>
        <v>613-739-5300</v>
      </c>
      <c r="F921" t="str">
        <f t="shared" si="88"/>
        <v>K1V 7Z8</v>
      </c>
      <c r="G921" t="str">
        <f t="shared" si="89"/>
        <v>[ "Home Depot", 45.3633490771332, -75.658896395124, '613-739-5300', 'K1V 7Z8'],</v>
      </c>
    </row>
    <row r="922" spans="1:7" hidden="1" x14ac:dyDescent="0.2">
      <c r="A922" t="s">
        <v>39</v>
      </c>
      <c r="B922" t="str">
        <f t="shared" si="84"/>
        <v>ListenUp! Canada</v>
      </c>
      <c r="C922" t="str">
        <f t="shared" si="85"/>
        <v>45.3539</v>
      </c>
      <c r="D922" t="str">
        <f t="shared" si="86"/>
        <v>-75.64844</v>
      </c>
      <c r="E922" t="str">
        <f t="shared" si="87"/>
        <v>613-521-0904</v>
      </c>
      <c r="F922" t="str">
        <f t="shared" si="88"/>
        <v>K1V 0T7</v>
      </c>
      <c r="G922" t="str">
        <f t="shared" si="89"/>
        <v>[ "ListenUp! Canada", 45.3539, -75.64844, '613-521-0904', 'K1V 0T7'],</v>
      </c>
    </row>
    <row r="923" spans="1:7" hidden="1" x14ac:dyDescent="0.2">
      <c r="A923" t="s">
        <v>40</v>
      </c>
      <c r="B923" t="str">
        <f t="shared" si="84"/>
        <v>The Source</v>
      </c>
      <c r="C923" t="str">
        <f t="shared" si="85"/>
        <v>45.386778716225</v>
      </c>
      <c r="D923" t="str">
        <f t="shared" si="86"/>
        <v>-75.6796023225593</v>
      </c>
      <c r="E923" t="str">
        <f t="shared" si="87"/>
        <v>613-737-1079</v>
      </c>
      <c r="F923" t="str">
        <f t="shared" si="88"/>
        <v>K1H 8K2</v>
      </c>
      <c r="G923" t="str">
        <f t="shared" si="89"/>
        <v>[ "The Source", 45.386778716225, -75.6796023225593, '613-737-1079', 'K1H 8K2'],</v>
      </c>
    </row>
    <row r="924" spans="1:7" hidden="1" x14ac:dyDescent="0.2">
      <c r="A924" t="s">
        <v>41</v>
      </c>
      <c r="B924" t="str">
        <f t="shared" si="84"/>
        <v>The Source</v>
      </c>
      <c r="C924" t="str">
        <f t="shared" si="85"/>
        <v>45.3996469</v>
      </c>
      <c r="D924" t="str">
        <f t="shared" si="86"/>
        <v>-75.6837603</v>
      </c>
      <c r="E924" t="str">
        <f t="shared" si="87"/>
        <v>613-565-4808</v>
      </c>
      <c r="F924" t="str">
        <f t="shared" si="88"/>
        <v>K1S 5J3</v>
      </c>
      <c r="G924" t="str">
        <f t="shared" si="89"/>
        <v>[ "The Source", 45.3996469, -75.6837603, '613-565-4808', 'K1S 5J3'],</v>
      </c>
    </row>
    <row r="925" spans="1:7" hidden="1" x14ac:dyDescent="0.2">
      <c r="A925" t="s">
        <v>42</v>
      </c>
      <c r="B925" t="str">
        <f t="shared" si="84"/>
        <v>La Source</v>
      </c>
      <c r="C925" t="str">
        <f t="shared" si="85"/>
        <v>45.43336</v>
      </c>
      <c r="D925" t="str">
        <f t="shared" si="86"/>
        <v>-75.78517</v>
      </c>
      <c r="E925" t="str">
        <f t="shared" si="87"/>
        <v>819-772-4751</v>
      </c>
      <c r="F925" t="str">
        <f t="shared" si="88"/>
        <v>J9A 3G1</v>
      </c>
      <c r="G925" t="str">
        <f t="shared" si="89"/>
        <v>[ "La Source", 45.43336, -75.78517, '819-772-4751', 'J9A 3G1'],</v>
      </c>
    </row>
    <row r="926" spans="1:7" hidden="1" x14ac:dyDescent="0.2">
      <c r="A926" t="s">
        <v>43</v>
      </c>
      <c r="B926" t="str">
        <f t="shared" si="84"/>
        <v>Canadian Tire</v>
      </c>
      <c r="C926" t="str">
        <f t="shared" si="85"/>
        <v>45.433308</v>
      </c>
      <c r="D926" t="str">
        <f t="shared" si="86"/>
        <v>-75.779701</v>
      </c>
      <c r="E926" t="str">
        <f t="shared" si="87"/>
        <v>819-684-0660</v>
      </c>
      <c r="F926" t="str">
        <f t="shared" si="88"/>
        <v>J9A 0C7</v>
      </c>
      <c r="G926" t="str">
        <f t="shared" si="89"/>
        <v>[ "Canadian Tire", 45.433308, -75.779701, '819-684-0660', 'J9A 0C7'],</v>
      </c>
    </row>
    <row r="927" spans="1:7" hidden="1" x14ac:dyDescent="0.2">
      <c r="A927" t="s">
        <v>44</v>
      </c>
      <c r="B927" t="str">
        <f t="shared" si="84"/>
        <v>Jean Coutu</v>
      </c>
      <c r="C927" t="str">
        <f t="shared" si="85"/>
        <v>45.4350193869702</v>
      </c>
      <c r="D927" t="str">
        <f t="shared" si="86"/>
        <v>-75.7807949680794</v>
      </c>
      <c r="E927" t="str">
        <f t="shared" si="87"/>
        <v>819-771-4515</v>
      </c>
      <c r="F927" t="str">
        <f t="shared" si="88"/>
        <v>J9A 0N4</v>
      </c>
      <c r="G927" t="str">
        <f t="shared" si="89"/>
        <v>[ "Jean Coutu", 45.4350193869702, -75.7807949680794, '819-771-4515', 'J9A 0N4'],</v>
      </c>
    </row>
    <row r="928" spans="1:7" hidden="1" x14ac:dyDescent="0.2">
      <c r="A928" t="s">
        <v>45</v>
      </c>
      <c r="B928" t="str">
        <f t="shared" si="84"/>
        <v>ListenUp! Canada</v>
      </c>
      <c r="C928" t="str">
        <f t="shared" si="85"/>
        <v>45.4109122222222</v>
      </c>
      <c r="D928" t="str">
        <f t="shared" si="86"/>
        <v>-75.6928911111111</v>
      </c>
      <c r="E928" t="str">
        <f t="shared" si="87"/>
        <v>613-238-6839</v>
      </c>
      <c r="F928" t="str">
        <f t="shared" si="88"/>
        <v>K2P 1Z2</v>
      </c>
      <c r="G928" t="str">
        <f t="shared" si="89"/>
        <v>[ "ListenUp! Canada", 45.4109122222222, -75.6928911111111, '613-238-6839', 'K2P 1Z2'],</v>
      </c>
    </row>
    <row r="929" spans="1:7" hidden="1" x14ac:dyDescent="0.2">
      <c r="A929" t="s">
        <v>46</v>
      </c>
      <c r="B929" t="str">
        <f t="shared" si="84"/>
        <v>RONA</v>
      </c>
      <c r="C929" t="str">
        <f t="shared" si="85"/>
        <v>45.4357610482227</v>
      </c>
      <c r="D929" t="str">
        <f t="shared" si="86"/>
        <v>-75.7778724318387</v>
      </c>
      <c r="E929" t="str">
        <f t="shared" si="87"/>
        <v>819-776-3400</v>
      </c>
      <c r="F929" t="str">
        <f t="shared" si="88"/>
        <v>J9A 3G1</v>
      </c>
      <c r="G929" t="str">
        <f t="shared" si="89"/>
        <v>[ "RONA", 45.4357610482227, -75.7778724318387, '819-776-3400', 'J9A 3G1'],</v>
      </c>
    </row>
    <row r="930" spans="1:7" x14ac:dyDescent="0.2">
      <c r="A930" t="s">
        <v>47</v>
      </c>
      <c r="B930" t="str">
        <f t="shared" si="84"/>
        <v>Staples</v>
      </c>
      <c r="C930" t="str">
        <f t="shared" si="85"/>
        <v>45.4130966666667</v>
      </c>
      <c r="D930" t="str">
        <f t="shared" si="86"/>
        <v>-75.6944033333333</v>
      </c>
      <c r="E930" t="str">
        <f t="shared" si="87"/>
        <v>613-235-2525</v>
      </c>
      <c r="F930" t="str">
        <f t="shared" si="88"/>
        <v>K2P 1Y6</v>
      </c>
      <c r="G930" t="str">
        <f t="shared" si="89"/>
        <v>[ "Staples", 45.4130966666667, -75.6944033333333, '613-235-2525', 'K2P 1Y6'],</v>
      </c>
    </row>
    <row r="931" spans="1:7" hidden="1" x14ac:dyDescent="0.2">
      <c r="A931" t="s">
        <v>48</v>
      </c>
      <c r="B931" t="str">
        <f t="shared" si="84"/>
        <v>Bureau en Gros</v>
      </c>
      <c r="C931" t="str">
        <f t="shared" si="85"/>
        <v>45.4360653869305</v>
      </c>
      <c r="D931" t="str">
        <f t="shared" si="86"/>
        <v>-75.7730653768985</v>
      </c>
      <c r="E931" t="str">
        <f t="shared" si="87"/>
        <v>819-770-2332</v>
      </c>
      <c r="F931" t="str">
        <f t="shared" si="88"/>
        <v>J9A 3G1</v>
      </c>
      <c r="G931" t="str">
        <f t="shared" si="89"/>
        <v>[ "Bureau en Gros", 45.4360653869305, -75.7730653768985, '819-770-2332', 'J9A 3G1'],</v>
      </c>
    </row>
    <row r="932" spans="1:7" hidden="1" x14ac:dyDescent="0.2">
      <c r="A932" t="s">
        <v>49</v>
      </c>
      <c r="B932" t="str">
        <f t="shared" si="84"/>
        <v>Henrys</v>
      </c>
      <c r="C932" t="str">
        <f t="shared" si="85"/>
        <v>45.4158166666667</v>
      </c>
      <c r="D932" t="str">
        <f t="shared" si="86"/>
        <v>-75.6967733333333</v>
      </c>
      <c r="E932" t="str">
        <f t="shared" si="87"/>
        <v>613-232-5368</v>
      </c>
      <c r="F932" t="str">
        <f t="shared" si="88"/>
        <v>K2P 1X5</v>
      </c>
      <c r="G932" t="str">
        <f t="shared" si="89"/>
        <v>[ "Henrys", 45.4158166666667, -75.6967733333333, '613-232-5368', 'K2P 1X5'],</v>
      </c>
    </row>
    <row r="933" spans="1:7" hidden="1" x14ac:dyDescent="0.2">
      <c r="A933" t="s">
        <v>894</v>
      </c>
      <c r="B933" t="str">
        <f t="shared" si="84"/>
        <v>Jean Coutu</v>
      </c>
      <c r="C933" t="str">
        <f t="shared" si="85"/>
        <v>45.32124</v>
      </c>
      <c r="D933" t="str">
        <f t="shared" si="86"/>
        <v>-75.10929</v>
      </c>
      <c r="E933" t="str">
        <f t="shared" si="87"/>
        <v>613-764-5455</v>
      </c>
      <c r="F933" t="str">
        <f t="shared" si="88"/>
        <v>K0A 1M0</v>
      </c>
      <c r="G933" t="str">
        <f t="shared" si="89"/>
        <v>[ "Jean Coutu", 45.32124, -75.10929, '613-764-5455', 'K0A 1M0'],</v>
      </c>
    </row>
    <row r="934" spans="1:7" hidden="1" x14ac:dyDescent="0.2">
      <c r="A934" t="s">
        <v>895</v>
      </c>
      <c r="B934" t="str">
        <f t="shared" si="84"/>
        <v>Canadian Tire</v>
      </c>
      <c r="C934" t="str">
        <f t="shared" si="85"/>
        <v>45.3048483</v>
      </c>
      <c r="D934" t="str">
        <f t="shared" si="86"/>
        <v>-75.0842176</v>
      </c>
      <c r="E934" t="str">
        <f t="shared" si="87"/>
        <v>613-764-0401</v>
      </c>
      <c r="F934" t="str">
        <f t="shared" si="88"/>
        <v>K0A 1M0</v>
      </c>
      <c r="G934" t="str">
        <f t="shared" si="89"/>
        <v>[ "Canadian Tire", 45.3048483, -75.0842176, '613-764-0401', 'K0A 1M0'],</v>
      </c>
    </row>
    <row r="935" spans="1:7" hidden="1" x14ac:dyDescent="0.2">
      <c r="A935" t="s">
        <v>896</v>
      </c>
      <c r="B935" t="str">
        <f t="shared" si="84"/>
        <v>The Source</v>
      </c>
      <c r="C935" t="str">
        <f t="shared" si="85"/>
        <v>45.30585</v>
      </c>
      <c r="D935" t="str">
        <f t="shared" si="86"/>
        <v>-75.08342</v>
      </c>
      <c r="E935" t="str">
        <f t="shared" si="87"/>
        <v>613-764-2023</v>
      </c>
      <c r="F935" t="str">
        <f t="shared" si="88"/>
        <v>K0A 1M0</v>
      </c>
      <c r="G935" t="str">
        <f t="shared" si="89"/>
        <v>[ "The Source", 45.30585, -75.08342, '613-764-2023', 'K0A 1M0'],</v>
      </c>
    </row>
    <row r="936" spans="1:7" hidden="1" x14ac:dyDescent="0.2">
      <c r="A936" t="s">
        <v>897</v>
      </c>
      <c r="B936" t="str">
        <f t="shared" si="84"/>
        <v>The Source</v>
      </c>
      <c r="C936" t="str">
        <f t="shared" si="85"/>
        <v>45.26869</v>
      </c>
      <c r="D936" t="str">
        <f t="shared" si="86"/>
        <v>-75.29589</v>
      </c>
      <c r="E936" t="str">
        <f t="shared" si="87"/>
        <v>613-443-5642</v>
      </c>
      <c r="F936" t="str">
        <f t="shared" si="88"/>
        <v>K0A 1W1</v>
      </c>
      <c r="G936" t="str">
        <f t="shared" si="89"/>
        <v>[ "The Source", 45.26869, -75.29589, '613-443-5642', 'K0A 1W1'],</v>
      </c>
    </row>
    <row r="937" spans="1:7" hidden="1" x14ac:dyDescent="0.2">
      <c r="A937" t="s">
        <v>898</v>
      </c>
      <c r="B937" t="str">
        <f t="shared" si="84"/>
        <v>Township of Russell</v>
      </c>
      <c r="C937" t="str">
        <f t="shared" si="85"/>
        <v>45.2672597504255</v>
      </c>
      <c r="D937" t="str">
        <f t="shared" si="86"/>
        <v>-75.3059172717022</v>
      </c>
      <c r="E937" t="str">
        <f t="shared" si="87"/>
        <v>613-443-3066</v>
      </c>
      <c r="F937" t="str">
        <f t="shared" si="88"/>
        <v>K0A 1W1</v>
      </c>
      <c r="G937" t="str">
        <f t="shared" si="89"/>
        <v>[ "Township of Russell", 45.2672597504255, -75.3059172717022, '613-443-3066', 'K0A 1W1'],</v>
      </c>
    </row>
    <row r="938" spans="1:7" hidden="1" x14ac:dyDescent="0.2">
      <c r="A938" t="s">
        <v>899</v>
      </c>
      <c r="B938" t="str">
        <f t="shared" si="84"/>
        <v>Barrys Home Hardware</v>
      </c>
      <c r="C938" t="str">
        <f t="shared" si="85"/>
        <v>45.25691</v>
      </c>
      <c r="D938" t="str">
        <f t="shared" si="86"/>
        <v>-75.3704</v>
      </c>
      <c r="E938" t="str">
        <f t="shared" si="87"/>
        <v>613-445-2171</v>
      </c>
      <c r="F938" t="str">
        <f t="shared" si="88"/>
        <v>K4R 1A1</v>
      </c>
      <c r="G938" t="str">
        <f t="shared" si="89"/>
        <v>[ "Barrys Home Hardware", 45.25691, -75.3704, '613-445-2171', 'K4R 1A1'],</v>
      </c>
    </row>
    <row r="939" spans="1:7" hidden="1" x14ac:dyDescent="0.2">
      <c r="A939" t="s">
        <v>900</v>
      </c>
      <c r="B939" t="str">
        <f t="shared" si="84"/>
        <v>The Nation Municipality</v>
      </c>
      <c r="C939" t="str">
        <f t="shared" si="85"/>
        <v>45.4316955</v>
      </c>
      <c r="D939" t="str">
        <f t="shared" si="86"/>
        <v>-74.9317283</v>
      </c>
      <c r="E939" t="str">
        <f t="shared" si="87"/>
        <v>613-223-4855</v>
      </c>
      <c r="F939" t="str">
        <f t="shared" si="88"/>
        <v>K0B 1G0</v>
      </c>
      <c r="G939" t="str">
        <f t="shared" si="89"/>
        <v>[ "The Nation Municipality", 45.4316955, -74.9317283, '613-223-4855', 'K0B 1G0'],</v>
      </c>
    </row>
    <row r="940" spans="1:7" hidden="1" x14ac:dyDescent="0.2">
      <c r="A940" t="s">
        <v>901</v>
      </c>
      <c r="B940" t="str">
        <f t="shared" si="84"/>
        <v>Canadian Tire</v>
      </c>
      <c r="C940" t="str">
        <f t="shared" si="85"/>
        <v>45.5252195</v>
      </c>
      <c r="D940" t="str">
        <f t="shared" si="86"/>
        <v>-75.3334153</v>
      </c>
      <c r="E940" t="str">
        <f t="shared" si="87"/>
        <v>613-446-4410</v>
      </c>
      <c r="F940" t="str">
        <f t="shared" si="88"/>
        <v>K4C 1R7</v>
      </c>
      <c r="G940" t="str">
        <f t="shared" si="89"/>
        <v>[ "Canadian Tire", 45.5252195, -75.3334153, '613-446-4410', 'K4C 1R7'],</v>
      </c>
    </row>
    <row r="941" spans="1:7" hidden="1" x14ac:dyDescent="0.2">
      <c r="A941" t="s">
        <v>903</v>
      </c>
      <c r="B941" t="str">
        <f t="shared" si="84"/>
        <v>The Source</v>
      </c>
      <c r="C941" t="str">
        <f t="shared" si="85"/>
        <v>45.30585</v>
      </c>
      <c r="D941" t="str">
        <f t="shared" si="86"/>
        <v>-75.08342</v>
      </c>
      <c r="E941" t="str">
        <f t="shared" si="87"/>
        <v>613-764-2023</v>
      </c>
      <c r="F941" t="str">
        <f t="shared" si="88"/>
        <v>K0A 1M0</v>
      </c>
      <c r="G941" t="str">
        <f t="shared" si="89"/>
        <v>[ "The Source", 45.30585, -75.08342, '613-764-2023', 'K0A 1M0'],</v>
      </c>
    </row>
    <row r="942" spans="1:7" hidden="1" x14ac:dyDescent="0.2">
      <c r="A942" t="s">
        <v>904</v>
      </c>
      <c r="B942" t="str">
        <f t="shared" si="84"/>
        <v>Canadian Tire</v>
      </c>
      <c r="C942" t="str">
        <f t="shared" si="85"/>
        <v>45.3048483</v>
      </c>
      <c r="D942" t="str">
        <f t="shared" si="86"/>
        <v>-75.0842176</v>
      </c>
      <c r="E942" t="str">
        <f t="shared" si="87"/>
        <v>613-764-0401</v>
      </c>
      <c r="F942" t="str">
        <f t="shared" si="88"/>
        <v>K0A 1M0</v>
      </c>
      <c r="G942" t="str">
        <f t="shared" si="89"/>
        <v>[ "Canadian Tire", 45.3048483, -75.0842176, '613-764-0401', 'K0A 1M0'],</v>
      </c>
    </row>
    <row r="943" spans="1:7" hidden="1" x14ac:dyDescent="0.2">
      <c r="A943" t="s">
        <v>905</v>
      </c>
      <c r="B943" t="str">
        <f t="shared" si="84"/>
        <v>Jean Coutu</v>
      </c>
      <c r="C943" t="str">
        <f t="shared" si="85"/>
        <v>45.32124</v>
      </c>
      <c r="D943" t="str">
        <f t="shared" si="86"/>
        <v>-75.10929</v>
      </c>
      <c r="E943" t="str">
        <f t="shared" si="87"/>
        <v>613-764-5455</v>
      </c>
      <c r="F943" t="str">
        <f t="shared" si="88"/>
        <v>K0A 1M0</v>
      </c>
      <c r="G943" t="str">
        <f t="shared" si="89"/>
        <v>[ "Jean Coutu", 45.32124, -75.10929, '613-764-5455', 'K0A 1M0'],</v>
      </c>
    </row>
    <row r="944" spans="1:7" hidden="1" x14ac:dyDescent="0.2">
      <c r="A944" t="s">
        <v>906</v>
      </c>
      <c r="B944" t="str">
        <f t="shared" si="84"/>
        <v>The Nation Municipality</v>
      </c>
      <c r="C944" t="str">
        <f t="shared" si="85"/>
        <v>45.4316955</v>
      </c>
      <c r="D944" t="str">
        <f t="shared" si="86"/>
        <v>-74.9317283</v>
      </c>
      <c r="E944" t="str">
        <f t="shared" si="87"/>
        <v>613-223-4855</v>
      </c>
      <c r="F944" t="str">
        <f t="shared" si="88"/>
        <v>K0B 1G0</v>
      </c>
      <c r="G944" t="str">
        <f t="shared" si="89"/>
        <v>[ "The Nation Municipality", 45.4316955, -74.9317283, '613-223-4855', 'K0B 1G0'],</v>
      </c>
    </row>
    <row r="945" spans="1:7" hidden="1" x14ac:dyDescent="0.2">
      <c r="A945" t="s">
        <v>908</v>
      </c>
      <c r="B945" t="str">
        <f t="shared" si="84"/>
        <v>G&amp;S Tech-Tronics</v>
      </c>
      <c r="C945" t="str">
        <f t="shared" si="85"/>
        <v>45.30137</v>
      </c>
      <c r="D945" t="str">
        <f t="shared" si="86"/>
        <v>-74.62865</v>
      </c>
      <c r="E945" t="str">
        <f t="shared" si="87"/>
        <v>613-525-3852</v>
      </c>
      <c r="F945" t="str">
        <f t="shared" si="88"/>
        <v>K0C 1A0</v>
      </c>
      <c r="G945" t="str">
        <f t="shared" si="89"/>
        <v>[ "G&amp;S Tech-Tronics", 45.30137, -74.62865, '613-525-3852', 'K0C 1A0'],</v>
      </c>
    </row>
    <row r="946" spans="1:7" hidden="1" x14ac:dyDescent="0.2">
      <c r="A946" t="s">
        <v>909</v>
      </c>
      <c r="B946" t="str">
        <f t="shared" si="84"/>
        <v>The Nation Municipality</v>
      </c>
      <c r="C946" t="str">
        <f t="shared" si="85"/>
        <v>45.4316955</v>
      </c>
      <c r="D946" t="str">
        <f t="shared" si="86"/>
        <v>-74.9317283</v>
      </c>
      <c r="E946" t="str">
        <f t="shared" si="87"/>
        <v>613-223-4855</v>
      </c>
      <c r="F946" t="str">
        <f t="shared" si="88"/>
        <v>K0B 1G0</v>
      </c>
      <c r="G946" t="str">
        <f t="shared" si="89"/>
        <v>[ "The Nation Municipality", 45.4316955, -74.9317283, '613-223-4855', 'K0B 1G0'],</v>
      </c>
    </row>
    <row r="947" spans="1:7" hidden="1" x14ac:dyDescent="0.2">
      <c r="A947" t="s">
        <v>911</v>
      </c>
      <c r="B947" t="str">
        <f t="shared" si="84"/>
        <v>Home Depot</v>
      </c>
      <c r="C947" t="str">
        <f t="shared" si="85"/>
        <v>45.0379267646816</v>
      </c>
      <c r="D947" t="str">
        <f t="shared" si="86"/>
        <v>-74.7607134190964</v>
      </c>
      <c r="E947" t="str">
        <f t="shared" si="87"/>
        <v>613-930-4470</v>
      </c>
      <c r="F947" t="str">
        <f t="shared" si="88"/>
        <v>K6J 5X7</v>
      </c>
      <c r="G947" t="str">
        <f t="shared" si="89"/>
        <v>[ "Home Depot", 45.0379267646816, -74.7607134190964, '613-930-4470', 'K6J 5X7'],</v>
      </c>
    </row>
    <row r="948" spans="1:7" hidden="1" x14ac:dyDescent="0.2">
      <c r="A948" t="s">
        <v>912</v>
      </c>
      <c r="B948" t="str">
        <f t="shared" si="84"/>
        <v>City of Cornwall Depot</v>
      </c>
      <c r="C948" t="str">
        <f t="shared" si="85"/>
        <v>45.0381247435396</v>
      </c>
      <c r="D948" t="str">
        <f t="shared" si="86"/>
        <v>-74.8168842447786</v>
      </c>
      <c r="E948" t="str">
        <f t="shared" si="87"/>
        <v>613-930-2787</v>
      </c>
      <c r="F948" t="str">
        <f t="shared" si="88"/>
        <v>K0C 1P0</v>
      </c>
      <c r="G948" t="str">
        <f t="shared" si="89"/>
        <v>[ "City of Cornwall Depot", 45.0381247435396, -74.8168842447786, '613-930-2787', 'K0C 1P0'],</v>
      </c>
    </row>
    <row r="949" spans="1:7" hidden="1" x14ac:dyDescent="0.2">
      <c r="A949" t="s">
        <v>913</v>
      </c>
      <c r="B949" t="str">
        <f t="shared" si="84"/>
        <v>RONA</v>
      </c>
      <c r="C949" t="str">
        <f t="shared" si="85"/>
        <v>45.03381</v>
      </c>
      <c r="D949" t="str">
        <f t="shared" si="86"/>
        <v>-74.71658</v>
      </c>
      <c r="E949" t="str">
        <f t="shared" si="87"/>
        <v>613-938-3300</v>
      </c>
      <c r="F949" t="str">
        <f t="shared" si="88"/>
        <v>K6H 2W8</v>
      </c>
      <c r="G949" t="str">
        <f t="shared" si="89"/>
        <v>[ "RONA", 45.03381, -74.71658, '613-938-3300', 'K6H 2W8'],</v>
      </c>
    </row>
    <row r="950" spans="1:7" x14ac:dyDescent="0.2">
      <c r="A950" t="s">
        <v>914</v>
      </c>
      <c r="B950" t="str">
        <f t="shared" si="84"/>
        <v>Staples</v>
      </c>
      <c r="C950" t="str">
        <f t="shared" si="85"/>
        <v>45.0287936</v>
      </c>
      <c r="D950" t="str">
        <f t="shared" si="86"/>
        <v>-74.7346015</v>
      </c>
      <c r="E950" t="str">
        <f t="shared" si="87"/>
        <v>613-936-6952</v>
      </c>
      <c r="F950" t="str">
        <f t="shared" si="88"/>
        <v>K6H 6R3</v>
      </c>
      <c r="G950" t="str">
        <f t="shared" si="89"/>
        <v>[ "Staples", 45.0287936, -74.7346015, '613-936-6952', 'K6H 6R3'],</v>
      </c>
    </row>
    <row r="951" spans="1:7" hidden="1" x14ac:dyDescent="0.2">
      <c r="A951" t="s">
        <v>915</v>
      </c>
      <c r="B951" t="str">
        <f t="shared" si="84"/>
        <v>ListenUp! Canada</v>
      </c>
      <c r="C951" t="str">
        <f t="shared" si="85"/>
        <v>45.0199628571429</v>
      </c>
      <c r="D951" t="str">
        <f t="shared" si="86"/>
        <v>-74.7296728571429</v>
      </c>
      <c r="E951" t="str">
        <f t="shared" si="87"/>
        <v>613-937-0519</v>
      </c>
      <c r="F951" t="str">
        <f t="shared" si="88"/>
        <v>K6J 3R1</v>
      </c>
      <c r="G951" t="str">
        <f t="shared" si="89"/>
        <v>[ "ListenUp! Canada", 45.0199628571429, -74.7296728571429, '613-937-0519', 'K6J 3R1'],</v>
      </c>
    </row>
    <row r="952" spans="1:7" hidden="1" x14ac:dyDescent="0.2">
      <c r="A952" t="s">
        <v>916</v>
      </c>
      <c r="B952" t="str">
        <f t="shared" si="84"/>
        <v>G&amp;S Tech-Tronics</v>
      </c>
      <c r="C952" t="str">
        <f t="shared" si="85"/>
        <v>45.30137</v>
      </c>
      <c r="D952" t="str">
        <f t="shared" si="86"/>
        <v>-74.62865</v>
      </c>
      <c r="E952" t="str">
        <f t="shared" si="87"/>
        <v>613-525-3852</v>
      </c>
      <c r="F952" t="str">
        <f t="shared" si="88"/>
        <v>K0C 1A0</v>
      </c>
      <c r="G952" t="str">
        <f t="shared" si="89"/>
        <v>[ "G&amp;S Tech-Tronics", 45.30137, -74.62865, '613-525-3852', 'K0C 1A0'],</v>
      </c>
    </row>
    <row r="953" spans="1:7" hidden="1" x14ac:dyDescent="0.2">
      <c r="A953" t="s">
        <v>918</v>
      </c>
      <c r="B953" t="str">
        <f t="shared" si="84"/>
        <v>City of Cornwall Depot</v>
      </c>
      <c r="C953" t="str">
        <f t="shared" si="85"/>
        <v>45.0381247435396</v>
      </c>
      <c r="D953" t="str">
        <f t="shared" si="86"/>
        <v>-74.8168842447786</v>
      </c>
      <c r="E953" t="str">
        <f t="shared" si="87"/>
        <v>613-930-2787</v>
      </c>
      <c r="F953" t="str">
        <f t="shared" si="88"/>
        <v>K0C 1P0</v>
      </c>
      <c r="G953" t="str">
        <f t="shared" si="89"/>
        <v>[ "City of Cornwall Depot", 45.0381247435396, -74.8168842447786, '613-930-2787', 'K0C 1P0'],</v>
      </c>
    </row>
    <row r="954" spans="1:7" hidden="1" x14ac:dyDescent="0.2">
      <c r="A954" t="s">
        <v>919</v>
      </c>
      <c r="B954" t="str">
        <f t="shared" si="84"/>
        <v>W.L.SMITH HARDWARE</v>
      </c>
      <c r="C954" t="str">
        <f t="shared" si="85"/>
        <v>44.9298593573576</v>
      </c>
      <c r="D954" t="str">
        <f t="shared" si="86"/>
        <v>-74.8905959717505</v>
      </c>
      <c r="E954" t="str">
        <f t="shared" si="87"/>
        <v>315-769-2408</v>
      </c>
      <c r="F954" t="str">
        <f t="shared" si="88"/>
        <v>13662</v>
      </c>
      <c r="G954" t="str">
        <f t="shared" si="89"/>
        <v>[ "W.L.SMITH HARDWARE", 44.9298593573576, -74.8905959717505, '315-769-2408', '13662'],</v>
      </c>
    </row>
    <row r="955" spans="1:7" hidden="1" x14ac:dyDescent="0.2">
      <c r="A955" t="s">
        <v>920</v>
      </c>
      <c r="B955" t="str">
        <f t="shared" si="84"/>
        <v>Home Depot</v>
      </c>
      <c r="C955" t="str">
        <f t="shared" si="85"/>
        <v>45.0379267646816</v>
      </c>
      <c r="D955" t="str">
        <f t="shared" si="86"/>
        <v>-74.7607134190964</v>
      </c>
      <c r="E955" t="str">
        <f t="shared" si="87"/>
        <v>613-930-4470</v>
      </c>
      <c r="F955" t="str">
        <f t="shared" si="88"/>
        <v>K6J 5X7</v>
      </c>
      <c r="G955" t="str">
        <f t="shared" si="89"/>
        <v>[ "Home Depot", 45.0379267646816, -74.7607134190964, '613-930-4470', 'K6J 5X7'],</v>
      </c>
    </row>
    <row r="956" spans="1:7" hidden="1" x14ac:dyDescent="0.2">
      <c r="A956" t="s">
        <v>921</v>
      </c>
      <c r="B956" t="str">
        <f t="shared" si="84"/>
        <v>The Home Depot</v>
      </c>
      <c r="C956" t="str">
        <f t="shared" si="85"/>
        <v>44.9258016326531</v>
      </c>
      <c r="D956" t="str">
        <f t="shared" si="86"/>
        <v>-74.8749063265306</v>
      </c>
      <c r="E956" t="str">
        <f t="shared" si="87"/>
        <v>315-764-9930</v>
      </c>
      <c r="F956" t="str">
        <f t="shared" si="88"/>
        <v>13662</v>
      </c>
      <c r="G956" t="str">
        <f t="shared" si="89"/>
        <v>[ "The Home Depot", 44.9258016326531, -74.8749063265306, '315-764-9930', '13662'],</v>
      </c>
    </row>
    <row r="957" spans="1:7" x14ac:dyDescent="0.2">
      <c r="A957" t="s">
        <v>922</v>
      </c>
      <c r="B957" t="str">
        <f t="shared" si="84"/>
        <v>Staples</v>
      </c>
      <c r="C957" t="str">
        <f t="shared" si="85"/>
        <v>45.0287936</v>
      </c>
      <c r="D957" t="str">
        <f t="shared" si="86"/>
        <v>-74.7346015</v>
      </c>
      <c r="E957" t="str">
        <f t="shared" si="87"/>
        <v>613-936-6952</v>
      </c>
      <c r="F957" t="str">
        <f t="shared" si="88"/>
        <v>K6H 6R3</v>
      </c>
      <c r="G957" t="str">
        <f t="shared" si="89"/>
        <v>[ "Staples", 45.0287936, -74.7346015, '613-936-6952', 'K6H 6R3'],</v>
      </c>
    </row>
    <row r="958" spans="1:7" hidden="1" x14ac:dyDescent="0.2">
      <c r="A958" t="s">
        <v>923</v>
      </c>
      <c r="B958" t="str">
        <f t="shared" si="84"/>
        <v>ListenUp! Canada</v>
      </c>
      <c r="C958" t="str">
        <f t="shared" si="85"/>
        <v>45.0199628571429</v>
      </c>
      <c r="D958" t="str">
        <f t="shared" si="86"/>
        <v>-74.7296728571429</v>
      </c>
      <c r="E958" t="str">
        <f t="shared" si="87"/>
        <v>613-937-0519</v>
      </c>
      <c r="F958" t="str">
        <f t="shared" si="88"/>
        <v>K6J 3R1</v>
      </c>
      <c r="G958" t="str">
        <f t="shared" si="89"/>
        <v>[ "ListenUp! Canada", 45.0199628571429, -74.7296728571429, '613-937-0519', 'K6J 3R1'],</v>
      </c>
    </row>
    <row r="959" spans="1:7" hidden="1" x14ac:dyDescent="0.2">
      <c r="A959" t="s">
        <v>924</v>
      </c>
      <c r="B959" t="str">
        <f t="shared" si="84"/>
        <v>Massena Transfer Station</v>
      </c>
      <c r="C959" t="str">
        <f t="shared" si="85"/>
        <v>44.896373301664</v>
      </c>
      <c r="D959" t="str">
        <f t="shared" si="86"/>
        <v>-74.879431337665</v>
      </c>
      <c r="E959" t="str">
        <f t="shared" si="87"/>
        <v>315-764-7312</v>
      </c>
      <c r="F959" t="str">
        <f t="shared" si="88"/>
        <v>13662</v>
      </c>
      <c r="G959" t="str">
        <f t="shared" si="89"/>
        <v>[ "Massena Transfer Station", 44.896373301664, -74.879431337665, '315-764-7312', '13662'],</v>
      </c>
    </row>
    <row r="960" spans="1:7" hidden="1" x14ac:dyDescent="0.2">
      <c r="A960" t="s">
        <v>925</v>
      </c>
      <c r="B960" t="str">
        <f t="shared" si="84"/>
        <v>RONA</v>
      </c>
      <c r="C960" t="str">
        <f t="shared" si="85"/>
        <v>45.03381</v>
      </c>
      <c r="D960" t="str">
        <f t="shared" si="86"/>
        <v>-74.71658</v>
      </c>
      <c r="E960" t="str">
        <f t="shared" si="87"/>
        <v>613-938-3300</v>
      </c>
      <c r="F960" t="str">
        <f t="shared" si="88"/>
        <v>K6H 2W8</v>
      </c>
      <c r="G960" t="str">
        <f t="shared" si="89"/>
        <v>[ "RONA", 45.03381, -74.71658, '613-938-3300', 'K6H 2W8'],</v>
      </c>
    </row>
    <row r="961" spans="1:7" hidden="1" x14ac:dyDescent="0.2">
      <c r="A961" t="s">
        <v>927</v>
      </c>
      <c r="B961" t="str">
        <f t="shared" ref="B961:B1014" si="90">MID(A961,SEARCH("name"&amp;CHAR(34)&amp;":"&amp;CHAR(34),A961)+7,SEARCH(CHAR(34)&amp;", "&amp;CHAR(34)&amp;"locationlinkurl",A961)-SEARCH("name"&amp;CHAR(34)&amp;":"&amp;CHAR(34),A961)-7)</f>
        <v>Township of North Dundas</v>
      </c>
      <c r="C961" t="str">
        <f t="shared" ref="C961:C1014" si="91">MID(A961,SEARCH(CHAR(34)&amp;"latitude"&amp;CHAR(34)&amp;":"&amp;CHAR(34),A961)+12,SEARCH(CHAR(34)&amp;", "&amp;CHAR(34)&amp;"url"&amp;CHAR(34),A961)-SEARCH(CHAR(34)&amp;"latitude"&amp;CHAR(34)&amp;":"&amp;CHAR(34),A961)-12)</f>
        <v>45.1045758467051</v>
      </c>
      <c r="D961" t="str">
        <f t="shared" ref="D961:D1014" si="92">MID(A961,SEARCH(CHAR(34)&amp;"longitude"&amp;CHAR(34)&amp;":"&amp;CHAR(34),A961)+13,SEARCH(CHAR(34)&amp;", "&amp;CHAR(34)&amp;"uid"&amp;CHAR(34),A961)-SEARCH(CHAR(34)&amp;"longitude"&amp;CHAR(34)&amp;":"&amp;CHAR(34),A961)-13)</f>
        <v>-75.3214423553231</v>
      </c>
      <c r="E961" t="str">
        <f t="shared" ref="E961:E1014" si="93">MID(A961,SEARCH(CHAR(34)&amp;"phone"&amp;CHAR(34)&amp;":"&amp;CHAR(34),A961)+9,SEARCH(CHAR(34)&amp;", "&amp;CHAR(34)&amp;"address2"&amp;CHAR(34),A961)-SEARCH(CHAR(34)&amp;"phone"&amp;CHAR(34)&amp;":"&amp;CHAR(34),A961)-9)</f>
        <v>613-774-5157</v>
      </c>
      <c r="F961" t="str">
        <f t="shared" ref="F961:F1014" si="94">MID(A961,SEARCH(CHAR(34)&amp;"postalcode"&amp;CHAR(34)&amp;":"&amp;CHAR(34),A961)+14,SEARCH(CHAR(34)&amp;", "&amp;CHAR(34)&amp;"province"&amp;CHAR(34),A961)-SEARCH(CHAR(34)&amp;"postalcode"&amp;CHAR(34)&amp;":"&amp;CHAR(34),A961)-14)</f>
        <v>K0C 2K0</v>
      </c>
      <c r="G961" t="str">
        <f t="shared" ref="G961:G1014" si="95">"[ "&amp;CHAR(34)&amp;B961&amp;CHAR(34)&amp;", "&amp;C961&amp;", "&amp;D961&amp;", '"&amp;E961&amp;"', '"&amp;F961&amp;"'],"</f>
        <v>[ "Township of North Dundas", 45.1045758467051, -75.3214423553231, '613-774-5157', 'K0C 2K0'],</v>
      </c>
    </row>
    <row r="962" spans="1:7" hidden="1" x14ac:dyDescent="0.2">
      <c r="A962" t="s">
        <v>928</v>
      </c>
      <c r="B962" t="str">
        <f t="shared" si="90"/>
        <v>Barrys Home Hardware</v>
      </c>
      <c r="C962" t="str">
        <f t="shared" si="91"/>
        <v>45.25691</v>
      </c>
      <c r="D962" t="str">
        <f t="shared" si="92"/>
        <v>-75.3704</v>
      </c>
      <c r="E962" t="str">
        <f t="shared" si="93"/>
        <v>613-445-2171</v>
      </c>
      <c r="F962" t="str">
        <f t="shared" si="94"/>
        <v>K4R 1A1</v>
      </c>
      <c r="G962" t="str">
        <f t="shared" si="95"/>
        <v>[ "Barrys Home Hardware", 45.25691, -75.3704, '613-445-2171', 'K4R 1A1'],</v>
      </c>
    </row>
    <row r="963" spans="1:7" hidden="1" x14ac:dyDescent="0.2">
      <c r="A963" t="s">
        <v>929</v>
      </c>
      <c r="B963" t="str">
        <f t="shared" si="90"/>
        <v>Township of Russell</v>
      </c>
      <c r="C963" t="str">
        <f t="shared" si="91"/>
        <v>45.2672597504255</v>
      </c>
      <c r="D963" t="str">
        <f t="shared" si="92"/>
        <v>-75.3059172717022</v>
      </c>
      <c r="E963" t="str">
        <f t="shared" si="93"/>
        <v>613-443-3066</v>
      </c>
      <c r="F963" t="str">
        <f t="shared" si="94"/>
        <v>K0A 1W1</v>
      </c>
      <c r="G963" t="str">
        <f t="shared" si="95"/>
        <v>[ "Township of Russell", 45.2672597504255, -75.3059172717022, '613-443-3066', 'K0A 1W1'],</v>
      </c>
    </row>
    <row r="964" spans="1:7" hidden="1" x14ac:dyDescent="0.2">
      <c r="A964" t="s">
        <v>930</v>
      </c>
      <c r="B964" t="str">
        <f t="shared" si="90"/>
        <v>The Source</v>
      </c>
      <c r="C964" t="str">
        <f t="shared" si="91"/>
        <v>45.26869</v>
      </c>
      <c r="D964" t="str">
        <f t="shared" si="92"/>
        <v>-75.29589</v>
      </c>
      <c r="E964" t="str">
        <f t="shared" si="93"/>
        <v>613-443-5642</v>
      </c>
      <c r="F964" t="str">
        <f t="shared" si="94"/>
        <v>K0A 1W1</v>
      </c>
      <c r="G964" t="str">
        <f t="shared" si="95"/>
        <v>[ "The Source", 45.26869, -75.29589, '613-443-5642', 'K0A 1W1'],</v>
      </c>
    </row>
    <row r="965" spans="1:7" hidden="1" x14ac:dyDescent="0.2">
      <c r="A965" t="s">
        <v>1515</v>
      </c>
      <c r="B965" t="str">
        <f t="shared" si="90"/>
        <v>Lowes</v>
      </c>
      <c r="C965" t="str">
        <f t="shared" si="91"/>
        <v>45.4522183636364</v>
      </c>
      <c r="D965" t="str">
        <f t="shared" si="92"/>
        <v>-75.513188</v>
      </c>
      <c r="E965" t="str">
        <f t="shared" si="93"/>
        <v>613-830-6370</v>
      </c>
      <c r="F965" t="str">
        <f t="shared" si="94"/>
        <v>K1W 0C8</v>
      </c>
      <c r="G965" t="str">
        <f t="shared" si="95"/>
        <v>[ "Lowes", 45.4522183636364, -75.513188, '613-830-6370', 'K1W 0C8'],</v>
      </c>
    </row>
    <row r="966" spans="1:7" hidden="1" x14ac:dyDescent="0.2">
      <c r="A966" t="s">
        <v>1516</v>
      </c>
      <c r="B966" t="str">
        <f t="shared" si="90"/>
        <v>Canadian Tire</v>
      </c>
      <c r="C966" t="str">
        <f t="shared" si="91"/>
        <v>45.4534743243243</v>
      </c>
      <c r="D966" t="str">
        <f t="shared" si="92"/>
        <v>-75.5100754054054</v>
      </c>
      <c r="E966" t="str">
        <f t="shared" si="93"/>
        <v>613-830-7000</v>
      </c>
      <c r="F966" t="str">
        <f t="shared" si="94"/>
        <v>K1W 1K9</v>
      </c>
      <c r="G966" t="str">
        <f t="shared" si="95"/>
        <v>[ "Canadian Tire", 45.4534743243243, -75.5100754054054, '613-830-7000', 'K1W 1K9'],</v>
      </c>
    </row>
    <row r="967" spans="1:7" hidden="1" x14ac:dyDescent="0.2">
      <c r="A967" t="s">
        <v>1517</v>
      </c>
      <c r="B967" t="str">
        <f t="shared" si="90"/>
        <v>Canadian Tire</v>
      </c>
      <c r="C967" t="str">
        <f t="shared" si="91"/>
        <v>45.4534743243243</v>
      </c>
      <c r="D967" t="str">
        <f t="shared" si="92"/>
        <v>-75.5100754054054</v>
      </c>
      <c r="E967" t="str">
        <f t="shared" si="93"/>
        <v>613-830-7000</v>
      </c>
      <c r="F967" t="str">
        <f t="shared" si="94"/>
        <v>K1W 1K9</v>
      </c>
      <c r="G967" t="str">
        <f t="shared" si="95"/>
        <v>[ "Canadian Tire", 45.4534743243243, -75.5100754054054, '613-830-7000', 'K1W 1K9'],</v>
      </c>
    </row>
    <row r="968" spans="1:7" x14ac:dyDescent="0.2">
      <c r="A968" t="s">
        <v>1518</v>
      </c>
      <c r="B968" t="str">
        <f t="shared" si="90"/>
        <v>Best Buy Canada</v>
      </c>
      <c r="C968" t="str">
        <f t="shared" si="91"/>
        <v>45.4536775966727</v>
      </c>
      <c r="D968" t="str">
        <f t="shared" si="92"/>
        <v>-75.5036228822974</v>
      </c>
      <c r="E968" t="str">
        <f t="shared" si="93"/>
        <v>613-830-2706</v>
      </c>
      <c r="F968" t="str">
        <f t="shared" si="94"/>
        <v>K4A 0G2</v>
      </c>
      <c r="G968" t="str">
        <f t="shared" si="95"/>
        <v>[ "Best Buy Canada", 45.4536775966727, -75.5036228822974, '613-830-2706', 'K4A 0G2'],</v>
      </c>
    </row>
    <row r="969" spans="1:7" hidden="1" x14ac:dyDescent="0.2">
      <c r="A969" t="s">
        <v>1519</v>
      </c>
      <c r="B969" t="str">
        <f t="shared" si="90"/>
        <v>Home Depot</v>
      </c>
      <c r="C969" t="str">
        <f t="shared" si="91"/>
        <v>45.4570914285714</v>
      </c>
      <c r="D969" t="str">
        <f t="shared" si="92"/>
        <v>-75.4856696428571</v>
      </c>
      <c r="E969" t="str">
        <f t="shared" si="93"/>
        <v>613-590-2030</v>
      </c>
      <c r="F969" t="str">
        <f t="shared" si="94"/>
        <v>K4A 4C5</v>
      </c>
      <c r="G969" t="str">
        <f t="shared" si="95"/>
        <v>[ "Home Depot", 45.4570914285714, -75.4856696428571, '613-590-2030', 'K4A 4C5'],</v>
      </c>
    </row>
    <row r="970" spans="1:7" x14ac:dyDescent="0.2">
      <c r="A970" t="s">
        <v>1520</v>
      </c>
      <c r="B970" t="str">
        <f t="shared" si="90"/>
        <v>Staples</v>
      </c>
      <c r="C970" t="str">
        <f t="shared" si="91"/>
        <v>45.458575</v>
      </c>
      <c r="D970" t="str">
        <f t="shared" si="92"/>
        <v>-75.4846337</v>
      </c>
      <c r="E970" t="str">
        <f t="shared" si="93"/>
        <v>613-830-8100</v>
      </c>
      <c r="F970" t="str">
        <f t="shared" si="94"/>
        <v>K4A 4C5</v>
      </c>
      <c r="G970" t="str">
        <f t="shared" si="95"/>
        <v>[ "Staples", 45.458575, -75.4846337, '613-830-8100', 'K4A 4C5'],</v>
      </c>
    </row>
    <row r="971" spans="1:7" hidden="1" x14ac:dyDescent="0.2">
      <c r="A971" t="s">
        <v>1521</v>
      </c>
      <c r="B971" t="str">
        <f t="shared" si="90"/>
        <v>RONA</v>
      </c>
      <c r="C971" t="str">
        <f t="shared" si="91"/>
        <v>45.41724</v>
      </c>
      <c r="D971" t="str">
        <f t="shared" si="92"/>
        <v>-75.60051</v>
      </c>
      <c r="E971" t="str">
        <f t="shared" si="93"/>
        <v>613-741-6331</v>
      </c>
      <c r="F971" t="str">
        <f t="shared" si="94"/>
        <v>K1B 3K5</v>
      </c>
      <c r="G971" t="str">
        <f t="shared" si="95"/>
        <v>[ "RONA", 45.41724, -75.60051, '613-741-6331', 'K1B 3K5'],</v>
      </c>
    </row>
    <row r="972" spans="1:7" hidden="1" x14ac:dyDescent="0.2">
      <c r="A972" t="s">
        <v>1522</v>
      </c>
      <c r="B972" t="str">
        <f t="shared" si="90"/>
        <v>Home Depot</v>
      </c>
      <c r="C972" t="str">
        <f t="shared" si="91"/>
        <v>45.4179784782657</v>
      </c>
      <c r="D972" t="str">
        <f t="shared" si="92"/>
        <v>-75.6091016638989</v>
      </c>
      <c r="E972" t="str">
        <f t="shared" si="93"/>
        <v>613-744-1700</v>
      </c>
      <c r="F972" t="str">
        <f t="shared" si="94"/>
        <v>K1B 3L8</v>
      </c>
      <c r="G972" t="str">
        <f t="shared" si="95"/>
        <v>[ "Home Depot", 45.4179784782657, -75.6091016638989, '613-744-1700', 'K1B 3L8'],</v>
      </c>
    </row>
    <row r="973" spans="1:7" hidden="1" x14ac:dyDescent="0.2">
      <c r="A973" t="s">
        <v>1523</v>
      </c>
      <c r="B973" t="str">
        <f t="shared" si="90"/>
        <v>Princess Auto</v>
      </c>
      <c r="C973" t="str">
        <f t="shared" si="91"/>
        <v>45.3843547110849</v>
      </c>
      <c r="D973" t="str">
        <f t="shared" si="92"/>
        <v>-75.6101776002356</v>
      </c>
      <c r="E973" t="str">
        <f t="shared" si="93"/>
        <v>613-247-1657</v>
      </c>
      <c r="F973" t="str">
        <f t="shared" si="94"/>
        <v>K1G 6L3</v>
      </c>
      <c r="G973" t="str">
        <f t="shared" si="95"/>
        <v>[ "Princess Auto", 45.3843547110849, -75.6101776002356, '613-247-1657', 'K1G 6L3'],</v>
      </c>
    </row>
    <row r="974" spans="1:7" hidden="1" x14ac:dyDescent="0.2">
      <c r="A974" t="s">
        <v>1524</v>
      </c>
      <c r="B974" t="str">
        <f t="shared" si="90"/>
        <v>Beacon Hill Home Hardware</v>
      </c>
      <c r="C974" t="str">
        <f t="shared" si="91"/>
        <v>45.4460917428953</v>
      </c>
      <c r="D974" t="str">
        <f t="shared" si="92"/>
        <v>-75.5968989427697</v>
      </c>
      <c r="E974" t="str">
        <f t="shared" si="93"/>
        <v>613-421-3223</v>
      </c>
      <c r="F974" t="str">
        <f t="shared" si="94"/>
        <v>K1J 6N2</v>
      </c>
      <c r="G974" t="str">
        <f t="shared" si="95"/>
        <v>[ "Beacon Hill Home Hardware", 45.4460917428953, -75.5968989427697, '613-421-3223', 'K1J 6N2'],</v>
      </c>
    </row>
    <row r="975" spans="1:7" x14ac:dyDescent="0.2">
      <c r="A975" t="s">
        <v>1525</v>
      </c>
      <c r="B975" t="str">
        <f t="shared" si="90"/>
        <v>Best Buy</v>
      </c>
      <c r="C975" t="str">
        <f t="shared" si="91"/>
        <v>45.48038</v>
      </c>
      <c r="D975" t="str">
        <f t="shared" si="92"/>
        <v>-75.51368</v>
      </c>
      <c r="E975" t="str">
        <f t="shared" si="93"/>
        <v>--</v>
      </c>
      <c r="F975" t="str">
        <f t="shared" si="94"/>
        <v>K1C 2L9</v>
      </c>
      <c r="G975" t="str">
        <f t="shared" si="95"/>
        <v>[ "Best Buy", 45.48038, -75.51368, '--', 'K1C 2L9'],</v>
      </c>
    </row>
    <row r="976" spans="1:7" hidden="1" x14ac:dyDescent="0.2">
      <c r="A976" t="s">
        <v>1526</v>
      </c>
      <c r="B976" t="str">
        <f t="shared" si="90"/>
        <v>Elmvale Acres Home Hardwa</v>
      </c>
      <c r="C976" t="str">
        <f t="shared" si="91"/>
        <v>45.4002090986522</v>
      </c>
      <c r="D976" t="str">
        <f t="shared" si="92"/>
        <v>-75.6239131831087</v>
      </c>
      <c r="E976" t="str">
        <f t="shared" si="93"/>
        <v>613-731-4492</v>
      </c>
      <c r="F976" t="str">
        <f t="shared" si="94"/>
        <v>K1G 1A4</v>
      </c>
      <c r="G976" t="str">
        <f t="shared" si="95"/>
        <v>[ "Elmvale Acres Home Hardwa", 45.4002090986522, -75.6239131831087, '613-731-4492', 'K1G 1A4'],</v>
      </c>
    </row>
    <row r="977" spans="1:7" hidden="1" x14ac:dyDescent="0.2">
      <c r="A977" t="s">
        <v>1527</v>
      </c>
      <c r="B977" t="str">
        <f t="shared" si="90"/>
        <v>DeWalt Factory Service (Canada)</v>
      </c>
      <c r="C977" t="str">
        <f t="shared" si="91"/>
        <v>45.40523</v>
      </c>
      <c r="D977" t="str">
        <f t="shared" si="92"/>
        <v>-75.6249</v>
      </c>
      <c r="E977" t="str">
        <f t="shared" si="93"/>
        <v>613-724-7724</v>
      </c>
      <c r="F977" t="str">
        <f t="shared" si="94"/>
        <v>K1B 4K9</v>
      </c>
      <c r="G977" t="str">
        <f t="shared" si="95"/>
        <v>[ "DeWalt Factory Service (Canada)", 45.40523, -75.6249, '613-724-7724', 'K1B 4K9'],</v>
      </c>
    </row>
    <row r="978" spans="1:7" hidden="1" x14ac:dyDescent="0.2">
      <c r="A978" t="s">
        <v>1528</v>
      </c>
      <c r="B978" t="str">
        <f t="shared" si="90"/>
        <v>Lumen Ottawa</v>
      </c>
      <c r="C978" t="str">
        <f t="shared" si="91"/>
        <v>45.4117217563782</v>
      </c>
      <c r="D978" t="str">
        <f t="shared" si="92"/>
        <v>-75.6308675014007</v>
      </c>
      <c r="E978" t="str">
        <f t="shared" si="93"/>
        <v>613-789-7500</v>
      </c>
      <c r="F978" t="str">
        <f t="shared" si="94"/>
        <v>K1G 4A2</v>
      </c>
      <c r="G978" t="str">
        <f t="shared" si="95"/>
        <v>[ "Lumen Ottawa", 45.4117217563782, -75.6308675014007, '613-789-7500', 'K1G 4A2'],</v>
      </c>
    </row>
    <row r="979" spans="1:7" hidden="1" x14ac:dyDescent="0.2">
      <c r="A979" t="s">
        <v>1529</v>
      </c>
      <c r="B979" t="str">
        <f t="shared" si="90"/>
        <v>Batteries Expert</v>
      </c>
      <c r="C979" t="str">
        <f t="shared" si="91"/>
        <v>45.4886201812424</v>
      </c>
      <c r="D979" t="str">
        <f t="shared" si="92"/>
        <v>-75.4804453082725</v>
      </c>
      <c r="E979" t="str">
        <f t="shared" si="93"/>
        <v>613-590-9352</v>
      </c>
      <c r="F979" t="str">
        <f t="shared" si="94"/>
        <v>K1C 1T1</v>
      </c>
      <c r="G979" t="str">
        <f t="shared" si="95"/>
        <v>[ "Batteries Expert", 45.4886201812424, -75.4804453082725, '613-590-9352', 'K1C 1T1'],</v>
      </c>
    </row>
    <row r="980" spans="1:7" x14ac:dyDescent="0.2">
      <c r="A980" t="s">
        <v>1530</v>
      </c>
      <c r="B980" t="str">
        <f t="shared" si="90"/>
        <v>Staples</v>
      </c>
      <c r="C980" t="str">
        <f t="shared" si="91"/>
        <v>45.4290385029338</v>
      </c>
      <c r="D980" t="str">
        <f t="shared" si="92"/>
        <v>-75.637466705784</v>
      </c>
      <c r="E980" t="str">
        <f t="shared" si="93"/>
        <v>613-741-3416</v>
      </c>
      <c r="F980" t="str">
        <f t="shared" si="94"/>
        <v>K1K 4E6</v>
      </c>
      <c r="G980" t="str">
        <f t="shared" si="95"/>
        <v>[ "Staples", 45.4290385029338, -75.637466705784, '613-741-3416', 'K1K 4E6'],</v>
      </c>
    </row>
    <row r="981" spans="1:7" hidden="1" x14ac:dyDescent="0.2">
      <c r="A981" t="s">
        <v>1531</v>
      </c>
      <c r="B981" t="str">
        <f t="shared" si="90"/>
        <v>Turris Communications</v>
      </c>
      <c r="C981" t="str">
        <f t="shared" si="91"/>
        <v>45.4113795141984</v>
      </c>
      <c r="D981" t="str">
        <f t="shared" si="92"/>
        <v>-75.6437036475637</v>
      </c>
      <c r="E981" t="str">
        <f t="shared" si="93"/>
        <v>613-739-7243</v>
      </c>
      <c r="F981" t="str">
        <f t="shared" si="94"/>
        <v>K1G 0Y9</v>
      </c>
      <c r="G981" t="str">
        <f t="shared" si="95"/>
        <v>[ "Turris Communications", 45.4113795141984, -75.6437036475637, '613-739-7243', 'K1G 0Y9'],</v>
      </c>
    </row>
    <row r="982" spans="1:7" hidden="1" x14ac:dyDescent="0.2">
      <c r="A982" t="s">
        <v>1532</v>
      </c>
      <c r="B982" t="str">
        <f t="shared" si="90"/>
        <v>Fastenal</v>
      </c>
      <c r="C982" t="str">
        <f t="shared" si="91"/>
        <v>45.411733431959</v>
      </c>
      <c r="D982" t="str">
        <f t="shared" si="92"/>
        <v>-75.6472648523287</v>
      </c>
      <c r="E982" t="str">
        <f t="shared" si="93"/>
        <v>613-745-9022</v>
      </c>
      <c r="F982" t="str">
        <f t="shared" si="94"/>
        <v>K1G 0Z1</v>
      </c>
      <c r="G982" t="str">
        <f t="shared" si="95"/>
        <v>[ "Fastenal", 45.411733431959, -75.6472648523287, '613-745-9022', 'K1G 0Z1'],</v>
      </c>
    </row>
    <row r="983" spans="1:7" hidden="1" x14ac:dyDescent="0.2">
      <c r="A983" t="s">
        <v>1533</v>
      </c>
      <c r="B983" t="str">
        <f t="shared" si="90"/>
        <v>ListenUp! Canada</v>
      </c>
      <c r="C983" t="str">
        <f t="shared" si="91"/>
        <v>45.44226</v>
      </c>
      <c r="D983" t="str">
        <f t="shared" si="92"/>
        <v>-75.64335</v>
      </c>
      <c r="E983" t="str">
        <f t="shared" si="93"/>
        <v>613-742-6666</v>
      </c>
      <c r="F983" t="str">
        <f t="shared" si="94"/>
        <v>K1K 4K4</v>
      </c>
      <c r="G983" t="str">
        <f t="shared" si="95"/>
        <v>[ "ListenUp! Canada", 45.44226, -75.64335, '613-742-6666', 'K1K 4K4'],</v>
      </c>
    </row>
    <row r="984" spans="1:7" hidden="1" x14ac:dyDescent="0.2">
      <c r="A984" t="s">
        <v>1534</v>
      </c>
      <c r="B984" t="str">
        <f t="shared" si="90"/>
        <v>Uniprix</v>
      </c>
      <c r="C984" t="str">
        <f t="shared" si="91"/>
        <v>45.489553</v>
      </c>
      <c r="D984" t="str">
        <f t="shared" si="92"/>
        <v>-75.5962411</v>
      </c>
      <c r="E984" t="str">
        <f t="shared" si="93"/>
        <v>819-663-2727</v>
      </c>
      <c r="F984" t="str">
        <f t="shared" si="94"/>
        <v>J8P 1H5</v>
      </c>
      <c r="G984" t="str">
        <f t="shared" si="95"/>
        <v>[ "Uniprix", 45.489553, -75.5962411, '819-663-2727', 'J8P 1H5'],</v>
      </c>
    </row>
    <row r="985" spans="1:7" hidden="1" x14ac:dyDescent="0.2">
      <c r="A985" t="s">
        <v>1535</v>
      </c>
      <c r="B985" t="str">
        <f t="shared" si="90"/>
        <v>Jean Coutu</v>
      </c>
      <c r="C985" t="str">
        <f t="shared" si="91"/>
        <v>45.488788</v>
      </c>
      <c r="D985" t="str">
        <f t="shared" si="92"/>
        <v>-75.5985881</v>
      </c>
      <c r="E985" t="str">
        <f t="shared" si="93"/>
        <v>819-663-3582</v>
      </c>
      <c r="F985" t="str">
        <f t="shared" si="94"/>
        <v>J8P 1H5</v>
      </c>
      <c r="G985" t="str">
        <f t="shared" si="95"/>
        <v>[ "Jean Coutu", 45.488788, -75.5985881, '819-663-3582', 'J8P 1H5'],</v>
      </c>
    </row>
    <row r="986" spans="1:7" hidden="1" x14ac:dyDescent="0.2">
      <c r="A986" t="s">
        <v>1536</v>
      </c>
      <c r="B986" t="str">
        <f t="shared" si="90"/>
        <v>Jean Coutu</v>
      </c>
      <c r="C986" t="str">
        <f t="shared" si="91"/>
        <v>45.43642</v>
      </c>
      <c r="D986" t="str">
        <f t="shared" si="92"/>
        <v>-75.66076</v>
      </c>
      <c r="E986" t="str">
        <f t="shared" si="93"/>
        <v>613-749-5957</v>
      </c>
      <c r="F986" t="str">
        <f t="shared" si="94"/>
        <v>K1L 6C3</v>
      </c>
      <c r="G986" t="str">
        <f t="shared" si="95"/>
        <v>[ "Jean Coutu", 45.43642, -75.66076, '613-749-5957', 'K1L 6C3'],</v>
      </c>
    </row>
    <row r="987" spans="1:7" hidden="1" x14ac:dyDescent="0.2">
      <c r="A987" t="s">
        <v>1537</v>
      </c>
      <c r="B987" t="str">
        <f t="shared" si="90"/>
        <v>ListenUp! Canada</v>
      </c>
      <c r="C987" t="str">
        <f t="shared" si="91"/>
        <v>45.3539</v>
      </c>
      <c r="D987" t="str">
        <f t="shared" si="92"/>
        <v>-75.64844</v>
      </c>
      <c r="E987" t="str">
        <f t="shared" si="93"/>
        <v>613-521-0904</v>
      </c>
      <c r="F987" t="str">
        <f t="shared" si="94"/>
        <v>K1V 0T7</v>
      </c>
      <c r="G987" t="str">
        <f t="shared" si="95"/>
        <v>[ "ListenUp! Canada", 45.3539, -75.64844, '613-521-0904', 'K1V 0T7'],</v>
      </c>
    </row>
    <row r="988" spans="1:7" x14ac:dyDescent="0.2">
      <c r="A988" t="s">
        <v>1538</v>
      </c>
      <c r="B988" t="str">
        <f t="shared" si="90"/>
        <v>Staples</v>
      </c>
      <c r="C988" t="str">
        <f t="shared" si="91"/>
        <v>45.3573151020408</v>
      </c>
      <c r="D988" t="str">
        <f t="shared" si="92"/>
        <v>-75.6538102040816</v>
      </c>
      <c r="E988" t="str">
        <f t="shared" si="93"/>
        <v>613-521-3030</v>
      </c>
      <c r="F988" t="str">
        <f t="shared" si="94"/>
        <v>K1V 1J5</v>
      </c>
      <c r="G988" t="str">
        <f t="shared" si="95"/>
        <v>[ "Staples", 45.3573151020408, -75.6538102040816, '613-521-3030', 'K1V 1J5'],</v>
      </c>
    </row>
    <row r="989" spans="1:7" hidden="1" x14ac:dyDescent="0.2">
      <c r="A989" t="s">
        <v>1539</v>
      </c>
      <c r="B989" t="str">
        <f t="shared" si="90"/>
        <v>The Source</v>
      </c>
      <c r="C989" t="str">
        <f t="shared" si="91"/>
        <v>45.3573151020408</v>
      </c>
      <c r="D989" t="str">
        <f t="shared" si="92"/>
        <v>-75.6538102040816</v>
      </c>
      <c r="E989" t="str">
        <f t="shared" si="93"/>
        <v>613-733-1891</v>
      </c>
      <c r="F989" t="str">
        <f t="shared" si="94"/>
        <v>K1V 1J5</v>
      </c>
      <c r="G989" t="str">
        <f t="shared" si="95"/>
        <v>[ "The Source", 45.3573151020408, -75.6538102040816, '613-733-1891', 'K1V 1J5'],</v>
      </c>
    </row>
    <row r="990" spans="1:7" hidden="1" x14ac:dyDescent="0.2">
      <c r="A990" t="s">
        <v>1540</v>
      </c>
      <c r="B990" t="str">
        <f t="shared" si="90"/>
        <v>Home Depot</v>
      </c>
      <c r="C990" t="str">
        <f t="shared" si="91"/>
        <v>45.3633490771332</v>
      </c>
      <c r="D990" t="str">
        <f t="shared" si="92"/>
        <v>-75.658896395124</v>
      </c>
      <c r="E990" t="str">
        <f t="shared" si="93"/>
        <v>613-739-5300</v>
      </c>
      <c r="F990" t="str">
        <f t="shared" si="94"/>
        <v>K1V 7Z8</v>
      </c>
      <c r="G990" t="str">
        <f t="shared" si="95"/>
        <v>[ "Home Depot", 45.3633490771332, -75.658896395124, '613-739-5300', 'K1V 7Z8'],</v>
      </c>
    </row>
    <row r="991" spans="1:7" hidden="1" x14ac:dyDescent="0.2">
      <c r="A991" t="s">
        <v>1541</v>
      </c>
      <c r="B991" t="str">
        <f t="shared" si="90"/>
        <v>The Source</v>
      </c>
      <c r="C991" t="str">
        <f t="shared" si="91"/>
        <v>45.386778716225</v>
      </c>
      <c r="D991" t="str">
        <f t="shared" si="92"/>
        <v>-75.6796023225593</v>
      </c>
      <c r="E991" t="str">
        <f t="shared" si="93"/>
        <v>613-737-1079</v>
      </c>
      <c r="F991" t="str">
        <f t="shared" si="94"/>
        <v>K1H 8K2</v>
      </c>
      <c r="G991" t="str">
        <f t="shared" si="95"/>
        <v>[ "The Source", 45.386778716225, -75.6796023225593, '613-737-1079', 'K1H 8K2'],</v>
      </c>
    </row>
    <row r="992" spans="1:7" hidden="1" x14ac:dyDescent="0.2">
      <c r="A992" t="s">
        <v>1542</v>
      </c>
      <c r="B992" t="str">
        <f t="shared" si="90"/>
        <v>The Source</v>
      </c>
      <c r="C992" t="str">
        <f t="shared" si="91"/>
        <v>45.3996469</v>
      </c>
      <c r="D992" t="str">
        <f t="shared" si="92"/>
        <v>-75.6837603</v>
      </c>
      <c r="E992" t="str">
        <f t="shared" si="93"/>
        <v>613-565-4808</v>
      </c>
      <c r="F992" t="str">
        <f t="shared" si="94"/>
        <v>K1S 5J3</v>
      </c>
      <c r="G992" t="str">
        <f t="shared" si="95"/>
        <v>[ "The Source", 45.3996469, -75.6837603, '613-565-4808', 'K1S 5J3'],</v>
      </c>
    </row>
    <row r="993" spans="1:7" hidden="1" x14ac:dyDescent="0.2">
      <c r="A993" t="s">
        <v>1543</v>
      </c>
      <c r="B993" t="str">
        <f t="shared" si="90"/>
        <v>ListenUp! Canada</v>
      </c>
      <c r="C993" t="str">
        <f t="shared" si="91"/>
        <v>45.4109122222222</v>
      </c>
      <c r="D993" t="str">
        <f t="shared" si="92"/>
        <v>-75.6928911111111</v>
      </c>
      <c r="E993" t="str">
        <f t="shared" si="93"/>
        <v>613-238-6839</v>
      </c>
      <c r="F993" t="str">
        <f t="shared" si="94"/>
        <v>K2P 1Z2</v>
      </c>
      <c r="G993" t="str">
        <f t="shared" si="95"/>
        <v>[ "ListenUp! Canada", 45.4109122222222, -75.6928911111111, '613-238-6839', 'K2P 1Z2'],</v>
      </c>
    </row>
    <row r="994" spans="1:7" x14ac:dyDescent="0.2">
      <c r="A994" t="s">
        <v>1544</v>
      </c>
      <c r="B994" t="str">
        <f t="shared" si="90"/>
        <v>Staples</v>
      </c>
      <c r="C994" t="str">
        <f t="shared" si="91"/>
        <v>45.4130966666667</v>
      </c>
      <c r="D994" t="str">
        <f t="shared" si="92"/>
        <v>-75.6944033333333</v>
      </c>
      <c r="E994" t="str">
        <f t="shared" si="93"/>
        <v>613-235-2525</v>
      </c>
      <c r="F994" t="str">
        <f t="shared" si="94"/>
        <v>K2P 1Y6</v>
      </c>
      <c r="G994" t="str">
        <f t="shared" si="95"/>
        <v>[ "Staples", 45.4130966666667, -75.6944033333333, '613-235-2525', 'K2P 1Y6'],</v>
      </c>
    </row>
    <row r="995" spans="1:7" hidden="1" x14ac:dyDescent="0.2">
      <c r="A995" t="s">
        <v>1545</v>
      </c>
      <c r="B995" t="str">
        <f t="shared" si="90"/>
        <v>Evolu-TIC Outaouais</v>
      </c>
      <c r="C995" t="str">
        <f t="shared" si="91"/>
        <v>45.4755275</v>
      </c>
      <c r="D995" t="str">
        <f t="shared" si="92"/>
        <v>-75.665239</v>
      </c>
      <c r="E995" t="str">
        <f t="shared" si="93"/>
        <v>819-770-0103</v>
      </c>
      <c r="F995" t="str">
        <f t="shared" si="94"/>
        <v>J8P 8B3</v>
      </c>
      <c r="G995" t="str">
        <f t="shared" si="95"/>
        <v>[ "Evolu-TIC Outaouais", 45.4755275, -75.665239, '819-770-0103', 'J8P 8B3'],</v>
      </c>
    </row>
    <row r="996" spans="1:7" hidden="1" x14ac:dyDescent="0.2">
      <c r="A996" t="s">
        <v>1546</v>
      </c>
      <c r="B996" t="str">
        <f t="shared" si="90"/>
        <v>Henrys</v>
      </c>
      <c r="C996" t="str">
        <f t="shared" si="91"/>
        <v>45.4158166666667</v>
      </c>
      <c r="D996" t="str">
        <f t="shared" si="92"/>
        <v>-75.6967733333333</v>
      </c>
      <c r="E996" t="str">
        <f t="shared" si="93"/>
        <v>613-232-5368</v>
      </c>
      <c r="F996" t="str">
        <f t="shared" si="94"/>
        <v>K2P 1X5</v>
      </c>
      <c r="G996" t="str">
        <f t="shared" si="95"/>
        <v>[ "Henrys", 45.4158166666667, -75.6967733333333, '613-232-5368', 'K2P 1X5'],</v>
      </c>
    </row>
    <row r="997" spans="1:7" hidden="1" x14ac:dyDescent="0.2">
      <c r="A997" t="s">
        <v>1547</v>
      </c>
      <c r="B997" t="str">
        <f t="shared" si="90"/>
        <v>Jean Coutu</v>
      </c>
      <c r="C997" t="str">
        <f t="shared" si="91"/>
        <v>45.5356</v>
      </c>
      <c r="D997" t="str">
        <f t="shared" si="92"/>
        <v>-75.48467</v>
      </c>
      <c r="E997" t="str">
        <f t="shared" si="93"/>
        <v>819-281-1000</v>
      </c>
      <c r="F997" t="str">
        <f t="shared" si="94"/>
        <v>J8M 1W2</v>
      </c>
      <c r="G997" t="str">
        <f t="shared" si="95"/>
        <v>[ "Jean Coutu", 45.5356, -75.48467, '819-281-1000', 'J8M 1W2'],</v>
      </c>
    </row>
    <row r="998" spans="1:7" hidden="1" x14ac:dyDescent="0.2">
      <c r="A998" t="s">
        <v>1548</v>
      </c>
      <c r="B998" t="str">
        <f t="shared" si="90"/>
        <v>Canadian Tire</v>
      </c>
      <c r="C998" t="str">
        <f t="shared" si="91"/>
        <v>45.4805384</v>
      </c>
      <c r="D998" t="str">
        <f t="shared" si="92"/>
        <v>-75.6778769</v>
      </c>
      <c r="E998" t="str">
        <f t="shared" si="93"/>
        <v>819-246-1234</v>
      </c>
      <c r="F998" t="str">
        <f t="shared" si="94"/>
        <v>J8T 8K7</v>
      </c>
      <c r="G998" t="str">
        <f t="shared" si="95"/>
        <v>[ "Canadian Tire", 45.4805384, -75.6778769, '819-246-1234', 'J8T 8K7'],</v>
      </c>
    </row>
    <row r="999" spans="1:7" hidden="1" x14ac:dyDescent="0.2">
      <c r="A999" t="s">
        <v>1549</v>
      </c>
      <c r="B999" t="str">
        <f t="shared" si="90"/>
        <v>Bureau en Gros</v>
      </c>
      <c r="C999" t="str">
        <f t="shared" si="91"/>
        <v>45.4831471</v>
      </c>
      <c r="D999" t="str">
        <f t="shared" si="92"/>
        <v>-75.6771175</v>
      </c>
      <c r="E999" t="str">
        <f t="shared" si="93"/>
        <v>819-246-9470</v>
      </c>
      <c r="F999" t="str">
        <f t="shared" si="94"/>
        <v>J8P 6M7</v>
      </c>
      <c r="G999" t="str">
        <f t="shared" si="95"/>
        <v>[ "Bureau en Gros", 45.4831471, -75.6771175, '819-246-9470', 'J8P 6M7'],</v>
      </c>
    </row>
    <row r="1000" spans="1:7" hidden="1" x14ac:dyDescent="0.2">
      <c r="A1000" t="s">
        <v>1550</v>
      </c>
      <c r="B1000" t="str">
        <f t="shared" si="90"/>
        <v>Home Depot</v>
      </c>
      <c r="C1000" t="str">
        <f t="shared" si="91"/>
        <v>45.4843529</v>
      </c>
      <c r="D1000" t="str">
        <f t="shared" si="92"/>
        <v>-75.6769715</v>
      </c>
      <c r="E1000" t="str">
        <f t="shared" si="93"/>
        <v>819-246-4064</v>
      </c>
      <c r="F1000" t="str">
        <f t="shared" si="94"/>
        <v>J8P 6M7</v>
      </c>
      <c r="G1000" t="str">
        <f t="shared" si="95"/>
        <v>[ "Home Depot", 45.4843529, -75.6769715, '819-246-4064', 'J8P 6M7'],</v>
      </c>
    </row>
    <row r="1001" spans="1:7" hidden="1" x14ac:dyDescent="0.2">
      <c r="A1001" t="s">
        <v>1551</v>
      </c>
      <c r="B1001" t="str">
        <f t="shared" si="90"/>
        <v>Jean Coutu</v>
      </c>
      <c r="C1001" t="str">
        <f t="shared" si="91"/>
        <v>45.462575</v>
      </c>
      <c r="D1001" t="str">
        <f t="shared" si="92"/>
        <v>-75.699875</v>
      </c>
      <c r="E1001" t="str">
        <f t="shared" si="93"/>
        <v>819-243-3151</v>
      </c>
      <c r="F1001" t="str">
        <f t="shared" si="94"/>
        <v>J8T 3P8</v>
      </c>
      <c r="G1001" t="str">
        <f t="shared" si="95"/>
        <v>[ "Jean Coutu", 45.462575, -75.699875, '819-243-3151', 'J8T 3P8'],</v>
      </c>
    </row>
    <row r="1002" spans="1:7" x14ac:dyDescent="0.2">
      <c r="A1002" t="s">
        <v>1552</v>
      </c>
      <c r="B1002" t="str">
        <f t="shared" si="90"/>
        <v>Best Buy</v>
      </c>
      <c r="C1002" t="str">
        <f t="shared" si="91"/>
        <v>45.4794422416612</v>
      </c>
      <c r="D1002" t="str">
        <f t="shared" si="92"/>
        <v>-75.6892402711587</v>
      </c>
      <c r="E1002" t="str">
        <f t="shared" si="93"/>
        <v>819-966-2222</v>
      </c>
      <c r="F1002" t="str">
        <f t="shared" si="94"/>
        <v>J8T 3R6</v>
      </c>
      <c r="G1002" t="str">
        <f t="shared" si="95"/>
        <v>[ "Best Buy", 45.4794422416612, -75.6892402711587, '819-966-2222', 'J8T 3R6'],</v>
      </c>
    </row>
    <row r="1003" spans="1:7" hidden="1" x14ac:dyDescent="0.2">
      <c r="A1003" t="s">
        <v>1553</v>
      </c>
      <c r="B1003" t="str">
        <f t="shared" si="90"/>
        <v>Centre Commerciale Les Promenades</v>
      </c>
      <c r="C1003" t="str">
        <f t="shared" si="91"/>
        <v>45.4758498</v>
      </c>
      <c r="D1003" t="str">
        <f t="shared" si="92"/>
        <v>-75.6969956</v>
      </c>
      <c r="E1003" t="str">
        <f t="shared" si="93"/>
        <v>819-568-1158</v>
      </c>
      <c r="F1003" t="str">
        <f t="shared" si="94"/>
        <v>J8T 6G3</v>
      </c>
      <c r="G1003" t="str">
        <f t="shared" si="95"/>
        <v>[ "Centre Commerciale Les Promenades", 45.4758498, -75.6969956, '819-568-1158', 'J8T 6G3'],</v>
      </c>
    </row>
    <row r="1004" spans="1:7" hidden="1" x14ac:dyDescent="0.2">
      <c r="A1004" t="s">
        <v>1554</v>
      </c>
      <c r="B1004" t="str">
        <f t="shared" si="90"/>
        <v>RONA</v>
      </c>
      <c r="C1004" t="str">
        <f t="shared" si="91"/>
        <v>45.4917819</v>
      </c>
      <c r="D1004" t="str">
        <f t="shared" si="92"/>
        <v>-75.6833787</v>
      </c>
      <c r="E1004" t="str">
        <f t="shared" si="93"/>
        <v>819-568-3400</v>
      </c>
      <c r="F1004" t="str">
        <f t="shared" si="94"/>
        <v>J8T 8J9</v>
      </c>
      <c r="G1004" t="str">
        <f t="shared" si="95"/>
        <v>[ "RONA", 45.4917819, -75.6833787, '819-568-3400', 'J8T 8J9'],</v>
      </c>
    </row>
    <row r="1005" spans="1:7" hidden="1" x14ac:dyDescent="0.2">
      <c r="A1005" t="s">
        <v>1555</v>
      </c>
      <c r="B1005" t="str">
        <f t="shared" si="90"/>
        <v>La Source - Les Promenades Gatineau</v>
      </c>
      <c r="C1005" t="str">
        <f t="shared" si="91"/>
        <v>45.47756</v>
      </c>
      <c r="D1005" t="str">
        <f t="shared" si="92"/>
        <v>-75.69724</v>
      </c>
      <c r="E1005" t="str">
        <f t="shared" si="93"/>
        <v>819-561-7533</v>
      </c>
      <c r="F1005" t="str">
        <f t="shared" si="94"/>
        <v>J8T 6G3</v>
      </c>
      <c r="G1005" t="str">
        <f t="shared" si="95"/>
        <v>[ "La Source - Les Promenades Gatineau", 45.47756, -75.69724, '819-561-7533', 'J8T 6G3'],</v>
      </c>
    </row>
    <row r="1006" spans="1:7" hidden="1" x14ac:dyDescent="0.2">
      <c r="A1006" t="s">
        <v>1556</v>
      </c>
      <c r="B1006" t="str">
        <f t="shared" si="90"/>
        <v>Jean Coutu</v>
      </c>
      <c r="C1006" t="str">
        <f t="shared" si="91"/>
        <v>45.489127</v>
      </c>
      <c r="D1006" t="str">
        <f t="shared" si="92"/>
        <v>-75.6880919</v>
      </c>
      <c r="E1006" t="str">
        <f t="shared" si="93"/>
        <v>819-243-1881</v>
      </c>
      <c r="F1006" t="str">
        <f t="shared" si="94"/>
        <v>J8T 8M1</v>
      </c>
      <c r="G1006" t="str">
        <f t="shared" si="95"/>
        <v>[ "Jean Coutu", 45.489127, -75.6880919, '819-243-1881', 'J8T 8M1'],</v>
      </c>
    </row>
    <row r="1007" spans="1:7" hidden="1" x14ac:dyDescent="0.2">
      <c r="A1007" t="s">
        <v>1557</v>
      </c>
      <c r="B1007" t="str">
        <f t="shared" si="90"/>
        <v>Uniprix</v>
      </c>
      <c r="C1007" t="str">
        <f t="shared" si="91"/>
        <v>45.4779433</v>
      </c>
      <c r="D1007" t="str">
        <f t="shared" si="92"/>
        <v>-75.6999086</v>
      </c>
      <c r="E1007" t="str">
        <f t="shared" si="93"/>
        <v>819-561-1313</v>
      </c>
      <c r="F1007" t="str">
        <f t="shared" si="94"/>
        <v>J8T 8J3</v>
      </c>
      <c r="G1007" t="str">
        <f t="shared" si="95"/>
        <v>[ "Uniprix", 45.4779433, -75.6999086, '819-561-1313', 'J8T 8J3'],</v>
      </c>
    </row>
    <row r="1008" spans="1:7" hidden="1" x14ac:dyDescent="0.2">
      <c r="A1008" t="s">
        <v>1558</v>
      </c>
      <c r="B1008" t="str">
        <f t="shared" si="90"/>
        <v>ListenUp! Canada</v>
      </c>
      <c r="C1008" t="str">
        <f t="shared" si="91"/>
        <v>45.3997827272727</v>
      </c>
      <c r="D1008" t="str">
        <f t="shared" si="92"/>
        <v>-75.7320581818182</v>
      </c>
      <c r="E1008" t="str">
        <f t="shared" si="93"/>
        <v>613-728-9170</v>
      </c>
      <c r="F1008" t="str">
        <f t="shared" si="94"/>
        <v>K1Y 0X6</v>
      </c>
      <c r="G1008" t="str">
        <f t="shared" si="95"/>
        <v>[ "ListenUp! Canada", 45.3997827272727, -75.7320581818182, '613-728-9170', 'K1Y 0X6'],</v>
      </c>
    </row>
    <row r="1009" spans="1:7" hidden="1" x14ac:dyDescent="0.2">
      <c r="A1009" t="s">
        <v>1559</v>
      </c>
      <c r="B1009" t="str">
        <f t="shared" si="90"/>
        <v>Canadian Tire</v>
      </c>
      <c r="C1009" t="str">
        <f t="shared" si="91"/>
        <v>45.44199</v>
      </c>
      <c r="D1009" t="str">
        <f t="shared" si="92"/>
        <v>-75.72843</v>
      </c>
      <c r="E1009" t="str">
        <f t="shared" si="93"/>
        <v>819-777-4381</v>
      </c>
      <c r="F1009" t="str">
        <f t="shared" si="94"/>
        <v>J8Y 6W4</v>
      </c>
      <c r="G1009" t="str">
        <f t="shared" si="95"/>
        <v>[ "Canadian Tire", 45.44199, -75.72843, '819-777-4381', 'J8Y 6W4'],</v>
      </c>
    </row>
    <row r="1010" spans="1:7" hidden="1" x14ac:dyDescent="0.2">
      <c r="A1010" t="s">
        <v>1560</v>
      </c>
      <c r="B1010" t="str">
        <f t="shared" si="90"/>
        <v>Reno Depot</v>
      </c>
      <c r="C1010" t="str">
        <f t="shared" si="91"/>
        <v>45.4541327</v>
      </c>
      <c r="D1010" t="str">
        <f t="shared" si="92"/>
        <v>-75.7282058</v>
      </c>
      <c r="E1010" t="str">
        <f t="shared" si="93"/>
        <v>819-770-7366</v>
      </c>
      <c r="F1010" t="str">
        <f t="shared" si="94"/>
        <v>J8Y 6W7</v>
      </c>
      <c r="G1010" t="str">
        <f t="shared" si="95"/>
        <v>[ "Reno Depot", 45.4541327, -75.7282058, '819-770-7366', 'J8Y 6W7'],</v>
      </c>
    </row>
    <row r="1011" spans="1:7" hidden="1" x14ac:dyDescent="0.2">
      <c r="A1011" t="s">
        <v>1561</v>
      </c>
      <c r="B1011" t="str">
        <f t="shared" si="90"/>
        <v>Dépôt Gatineau</v>
      </c>
      <c r="C1011" t="str">
        <f t="shared" si="91"/>
        <v>45.4537688937289</v>
      </c>
      <c r="D1011" t="str">
        <f t="shared" si="92"/>
        <v>-75.7299707864113</v>
      </c>
      <c r="E1011" t="str">
        <f t="shared" si="93"/>
        <v>--</v>
      </c>
      <c r="F1011" t="str">
        <f t="shared" si="94"/>
        <v>J8X 3Y9</v>
      </c>
      <c r="G1011" t="str">
        <f t="shared" si="95"/>
        <v>[ "Dépôt Gatineau", 45.4537688937289, -75.7299707864113, '--', 'J8X 3Y9'],</v>
      </c>
    </row>
    <row r="1012" spans="1:7" hidden="1" x14ac:dyDescent="0.2">
      <c r="A1012" t="s">
        <v>1562</v>
      </c>
      <c r="B1012" t="str">
        <f t="shared" si="90"/>
        <v>Jean Coutu</v>
      </c>
      <c r="C1012" t="str">
        <f t="shared" si="91"/>
        <v>45.55383</v>
      </c>
      <c r="D1012" t="str">
        <f t="shared" si="92"/>
        <v>-75.4358</v>
      </c>
      <c r="E1012" t="str">
        <f t="shared" si="93"/>
        <v>819-281-0532</v>
      </c>
      <c r="F1012" t="str">
        <f t="shared" si="94"/>
        <v>J8M 1A2</v>
      </c>
      <c r="G1012" t="str">
        <f t="shared" si="95"/>
        <v>[ "Jean Coutu", 45.55383, -75.4358, '819-281-0532', 'J8M 1A2'],</v>
      </c>
    </row>
    <row r="1013" spans="1:7" hidden="1" x14ac:dyDescent="0.2">
      <c r="A1013" t="s">
        <v>1563</v>
      </c>
      <c r="B1013" t="str">
        <f t="shared" si="90"/>
        <v>The Source</v>
      </c>
      <c r="C1013" t="str">
        <f t="shared" si="91"/>
        <v>45.3456195926914</v>
      </c>
      <c r="D1013" t="str">
        <f t="shared" si="92"/>
        <v>-75.7304456845579</v>
      </c>
      <c r="E1013" t="str">
        <f t="shared" si="93"/>
        <v>613-224-9648</v>
      </c>
      <c r="F1013" t="str">
        <f t="shared" si="94"/>
        <v>K2G 4A1</v>
      </c>
      <c r="G1013" t="str">
        <f t="shared" si="95"/>
        <v>[ "The Source", 45.3456195926914, -75.7304456845579, '613-224-9648', 'K2G 4A1'],</v>
      </c>
    </row>
    <row r="1014" spans="1:7" hidden="1" x14ac:dyDescent="0.2">
      <c r="A1014" t="s">
        <v>1564</v>
      </c>
      <c r="B1014" t="str">
        <f t="shared" si="90"/>
        <v>Interstate Batteries of Ont</v>
      </c>
      <c r="C1014" t="str">
        <f t="shared" si="91"/>
        <v>45.3247075</v>
      </c>
      <c r="D1014" t="str">
        <f t="shared" si="92"/>
        <v>-75.71596875</v>
      </c>
      <c r="E1014" t="str">
        <f t="shared" si="93"/>
        <v>613-798-9700</v>
      </c>
      <c r="F1014" t="str">
        <f t="shared" si="94"/>
        <v>K2E 6V4</v>
      </c>
      <c r="G1014" t="str">
        <f t="shared" si="95"/>
        <v>[ "Interstate Batteries of Ont", 45.3247075, -75.71596875, '613-798-9700', 'K2E 6V4'],</v>
      </c>
    </row>
  </sheetData>
  <autoFilter ref="B1:B1014">
    <filterColumn colId="0">
      <filters>
        <filter val="Best Buy"/>
        <filter val="Best Buy Canada"/>
        <filter val="Staples"/>
        <filter val="Staples Canada"/>
        <filter val="Staples Canada/Business Depot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014"/>
  <sheetViews>
    <sheetView topLeftCell="A2" workbookViewId="0">
      <selection activeCell="G1" sqref="G1:G1014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</cols>
  <sheetData>
    <row r="1" spans="1:7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</row>
    <row r="2" spans="1:7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</row>
    <row r="3" spans="1:7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</row>
    <row r="4" spans="1:7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</row>
    <row r="5" spans="1:7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</row>
    <row r="6" spans="1:7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</row>
    <row r="7" spans="1:7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</row>
    <row r="8" spans="1:7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</row>
    <row r="9" spans="1:7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</row>
    <row r="10" spans="1:7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</row>
    <row r="11" spans="1:7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</row>
    <row r="12" spans="1:7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</row>
    <row r="13" spans="1:7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</row>
    <row r="14" spans="1:7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</row>
    <row r="15" spans="1:7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</row>
    <row r="16" spans="1:7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</row>
    <row r="17" spans="1:7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</row>
    <row r="18" spans="1:7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</row>
    <row r="19" spans="1:7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</row>
    <row r="20" spans="1:7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</row>
    <row r="21" spans="1:7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</row>
    <row r="22" spans="1:7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</row>
    <row r="23" spans="1:7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</row>
    <row r="24" spans="1:7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</row>
    <row r="25" spans="1:7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</row>
    <row r="26" spans="1:7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</row>
    <row r="27" spans="1:7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</row>
    <row r="28" spans="1:7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</row>
    <row r="29" spans="1:7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</row>
    <row r="30" spans="1:7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</row>
    <row r="31" spans="1:7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</row>
    <row r="32" spans="1:7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</row>
    <row r="33" spans="1:7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</row>
    <row r="34" spans="1:7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</row>
    <row r="35" spans="1:7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</row>
    <row r="36" spans="1:7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</row>
    <row r="37" spans="1:7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</row>
    <row r="38" spans="1:7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</row>
    <row r="39" spans="1:7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</row>
    <row r="40" spans="1:7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</row>
    <row r="41" spans="1:7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</row>
    <row r="42" spans="1:7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</row>
    <row r="43" spans="1:7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</row>
    <row r="44" spans="1:7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</row>
    <row r="45" spans="1:7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</row>
    <row r="46" spans="1:7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</row>
    <row r="47" spans="1:7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</row>
    <row r="48" spans="1:7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</row>
    <row r="49" spans="1:7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</row>
    <row r="50" spans="1:7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</row>
    <row r="51" spans="1:7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</row>
    <row r="52" spans="1:7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</row>
    <row r="53" spans="1:7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</row>
    <row r="54" spans="1:7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</row>
    <row r="55" spans="1:7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</row>
    <row r="56" spans="1:7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</row>
    <row r="57" spans="1:7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</row>
    <row r="58" spans="1:7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</row>
    <row r="59" spans="1:7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</row>
    <row r="60" spans="1:7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</row>
    <row r="61" spans="1:7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</row>
    <row r="62" spans="1:7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</row>
    <row r="63" spans="1:7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</row>
    <row r="64" spans="1:7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</row>
    <row r="65" spans="1:7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</row>
    <row r="66" spans="1:7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</row>
    <row r="67" spans="1:7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</row>
    <row r="68" spans="1:7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</row>
    <row r="69" spans="1:7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</row>
    <row r="70" spans="1:7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</row>
    <row r="71" spans="1:7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</row>
    <row r="72" spans="1:7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</row>
    <row r="73" spans="1:7" x14ac:dyDescent="0.2">
      <c r="A73" t="s">
        <v>73</v>
      </c>
      <c r="B73" t="str">
        <f t="shared" si="6"/>
        <v>Canadian Tire</v>
      </c>
      <c r="C73" t="str">
        <f t="shared" si="7"/>
        <v>45.3048483</v>
      </c>
      <c r="D73" t="str">
        <f t="shared" si="8"/>
        <v>-75.0842176</v>
      </c>
      <c r="E73" t="str">
        <f t="shared" si="9"/>
        <v>613-764-0401</v>
      </c>
      <c r="F73" t="str">
        <f t="shared" si="10"/>
        <v>K0A 1M0</v>
      </c>
      <c r="G73" t="str">
        <f t="shared" si="11"/>
        <v>[ "Canadian Tire", 45.3048483, -75.0842176, '613-764-0401', 'K0A 1M0'],</v>
      </c>
    </row>
    <row r="74" spans="1:7" x14ac:dyDescent="0.2">
      <c r="A74" t="s">
        <v>74</v>
      </c>
      <c r="B74" t="str">
        <f t="shared" si="6"/>
        <v>The Source</v>
      </c>
      <c r="C74" t="str">
        <f t="shared" si="7"/>
        <v>45.30585</v>
      </c>
      <c r="D74" t="str">
        <f t="shared" si="8"/>
        <v>-75.08342</v>
      </c>
      <c r="E74" t="str">
        <f t="shared" si="9"/>
        <v>613-764-2023</v>
      </c>
      <c r="F74" t="str">
        <f t="shared" si="10"/>
        <v>K0A 1M0</v>
      </c>
      <c r="G74" t="str">
        <f t="shared" si="11"/>
        <v>[ "The Source", 45.30585, -75.08342, '613-764-2023', 'K0A 1M0'],</v>
      </c>
    </row>
    <row r="75" spans="1:7" x14ac:dyDescent="0.2">
      <c r="A75" t="s">
        <v>75</v>
      </c>
      <c r="B75" t="str">
        <f t="shared" si="6"/>
        <v>Jean Coutu</v>
      </c>
      <c r="C75" t="str">
        <f t="shared" si="7"/>
        <v>45.32124</v>
      </c>
      <c r="D75" t="str">
        <f t="shared" si="8"/>
        <v>-75.10929</v>
      </c>
      <c r="E75" t="str">
        <f t="shared" si="9"/>
        <v>613-764-5455</v>
      </c>
      <c r="F75" t="str">
        <f t="shared" si="10"/>
        <v>K0A 1M0</v>
      </c>
      <c r="G75" t="str">
        <f t="shared" si="11"/>
        <v>[ "Jean Coutu", 45.32124, -75.10929, '613-764-5455', 'K0A 1M0'],</v>
      </c>
    </row>
    <row r="76" spans="1:7" x14ac:dyDescent="0.2">
      <c r="A76" t="s">
        <v>76</v>
      </c>
      <c r="B76" t="str">
        <f t="shared" si="6"/>
        <v>The Source</v>
      </c>
      <c r="C76" t="str">
        <f t="shared" si="7"/>
        <v>45.26869</v>
      </c>
      <c r="D76" t="str">
        <f t="shared" si="8"/>
        <v>-75.29589</v>
      </c>
      <c r="E76" t="str">
        <f t="shared" si="9"/>
        <v>613-443-5642</v>
      </c>
      <c r="F76" t="str">
        <f t="shared" si="10"/>
        <v>K0A 1W1</v>
      </c>
      <c r="G76" t="str">
        <f t="shared" si="11"/>
        <v>[ "The Source", 45.26869, -75.29589, '613-443-5642', 'K0A 1W1'],</v>
      </c>
    </row>
    <row r="77" spans="1:7" x14ac:dyDescent="0.2">
      <c r="A77" t="s">
        <v>77</v>
      </c>
      <c r="B77" t="str">
        <f t="shared" si="6"/>
        <v>Township of Russell</v>
      </c>
      <c r="C77" t="str">
        <f t="shared" si="7"/>
        <v>45.2672597504255</v>
      </c>
      <c r="D77" t="str">
        <f t="shared" si="8"/>
        <v>-75.3059172717022</v>
      </c>
      <c r="E77" t="str">
        <f t="shared" si="9"/>
        <v>613-443-3066</v>
      </c>
      <c r="F77" t="str">
        <f t="shared" si="10"/>
        <v>K0A 1W1</v>
      </c>
      <c r="G77" t="str">
        <f t="shared" si="11"/>
        <v>[ "Township of Russell", 45.2672597504255, -75.3059172717022, '613-443-3066', 'K0A 1W1'],</v>
      </c>
    </row>
    <row r="78" spans="1:7" x14ac:dyDescent="0.2">
      <c r="A78" t="s">
        <v>79</v>
      </c>
      <c r="B78" t="str">
        <f t="shared" si="6"/>
        <v>Christie and Walther</v>
      </c>
      <c r="C78" t="str">
        <f t="shared" si="7"/>
        <v>44.6217044</v>
      </c>
      <c r="D78" t="str">
        <f t="shared" si="8"/>
        <v>-75.7652559</v>
      </c>
      <c r="E78" t="str">
        <f t="shared" si="9"/>
        <v>613-342-6005</v>
      </c>
      <c r="F78" t="str">
        <f t="shared" si="10"/>
        <v>K6T 1A8</v>
      </c>
      <c r="G78" t="str">
        <f t="shared" si="11"/>
        <v>[ "Christie and Walther", 44.6217044, -75.7652559, '613-342-6005', 'K6T 1A8'],</v>
      </c>
    </row>
    <row r="79" spans="1:7" x14ac:dyDescent="0.2">
      <c r="A79" t="s">
        <v>80</v>
      </c>
      <c r="B79" t="str">
        <f t="shared" si="6"/>
        <v>RONA</v>
      </c>
      <c r="C79" t="str">
        <f t="shared" si="7"/>
        <v>44.6032662</v>
      </c>
      <c r="D79" t="str">
        <f t="shared" si="8"/>
        <v>-75.7139239</v>
      </c>
      <c r="E79" t="str">
        <f t="shared" si="9"/>
        <v>613-342-8714</v>
      </c>
      <c r="F79" t="str">
        <f t="shared" si="10"/>
        <v>K6V 7H2</v>
      </c>
      <c r="G79" t="str">
        <f t="shared" si="11"/>
        <v>[ "RONA", 44.6032662, -75.7139239, '613-342-8714', 'K6V 7H2'],</v>
      </c>
    </row>
    <row r="80" spans="1:7" x14ac:dyDescent="0.2">
      <c r="A80" t="s">
        <v>81</v>
      </c>
      <c r="B80" t="str">
        <f t="shared" si="6"/>
        <v>The Source</v>
      </c>
      <c r="C80" t="str">
        <f t="shared" si="7"/>
        <v>44.60479</v>
      </c>
      <c r="D80" t="str">
        <f t="shared" si="8"/>
        <v>-75.69913</v>
      </c>
      <c r="E80" t="str">
        <f t="shared" si="9"/>
        <v>613-342-8298</v>
      </c>
      <c r="F80" t="str">
        <f t="shared" si="10"/>
        <v>K6V 3G9</v>
      </c>
      <c r="G80" t="str">
        <f t="shared" si="11"/>
        <v>[ "The Source", 44.60479, -75.69913, '613-342-8298', 'K6V 3G9'],</v>
      </c>
    </row>
    <row r="81" spans="1:7" x14ac:dyDescent="0.2">
      <c r="A81" t="s">
        <v>82</v>
      </c>
      <c r="B81" t="str">
        <f t="shared" si="6"/>
        <v>Staples</v>
      </c>
      <c r="C81" t="str">
        <f t="shared" si="7"/>
        <v>44.6040935</v>
      </c>
      <c r="D81" t="str">
        <f t="shared" si="8"/>
        <v>-75.6989553</v>
      </c>
      <c r="E81" t="str">
        <f t="shared" si="9"/>
        <v>613-498-2616</v>
      </c>
      <c r="F81" t="str">
        <f t="shared" si="10"/>
        <v>K6V 3G9</v>
      </c>
      <c r="G81" t="str">
        <f t="shared" si="11"/>
        <v>[ "Staples", 44.6040935, -75.6989553, '613-498-2616', 'K6V 3G9'],</v>
      </c>
    </row>
    <row r="82" spans="1:7" x14ac:dyDescent="0.2">
      <c r="A82" t="s">
        <v>83</v>
      </c>
      <c r="B82" t="str">
        <f t="shared" si="6"/>
        <v>Home Depot</v>
      </c>
      <c r="C82" t="str">
        <f t="shared" si="7"/>
        <v>44.6107622222222</v>
      </c>
      <c r="D82" t="str">
        <f t="shared" si="8"/>
        <v>-75.690042962963</v>
      </c>
      <c r="E82" t="str">
        <f t="shared" si="9"/>
        <v>613-498-9600</v>
      </c>
      <c r="F82" t="str">
        <f t="shared" si="10"/>
        <v>K6V 5T2</v>
      </c>
      <c r="G82" t="str">
        <f t="shared" si="11"/>
        <v>[ "Home Depot", 44.6107622222222, -75.690042962963, '613-498-9600', 'K6V 5T2'],</v>
      </c>
    </row>
    <row r="83" spans="1:7" x14ac:dyDescent="0.2">
      <c r="A83" t="s">
        <v>84</v>
      </c>
      <c r="B83" t="str">
        <f t="shared" si="6"/>
        <v>ListenUp! Canada</v>
      </c>
      <c r="C83" t="str">
        <f t="shared" si="7"/>
        <v>44.59284</v>
      </c>
      <c r="D83" t="str">
        <f t="shared" si="8"/>
        <v>-75.68881</v>
      </c>
      <c r="E83" t="str">
        <f t="shared" si="9"/>
        <v>613-342-7821</v>
      </c>
      <c r="F83" t="str">
        <f t="shared" si="10"/>
        <v>K6V 4V5</v>
      </c>
      <c r="G83" t="str">
        <f t="shared" si="11"/>
        <v>[ "ListenUp! Canada", 44.59284, -75.68881, '613-342-7821', 'K6V 4V5'],</v>
      </c>
    </row>
    <row r="84" spans="1:7" x14ac:dyDescent="0.2">
      <c r="A84" t="s">
        <v>86</v>
      </c>
      <c r="B84" t="str">
        <f t="shared" si="6"/>
        <v>Kingston Area Recycling Centre</v>
      </c>
      <c r="C84" t="str">
        <f t="shared" si="7"/>
        <v>44.2641926530612</v>
      </c>
      <c r="D84" t="str">
        <f t="shared" si="8"/>
        <v>-76.5095706122449</v>
      </c>
      <c r="E84" t="str">
        <f t="shared" si="9"/>
        <v>613-546-4291</v>
      </c>
      <c r="F84" t="str">
        <f t="shared" si="10"/>
        <v>K7K 6Z4</v>
      </c>
      <c r="G84" t="str">
        <f t="shared" si="11"/>
        <v>[ "Kingston Area Recycling Centre", 44.2641926530612, -76.5095706122449, '613-546-4291', 'K7K 6Z4'],</v>
      </c>
    </row>
    <row r="85" spans="1:7" x14ac:dyDescent="0.2">
      <c r="A85" t="s">
        <v>87</v>
      </c>
      <c r="B85" t="str">
        <f t="shared" si="6"/>
        <v>Christie and Walther</v>
      </c>
      <c r="C85" t="str">
        <f t="shared" si="7"/>
        <v>44.2742812222652</v>
      </c>
      <c r="D85" t="str">
        <f t="shared" si="8"/>
        <v>-76.5654773740755</v>
      </c>
      <c r="E85" t="str">
        <f t="shared" si="9"/>
        <v>613-634-3636</v>
      </c>
      <c r="F85" t="str">
        <f t="shared" si="10"/>
        <v>K7P 2T4</v>
      </c>
      <c r="G85" t="str">
        <f t="shared" si="11"/>
        <v>[ "Christie and Walther", 44.2742812222652, -76.5654773740755, '613-634-3636', 'K7P 2T4'],</v>
      </c>
    </row>
    <row r="86" spans="1:7" x14ac:dyDescent="0.2">
      <c r="A86" t="s">
        <v>88</v>
      </c>
      <c r="B86" t="str">
        <f t="shared" si="6"/>
        <v>RONA</v>
      </c>
      <c r="C86" t="str">
        <f t="shared" si="7"/>
        <v>44.2581559259259</v>
      </c>
      <c r="D86" t="str">
        <f t="shared" si="8"/>
        <v>-76.5518459259259</v>
      </c>
      <c r="E86" t="str">
        <f t="shared" si="9"/>
        <v>613-531-6225</v>
      </c>
      <c r="F86" t="str">
        <f t="shared" si="10"/>
        <v>K7M 3G4</v>
      </c>
      <c r="G86" t="str">
        <f t="shared" si="11"/>
        <v>[ "RONA", 44.2581559259259, -76.5518459259259, '613-531-6225', 'K7M 3G4'],</v>
      </c>
    </row>
    <row r="87" spans="1:7" x14ac:dyDescent="0.2">
      <c r="A87" t="s">
        <v>89</v>
      </c>
      <c r="B87" t="str">
        <f t="shared" si="6"/>
        <v>Princess Auto</v>
      </c>
      <c r="C87" t="str">
        <f t="shared" si="7"/>
        <v>44.2617269559147</v>
      </c>
      <c r="D87" t="str">
        <f t="shared" si="8"/>
        <v>-76.559581905584</v>
      </c>
      <c r="E87" t="str">
        <f t="shared" si="9"/>
        <v>613-530-3790</v>
      </c>
      <c r="F87" t="str">
        <f t="shared" si="10"/>
        <v>K7P 2S5</v>
      </c>
      <c r="G87" t="str">
        <f t="shared" si="11"/>
        <v>[ "Princess Auto", 44.2617269559147, -76.559581905584, '613-530-3790', 'K7P 2S5'],</v>
      </c>
    </row>
    <row r="88" spans="1:7" x14ac:dyDescent="0.2">
      <c r="A88" t="s">
        <v>90</v>
      </c>
      <c r="B88" t="str">
        <f t="shared" si="6"/>
        <v>Staples</v>
      </c>
      <c r="C88" t="str">
        <f t="shared" si="7"/>
        <v>44.23259</v>
      </c>
      <c r="D88" t="str">
        <f t="shared" si="8"/>
        <v>-76.4832707142857</v>
      </c>
      <c r="E88" t="str">
        <f t="shared" si="9"/>
        <v>613-542-3585</v>
      </c>
      <c r="F88" t="str">
        <f t="shared" si="10"/>
        <v>K7K 1A5</v>
      </c>
      <c r="G88" t="str">
        <f t="shared" si="11"/>
        <v>[ "Staples", 44.23259, -76.4832707142857, '613-542-3585', 'K7K 1A5'],</v>
      </c>
    </row>
    <row r="89" spans="1:7" x14ac:dyDescent="0.2">
      <c r="A89" t="s">
        <v>91</v>
      </c>
      <c r="B89" t="str">
        <f t="shared" si="6"/>
        <v>Canadian Tire</v>
      </c>
      <c r="C89" t="str">
        <f t="shared" si="7"/>
        <v>44.337385</v>
      </c>
      <c r="D89" t="str">
        <f t="shared" si="8"/>
        <v>-76.1504239285714</v>
      </c>
      <c r="E89" t="str">
        <f t="shared" si="9"/>
        <v>613-382-3729</v>
      </c>
      <c r="F89" t="str">
        <f t="shared" si="10"/>
        <v>K7G 1H4</v>
      </c>
      <c r="G89" t="str">
        <f t="shared" si="11"/>
        <v>[ "Canadian Tire", 44.337385, -76.1504239285714, '613-382-3729', 'K7G 1H4'],</v>
      </c>
    </row>
    <row r="90" spans="1:7" x14ac:dyDescent="0.2">
      <c r="A90" t="s">
        <v>92</v>
      </c>
      <c r="B90" t="str">
        <f t="shared" si="6"/>
        <v>ListenUp! Canada</v>
      </c>
      <c r="C90" t="str">
        <f t="shared" si="7"/>
        <v>44.230993125</v>
      </c>
      <c r="D90" t="str">
        <f t="shared" si="8"/>
        <v>-76.485105</v>
      </c>
      <c r="E90" t="str">
        <f t="shared" si="9"/>
        <v>613-546-2250</v>
      </c>
      <c r="F90" t="str">
        <f t="shared" si="10"/>
        <v>K7L 2N7</v>
      </c>
      <c r="G90" t="str">
        <f t="shared" si="11"/>
        <v>[ "ListenUp! Canada", 44.230993125, -76.485105, '613-546-2250', 'K7L 2N7'],</v>
      </c>
    </row>
    <row r="91" spans="1:7" x14ac:dyDescent="0.2">
      <c r="A91" t="s">
        <v>93</v>
      </c>
      <c r="B91" t="str">
        <f t="shared" si="6"/>
        <v>Lowes</v>
      </c>
      <c r="C91" t="str">
        <f t="shared" si="7"/>
        <v>44.261456779661</v>
      </c>
      <c r="D91" t="str">
        <f t="shared" si="8"/>
        <v>-76.5688013559322</v>
      </c>
      <c r="E91" t="str">
        <f t="shared" si="9"/>
        <v>613-634-5410</v>
      </c>
      <c r="F91" t="str">
        <f t="shared" si="10"/>
        <v>K7P 0G1</v>
      </c>
      <c r="G91" t="str">
        <f t="shared" si="11"/>
        <v>[ "Lowes", 44.261456779661, -76.5688013559322, '613-634-5410', 'K7P 0G1'],</v>
      </c>
    </row>
    <row r="92" spans="1:7" x14ac:dyDescent="0.2">
      <c r="A92" t="s">
        <v>94</v>
      </c>
      <c r="B92" t="str">
        <f t="shared" si="6"/>
        <v>Fastenal</v>
      </c>
      <c r="C92" t="str">
        <f t="shared" si="7"/>
        <v>44.25836</v>
      </c>
      <c r="D92" t="str">
        <f t="shared" si="8"/>
        <v>-76.56869</v>
      </c>
      <c r="E92" t="str">
        <f t="shared" si="9"/>
        <v>613-389-3968</v>
      </c>
      <c r="F92" t="str">
        <f t="shared" si="10"/>
        <v>K7P 0G3</v>
      </c>
      <c r="G92" t="str">
        <f t="shared" si="11"/>
        <v>[ "Fastenal", 44.25836, -76.56869, '613-389-3968', 'K7P 0G3'],</v>
      </c>
    </row>
    <row r="93" spans="1:7" x14ac:dyDescent="0.2">
      <c r="A93" t="s">
        <v>95</v>
      </c>
      <c r="B93" t="str">
        <f t="shared" si="6"/>
        <v>The Source</v>
      </c>
      <c r="C93" t="str">
        <f t="shared" si="7"/>
        <v>44.2564347058824</v>
      </c>
      <c r="D93" t="str">
        <f t="shared" si="8"/>
        <v>-76.5687373529412</v>
      </c>
      <c r="E93" t="str">
        <f t="shared" si="9"/>
        <v>613-389-8201</v>
      </c>
      <c r="F93" t="str">
        <f t="shared" si="10"/>
        <v>K7M 7H4</v>
      </c>
      <c r="G93" t="str">
        <f t="shared" si="11"/>
        <v>[ "The Source", 44.2564347058824, -76.5687373529412, '613-389-8201', 'K7M 7H4'],</v>
      </c>
    </row>
    <row r="94" spans="1:7" x14ac:dyDescent="0.2">
      <c r="A94" t="s">
        <v>96</v>
      </c>
      <c r="B94" t="str">
        <f t="shared" si="6"/>
        <v>Hock Shop Canada</v>
      </c>
      <c r="C94" t="str">
        <f t="shared" si="7"/>
        <v>44.23799</v>
      </c>
      <c r="D94" t="str">
        <f t="shared" si="8"/>
        <v>-76.54389</v>
      </c>
      <c r="E94" t="str">
        <f t="shared" si="9"/>
        <v>613-766-1577</v>
      </c>
      <c r="F94" t="str">
        <f t="shared" si="10"/>
        <v>K7M 4X4</v>
      </c>
      <c r="G94" t="str">
        <f t="shared" si="11"/>
        <v>[ "Hock Shop Canada", 44.23799, -76.54389, '613-766-1577', 'K7M 4X4'],</v>
      </c>
    </row>
    <row r="95" spans="1:7" x14ac:dyDescent="0.2">
      <c r="A95" t="s">
        <v>97</v>
      </c>
      <c r="B95" t="str">
        <f t="shared" si="6"/>
        <v>ListenUp! Canada</v>
      </c>
      <c r="C95" t="str">
        <f t="shared" si="7"/>
        <v>44.2509278198464</v>
      </c>
      <c r="D95" t="str">
        <f t="shared" si="8"/>
        <v>-76.5710049038168</v>
      </c>
      <c r="E95" t="str">
        <f t="shared" si="9"/>
        <v>613-634-0304</v>
      </c>
      <c r="F95" t="str">
        <f t="shared" si="10"/>
        <v>K7P 2N7</v>
      </c>
      <c r="G95" t="str">
        <f t="shared" si="11"/>
        <v>[ "ListenUp! Canada", 44.2509278198464, -76.5710049038168, '613-634-0304', 'K7P 2N7'],</v>
      </c>
    </row>
    <row r="96" spans="1:7" x14ac:dyDescent="0.2">
      <c r="A96" t="s">
        <v>98</v>
      </c>
      <c r="B96" t="str">
        <f t="shared" si="6"/>
        <v>Staples</v>
      </c>
      <c r="C96" t="str">
        <f t="shared" si="7"/>
        <v>44.2426689227649</v>
      </c>
      <c r="D96" t="str">
        <f t="shared" si="8"/>
        <v>-76.5678108991268</v>
      </c>
      <c r="E96" t="str">
        <f t="shared" si="9"/>
        <v>613-634-2112</v>
      </c>
      <c r="F96" t="str">
        <f t="shared" si="10"/>
        <v>K7M 9B8</v>
      </c>
      <c r="G96" t="str">
        <f t="shared" si="11"/>
        <v>[ "Staples", 44.2426689227649, -76.5678108991268, '613-634-2112', 'K7M 9B8'],</v>
      </c>
    </row>
    <row r="97" spans="1:7" x14ac:dyDescent="0.2">
      <c r="A97" t="s">
        <v>99</v>
      </c>
      <c r="B97" t="str">
        <f t="shared" si="6"/>
        <v>Home Depot</v>
      </c>
      <c r="C97" t="str">
        <f t="shared" si="7"/>
        <v>44.2421917434511</v>
      </c>
      <c r="D97" t="str">
        <f t="shared" si="8"/>
        <v>-76.5677826218341</v>
      </c>
      <c r="E97" t="str">
        <f t="shared" si="9"/>
        <v>613-384-3511</v>
      </c>
      <c r="F97" t="str">
        <f t="shared" si="10"/>
        <v>K7M 3X9</v>
      </c>
      <c r="G97" t="str">
        <f t="shared" si="11"/>
        <v>[ "Home Depot", 44.2421917434511, -76.5677826218341, '613-384-3511', 'K7M 3X9'],</v>
      </c>
    </row>
    <row r="98" spans="1:7" x14ac:dyDescent="0.2">
      <c r="A98" t="s">
        <v>100</v>
      </c>
      <c r="B98" t="str">
        <f t="shared" si="6"/>
        <v>United Rentals</v>
      </c>
      <c r="C98" t="str">
        <f t="shared" si="7"/>
        <v>44.2416552182819</v>
      </c>
      <c r="D98" t="str">
        <f t="shared" si="8"/>
        <v>-76.5713681266807</v>
      </c>
      <c r="E98" t="str">
        <f t="shared" si="9"/>
        <v>613-389-5211</v>
      </c>
      <c r="F98" t="str">
        <f t="shared" si="10"/>
        <v>K7M 4W7</v>
      </c>
      <c r="G98" t="str">
        <f t="shared" si="11"/>
        <v>[ "United Rentals", 44.2416552182819, -76.5713681266807, '613-389-5211', 'K7M 4W7'],</v>
      </c>
    </row>
    <row r="99" spans="1:7" x14ac:dyDescent="0.2">
      <c r="A99" t="s">
        <v>102</v>
      </c>
      <c r="B99" t="str">
        <f t="shared" si="6"/>
        <v>ListenUp! Canada</v>
      </c>
      <c r="C99" t="str">
        <f t="shared" si="7"/>
        <v>44.24091</v>
      </c>
      <c r="D99" t="str">
        <f t="shared" si="8"/>
        <v>-76.96616</v>
      </c>
      <c r="E99" t="str">
        <f t="shared" si="9"/>
        <v>613-354-7000</v>
      </c>
      <c r="F99" t="str">
        <f t="shared" si="10"/>
        <v>K7R 3V3</v>
      </c>
      <c r="G99" t="str">
        <f t="shared" si="11"/>
        <v>[ "ListenUp! Canada", 44.24091, -76.96616, '613-354-7000', 'K7R 3V3'],</v>
      </c>
    </row>
    <row r="100" spans="1:7" x14ac:dyDescent="0.2">
      <c r="A100" t="s">
        <v>103</v>
      </c>
      <c r="B100" t="str">
        <f t="shared" si="6"/>
        <v>The Source</v>
      </c>
      <c r="C100" t="str">
        <f t="shared" si="7"/>
        <v>44.2594669387755</v>
      </c>
      <c r="D100" t="str">
        <f t="shared" si="8"/>
        <v>-76.9696418367347</v>
      </c>
      <c r="E100" t="str">
        <f t="shared" si="9"/>
        <v>613-354-6366</v>
      </c>
      <c r="F100" t="str">
        <f t="shared" si="10"/>
        <v>K7R 3L2</v>
      </c>
      <c r="G100" t="str">
        <f t="shared" si="11"/>
        <v>[ "The Source", 44.2594669387755, -76.9696418367347, '613-354-6366', 'K7R 3L2'],</v>
      </c>
    </row>
    <row r="101" spans="1:7" x14ac:dyDescent="0.2">
      <c r="A101" t="s">
        <v>104</v>
      </c>
      <c r="B101" t="str">
        <f t="shared" si="6"/>
        <v>Foxboro Fasteners</v>
      </c>
      <c r="C101" t="str">
        <f t="shared" si="7"/>
        <v>44.2076483867091</v>
      </c>
      <c r="D101" t="str">
        <f t="shared" si="8"/>
        <v>-77.3954193747183</v>
      </c>
      <c r="E101" t="str">
        <f t="shared" si="9"/>
        <v>613-969-1933</v>
      </c>
      <c r="F101" t="str">
        <f t="shared" si="10"/>
        <v>K8N 4Z5</v>
      </c>
      <c r="G101" t="str">
        <f t="shared" si="11"/>
        <v>[ "Foxboro Fasteners", 44.2076483867091, -77.3954193747183, '613-969-1933', 'K8N 4Z5'],</v>
      </c>
    </row>
    <row r="102" spans="1:7" x14ac:dyDescent="0.2">
      <c r="A102" t="s">
        <v>105</v>
      </c>
      <c r="B102" t="str">
        <f t="shared" si="6"/>
        <v>Pharmasave</v>
      </c>
      <c r="C102" t="str">
        <f t="shared" si="7"/>
        <v>44.1844877777778</v>
      </c>
      <c r="D102" t="str">
        <f t="shared" si="8"/>
        <v>-77.3944644444445</v>
      </c>
      <c r="E102" t="str">
        <f t="shared" si="9"/>
        <v>613-962-4576</v>
      </c>
      <c r="F102" t="str">
        <f t="shared" si="10"/>
        <v>K8P 3C3</v>
      </c>
      <c r="G102" t="str">
        <f t="shared" si="11"/>
        <v>[ "Pharmasave", 44.1844877777778, -77.3944644444445, '613-962-4576', 'K8P 3C3'],</v>
      </c>
    </row>
    <row r="103" spans="1:7" x14ac:dyDescent="0.2">
      <c r="A103" t="s">
        <v>106</v>
      </c>
      <c r="B103" t="str">
        <f t="shared" si="6"/>
        <v>Newburgh Pharmacy</v>
      </c>
      <c r="C103" t="str">
        <f t="shared" si="7"/>
        <v>44.41552</v>
      </c>
      <c r="D103" t="str">
        <f t="shared" si="8"/>
        <v>-76.98359</v>
      </c>
      <c r="E103" t="str">
        <f t="shared" si="9"/>
        <v>613-378-2220</v>
      </c>
      <c r="F103" t="str">
        <f t="shared" si="10"/>
        <v>K0K 2S0</v>
      </c>
      <c r="G103" t="str">
        <f t="shared" si="11"/>
        <v>[ "Newburgh Pharmacy", 44.41552, -76.98359, '613-378-2220', 'K0K 2S0'],</v>
      </c>
    </row>
    <row r="104" spans="1:7" x14ac:dyDescent="0.2">
      <c r="A104" t="s">
        <v>107</v>
      </c>
      <c r="B104" t="str">
        <f t="shared" si="6"/>
        <v>Lowes</v>
      </c>
      <c r="C104" t="str">
        <f t="shared" si="7"/>
        <v>44.1957464158726</v>
      </c>
      <c r="D104" t="str">
        <f t="shared" si="8"/>
        <v>-77.400609762801</v>
      </c>
      <c r="E104" t="str">
        <f t="shared" si="9"/>
        <v>613-771-2945</v>
      </c>
      <c r="F104" t="str">
        <f t="shared" si="10"/>
        <v>K8N 4Z5</v>
      </c>
      <c r="G104" t="str">
        <f t="shared" si="11"/>
        <v>[ "Lowes", 44.1957464158726, -77.400609762801, '613-771-2945', 'K8N 4Z5'],</v>
      </c>
    </row>
    <row r="105" spans="1:7" x14ac:dyDescent="0.2">
      <c r="A105" t="s">
        <v>108</v>
      </c>
      <c r="B105" t="str">
        <f t="shared" si="6"/>
        <v>Staples</v>
      </c>
      <c r="C105" t="str">
        <f t="shared" si="7"/>
        <v>44.18638</v>
      </c>
      <c r="D105" t="str">
        <f t="shared" si="8"/>
        <v>-77.4044</v>
      </c>
      <c r="E105" t="str">
        <f t="shared" si="9"/>
        <v>613-961-7399</v>
      </c>
      <c r="F105" t="str">
        <f t="shared" si="10"/>
        <v>K8P 5L2</v>
      </c>
      <c r="G105" t="str">
        <f t="shared" si="11"/>
        <v>[ "Staples", 44.18638, -77.4044, '613-961-7399', 'K8P 5L2'],</v>
      </c>
    </row>
    <row r="106" spans="1:7" x14ac:dyDescent="0.2">
      <c r="A106" t="s">
        <v>110</v>
      </c>
      <c r="B106" t="str">
        <f t="shared" si="6"/>
        <v>RONA</v>
      </c>
      <c r="C106" t="str">
        <f t="shared" si="7"/>
        <v>44.13611</v>
      </c>
      <c r="D106" t="str">
        <f t="shared" si="8"/>
        <v>-77.58462</v>
      </c>
      <c r="E106" t="str">
        <f t="shared" si="9"/>
        <v>613-394-3351</v>
      </c>
      <c r="F106" t="str">
        <f t="shared" si="10"/>
        <v>K8V 5W6</v>
      </c>
      <c r="G106" t="str">
        <f t="shared" si="11"/>
        <v>[ "RONA", 44.13611, -77.58462, '613-394-3351', 'K8V 5W6'],</v>
      </c>
    </row>
    <row r="107" spans="1:7" x14ac:dyDescent="0.2">
      <c r="A107" t="s">
        <v>111</v>
      </c>
      <c r="B107" t="str">
        <f t="shared" si="6"/>
        <v>The Source</v>
      </c>
      <c r="C107" t="str">
        <f t="shared" si="7"/>
        <v>44.104645</v>
      </c>
      <c r="D107" t="str">
        <f t="shared" si="8"/>
        <v>-77.55904375</v>
      </c>
      <c r="E107" t="str">
        <f t="shared" si="9"/>
        <v>613-394-4253</v>
      </c>
      <c r="F107" t="str">
        <f t="shared" si="10"/>
        <v>K8V 5Z9</v>
      </c>
      <c r="G107" t="str">
        <f t="shared" si="11"/>
        <v>[ "The Source", 44.104645, -77.55904375, '613-394-4253', 'K8V 5Z9'],</v>
      </c>
    </row>
    <row r="108" spans="1:7" x14ac:dyDescent="0.2">
      <c r="A108" t="s">
        <v>112</v>
      </c>
      <c r="B108" t="str">
        <f t="shared" si="6"/>
        <v>RONA Campbellford</v>
      </c>
      <c r="C108" t="str">
        <f t="shared" si="7"/>
        <v>44.2890461052992</v>
      </c>
      <c r="D108" t="str">
        <f t="shared" si="8"/>
        <v>-77.8092744786324</v>
      </c>
      <c r="E108" t="str">
        <f t="shared" si="9"/>
        <v>705-653-1440</v>
      </c>
      <c r="F108" t="str">
        <f t="shared" si="10"/>
        <v>K0L 1L0</v>
      </c>
      <c r="G108" t="str">
        <f t="shared" si="11"/>
        <v>[ "RONA Campbellford", 44.2890461052992, -77.8092744786324, '705-653-1440', 'K0L 1L0'],</v>
      </c>
    </row>
    <row r="109" spans="1:7" x14ac:dyDescent="0.2">
      <c r="A109" t="s">
        <v>113</v>
      </c>
      <c r="B109" t="str">
        <f t="shared" si="6"/>
        <v>RONA</v>
      </c>
      <c r="C109" t="str">
        <f t="shared" si="7"/>
        <v>44.2918933333333</v>
      </c>
      <c r="D109" t="str">
        <f t="shared" si="8"/>
        <v>-77.5647533333333</v>
      </c>
      <c r="E109" t="str">
        <f t="shared" si="9"/>
        <v>613-395-3361</v>
      </c>
      <c r="F109" t="str">
        <f t="shared" si="10"/>
        <v>K0K 3E0</v>
      </c>
      <c r="G109" t="str">
        <f t="shared" si="11"/>
        <v>[ "RONA", 44.2918933333333, -77.5647533333333, '613-395-3361', 'K0K 3E0'],</v>
      </c>
    </row>
    <row r="110" spans="1:7" x14ac:dyDescent="0.2">
      <c r="A110" t="s">
        <v>114</v>
      </c>
      <c r="B110" t="str">
        <f t="shared" si="6"/>
        <v>ListenUp! Canada</v>
      </c>
      <c r="C110" t="str">
        <f t="shared" si="7"/>
        <v>43.96331</v>
      </c>
      <c r="D110" t="str">
        <f t="shared" si="8"/>
        <v>-78.29078</v>
      </c>
      <c r="E110" t="str">
        <f t="shared" si="9"/>
        <v>905-885-0759</v>
      </c>
      <c r="F110" t="str">
        <f t="shared" si="10"/>
        <v>L1A 3Y9</v>
      </c>
      <c r="G110" t="str">
        <f t="shared" si="11"/>
        <v>[ "ListenUp! Canada", 43.96331, -78.29078, '905-885-0759', 'L1A 3Y9'],</v>
      </c>
    </row>
    <row r="111" spans="1:7" x14ac:dyDescent="0.2">
      <c r="A111" t="s">
        <v>115</v>
      </c>
      <c r="B111" t="str">
        <f t="shared" si="6"/>
        <v>RONA</v>
      </c>
      <c r="C111" t="str">
        <f t="shared" si="7"/>
        <v>43.9076045270157</v>
      </c>
      <c r="D111" t="str">
        <f t="shared" si="8"/>
        <v>-78.5910229561934</v>
      </c>
      <c r="E111" t="str">
        <f t="shared" si="9"/>
        <v>905-987-4560</v>
      </c>
      <c r="F111" t="str">
        <f t="shared" si="10"/>
        <v>L1B 1C2</v>
      </c>
      <c r="G111" t="str">
        <f t="shared" si="11"/>
        <v>[ "RONA", 43.9076045270157, -78.5910229561934, '905-987-4560', 'L1B 1C2'],</v>
      </c>
    </row>
    <row r="112" spans="1:7" x14ac:dyDescent="0.2">
      <c r="A112" t="s">
        <v>116</v>
      </c>
      <c r="B112" t="str">
        <f t="shared" si="6"/>
        <v>Home Depot</v>
      </c>
      <c r="C112" t="str">
        <f t="shared" si="7"/>
        <v>43.9763283741377</v>
      </c>
      <c r="D112" t="str">
        <f t="shared" si="8"/>
        <v>-78.2001281293115</v>
      </c>
      <c r="E112" t="str">
        <f t="shared" si="9"/>
        <v>905-377-7600</v>
      </c>
      <c r="F112" t="str">
        <f t="shared" si="10"/>
        <v>K9A 0A8</v>
      </c>
      <c r="G112" t="str">
        <f t="shared" si="11"/>
        <v>[ "Home Depot", 43.9763283741377, -78.2001281293115, '905-377-7600', 'K9A 0A8'],</v>
      </c>
    </row>
    <row r="113" spans="1:7" x14ac:dyDescent="0.2">
      <c r="A113" t="s">
        <v>117</v>
      </c>
      <c r="B113" t="str">
        <f t="shared" si="6"/>
        <v>The Source</v>
      </c>
      <c r="C113" t="str">
        <f t="shared" si="7"/>
        <v>43.9711534146341</v>
      </c>
      <c r="D113" t="str">
        <f t="shared" si="8"/>
        <v>-78.2002748780488</v>
      </c>
      <c r="E113" t="str">
        <f t="shared" si="9"/>
        <v>905-377-9845</v>
      </c>
      <c r="F113" t="str">
        <f t="shared" si="10"/>
        <v>K9A 5H7</v>
      </c>
      <c r="G113" t="str">
        <f t="shared" si="11"/>
        <v>[ "The Source", 43.9711534146341, -78.2002748780488, '905-377-9845', 'K9A 5H7'],</v>
      </c>
    </row>
    <row r="114" spans="1:7" x14ac:dyDescent="0.2">
      <c r="A114" t="s">
        <v>118</v>
      </c>
      <c r="B114" t="str">
        <f t="shared" si="6"/>
        <v>Staples</v>
      </c>
      <c r="C114" t="str">
        <f t="shared" si="7"/>
        <v>43.97172</v>
      </c>
      <c r="D114" t="str">
        <f t="shared" si="8"/>
        <v>-78.19779</v>
      </c>
      <c r="E114" t="str">
        <f t="shared" si="9"/>
        <v>905-377-0458</v>
      </c>
      <c r="F114" t="str">
        <f t="shared" si="10"/>
        <v>K9A 5W4</v>
      </c>
      <c r="G114" t="str">
        <f t="shared" si="11"/>
        <v>[ "Staples", 43.97172, -78.19779, '905-377-0458', 'K9A 5W4'],</v>
      </c>
    </row>
    <row r="115" spans="1:7" x14ac:dyDescent="0.2">
      <c r="A115" t="s">
        <v>119</v>
      </c>
      <c r="B115" t="str">
        <f t="shared" si="6"/>
        <v>Staples</v>
      </c>
      <c r="C115" t="str">
        <f t="shared" si="7"/>
        <v>43.91057</v>
      </c>
      <c r="D115" t="str">
        <f t="shared" si="8"/>
        <v>-78.68024</v>
      </c>
      <c r="E115" t="str">
        <f t="shared" si="9"/>
        <v>905-623-1700</v>
      </c>
      <c r="F115" t="str">
        <f t="shared" si="10"/>
        <v>L1C 1P2</v>
      </c>
      <c r="G115" t="str">
        <f t="shared" si="11"/>
        <v>[ "Staples", 43.91057, -78.68024, '905-623-1700', 'L1C 1P2'],</v>
      </c>
    </row>
    <row r="116" spans="1:7" x14ac:dyDescent="0.2">
      <c r="A116" t="s">
        <v>121</v>
      </c>
      <c r="B116" t="str">
        <f t="shared" si="6"/>
        <v>Home Depot</v>
      </c>
      <c r="C116" t="str">
        <f t="shared" si="7"/>
        <v>43.920755913993</v>
      </c>
      <c r="D116" t="str">
        <f t="shared" si="8"/>
        <v>-78.9489120086596</v>
      </c>
      <c r="E116" t="str">
        <f t="shared" si="9"/>
        <v>905-655-2905</v>
      </c>
      <c r="F116" t="str">
        <f t="shared" si="10"/>
        <v>L1R 3K5</v>
      </c>
      <c r="G116" t="str">
        <f t="shared" si="11"/>
        <v>[ "Home Depot", 43.920755913993, -78.9489120086596, '905-655-2905', 'L1R 3K5'],</v>
      </c>
    </row>
    <row r="117" spans="1:7" x14ac:dyDescent="0.2">
      <c r="A117" t="s">
        <v>122</v>
      </c>
      <c r="B117" t="str">
        <f t="shared" si="6"/>
        <v>Staples</v>
      </c>
      <c r="C117" t="str">
        <f t="shared" si="7"/>
        <v>43.9184340778853</v>
      </c>
      <c r="D117" t="str">
        <f t="shared" si="8"/>
        <v>-78.9437186560068</v>
      </c>
      <c r="E117" t="str">
        <f t="shared" si="9"/>
        <v>--</v>
      </c>
      <c r="F117" t="str">
        <f t="shared" si="10"/>
        <v>L1R 0H4</v>
      </c>
      <c r="G117" t="str">
        <f t="shared" si="11"/>
        <v>[ "Staples", 43.9184340778853, -78.9437186560068, '--', 'L1R 0H4'],</v>
      </c>
    </row>
    <row r="118" spans="1:7" x14ac:dyDescent="0.2">
      <c r="A118" t="s">
        <v>123</v>
      </c>
      <c r="B118" t="str">
        <f t="shared" si="6"/>
        <v>Canadian Tire</v>
      </c>
      <c r="C118" t="str">
        <f t="shared" si="7"/>
        <v>43.9191693112809</v>
      </c>
      <c r="D118" t="str">
        <f t="shared" si="8"/>
        <v>-78.9481985068482</v>
      </c>
      <c r="E118" t="str">
        <f t="shared" si="9"/>
        <v>905-430-4962</v>
      </c>
      <c r="F118" t="str">
        <f t="shared" si="10"/>
        <v>L1R 3K5</v>
      </c>
      <c r="G118" t="str">
        <f t="shared" si="11"/>
        <v>[ "Canadian Tire", 43.9191693112809, -78.9481985068482, '905-430-4962', 'L1R 3K5'],</v>
      </c>
    </row>
    <row r="119" spans="1:7" x14ac:dyDescent="0.2">
      <c r="A119" t="s">
        <v>124</v>
      </c>
      <c r="B119" t="str">
        <f t="shared" si="6"/>
        <v>Canadian Tire</v>
      </c>
      <c r="C119" t="str">
        <f t="shared" si="7"/>
        <v>43.9363815152165</v>
      </c>
      <c r="D119" t="str">
        <f t="shared" si="8"/>
        <v>-78.8589058995898</v>
      </c>
      <c r="E119" t="str">
        <f t="shared" si="9"/>
        <v>905-433-5575</v>
      </c>
      <c r="F119" t="str">
        <f t="shared" si="10"/>
        <v>L1K 2B8</v>
      </c>
      <c r="G119" t="str">
        <f t="shared" si="11"/>
        <v>[ "Canadian Tire", 43.9363815152165, -78.8589058995898, '905-433-5575', 'L1K 2B8'],</v>
      </c>
    </row>
    <row r="120" spans="1:7" x14ac:dyDescent="0.2">
      <c r="A120" t="s">
        <v>125</v>
      </c>
      <c r="B120" t="str">
        <f t="shared" si="6"/>
        <v>Home Depot</v>
      </c>
      <c r="C120" t="str">
        <f t="shared" si="7"/>
        <v>43.942966</v>
      </c>
      <c r="D120" t="str">
        <f t="shared" si="8"/>
        <v>-78.850946</v>
      </c>
      <c r="E120" t="str">
        <f t="shared" si="9"/>
        <v>905-743-5600</v>
      </c>
      <c r="F120" t="str">
        <f t="shared" si="10"/>
        <v>L1H 7K5</v>
      </c>
      <c r="G120" t="str">
        <f t="shared" si="11"/>
        <v>[ "Home Depot", 43.942966, -78.850946, '905-743-5600', 'L1H 7K5'],</v>
      </c>
    </row>
    <row r="121" spans="1:7" x14ac:dyDescent="0.2">
      <c r="A121" t="s">
        <v>126</v>
      </c>
      <c r="B121" t="str">
        <f t="shared" si="6"/>
        <v>MOHLTC - EHSB - Oshawa CACC</v>
      </c>
      <c r="C121" t="str">
        <f t="shared" si="7"/>
        <v>43.899208284362</v>
      </c>
      <c r="D121" t="str">
        <f t="shared" si="8"/>
        <v>-78.9427566576219</v>
      </c>
      <c r="E121" t="str">
        <f t="shared" si="9"/>
        <v>905-430-5542</v>
      </c>
      <c r="F121" t="str">
        <f t="shared" si="10"/>
        <v>L1N 9G5</v>
      </c>
      <c r="G121" t="str">
        <f t="shared" si="11"/>
        <v>[ "MOHLTC - EHSB - Oshawa CACC", 43.899208284362, -78.9427566576219, '905-430-5542', 'L1N 9G5'],</v>
      </c>
    </row>
    <row r="122" spans="1:7" x14ac:dyDescent="0.2">
      <c r="A122" t="s">
        <v>127</v>
      </c>
      <c r="B122" t="str">
        <f t="shared" si="6"/>
        <v>The Source</v>
      </c>
      <c r="C122" t="str">
        <f t="shared" si="7"/>
        <v>43.9411300455574</v>
      </c>
      <c r="D122" t="str">
        <f t="shared" si="8"/>
        <v>-78.8423105538002</v>
      </c>
      <c r="E122" t="str">
        <f t="shared" si="9"/>
        <v>905-723-3407</v>
      </c>
      <c r="F122" t="str">
        <f t="shared" si="10"/>
        <v>L1H 7K5</v>
      </c>
      <c r="G122" t="str">
        <f t="shared" si="11"/>
        <v>[ "The Source", 43.9411300455574, -78.8423105538002, '905-723-3407', 'L1H 7K5'],</v>
      </c>
    </row>
    <row r="123" spans="1:7" x14ac:dyDescent="0.2">
      <c r="A123" t="s">
        <v>128</v>
      </c>
      <c r="B123" t="str">
        <f t="shared" si="6"/>
        <v>ListenUp! Canada</v>
      </c>
      <c r="C123" t="str">
        <f t="shared" si="7"/>
        <v>43.8889624</v>
      </c>
      <c r="D123" t="str">
        <f t="shared" si="8"/>
        <v>-78.9352684</v>
      </c>
      <c r="E123" t="str">
        <f t="shared" si="9"/>
        <v>905-668-5440</v>
      </c>
      <c r="F123" t="str">
        <f t="shared" si="10"/>
        <v>L1N 7B3</v>
      </c>
      <c r="G123" t="str">
        <f t="shared" si="11"/>
        <v>[ "ListenUp! Canada", 43.8889624, -78.9352684, '905-668-5440', 'L1N 7B3'],</v>
      </c>
    </row>
    <row r="124" spans="1:7" x14ac:dyDescent="0.2">
      <c r="A124" t="s">
        <v>129</v>
      </c>
      <c r="B124" t="str">
        <f t="shared" si="6"/>
        <v>ListenUp! Canada</v>
      </c>
      <c r="C124" t="str">
        <f t="shared" si="7"/>
        <v>43.8935839199709</v>
      </c>
      <c r="D124" t="str">
        <f t="shared" si="8"/>
        <v>-78.8812031841397</v>
      </c>
      <c r="E124" t="str">
        <f t="shared" si="9"/>
        <v>905-438-7997</v>
      </c>
      <c r="F124" t="str">
        <f t="shared" si="10"/>
        <v>L1J 2K9</v>
      </c>
      <c r="G124" t="str">
        <f t="shared" si="11"/>
        <v>[ "ListenUp! Canada", 43.8935839199709, -78.8812031841397, '905-438-7997', 'L1J 2K9'],</v>
      </c>
    </row>
    <row r="125" spans="1:7" x14ac:dyDescent="0.2">
      <c r="A125" t="s">
        <v>130</v>
      </c>
      <c r="B125" t="str">
        <f t="shared" si="6"/>
        <v>Staples</v>
      </c>
      <c r="C125" t="str">
        <f t="shared" si="7"/>
        <v>43.88695</v>
      </c>
      <c r="D125" t="str">
        <f t="shared" si="8"/>
        <v>-78.87582125</v>
      </c>
      <c r="E125" t="str">
        <f t="shared" si="9"/>
        <v>905-434-1947</v>
      </c>
      <c r="F125" t="str">
        <f t="shared" si="10"/>
        <v>L1J 2K5</v>
      </c>
      <c r="G125" t="str">
        <f t="shared" si="11"/>
        <v>[ "Staples", 43.88695, -78.87582125, '905-434-1947', 'L1J 2K5'],</v>
      </c>
    </row>
    <row r="126" spans="1:7" x14ac:dyDescent="0.2">
      <c r="A126" t="s">
        <v>131</v>
      </c>
      <c r="B126" t="str">
        <f t="shared" si="6"/>
        <v>Lowes</v>
      </c>
      <c r="C126" t="str">
        <f t="shared" si="7"/>
        <v>43.8791536206897</v>
      </c>
      <c r="D126" t="str">
        <f t="shared" si="8"/>
        <v>-78.882005862069</v>
      </c>
      <c r="E126" t="str">
        <f t="shared" si="9"/>
        <v>905-436-4940</v>
      </c>
      <c r="F126" t="str">
        <f t="shared" si="10"/>
        <v>L1J 0B6</v>
      </c>
      <c r="G126" t="str">
        <f t="shared" si="11"/>
        <v>[ "Lowes", 43.8791536206897, -78.882005862069, '905-436-4940', 'L1J 0B6'],</v>
      </c>
    </row>
    <row r="127" spans="1:7" x14ac:dyDescent="0.2">
      <c r="A127" t="s">
        <v>132</v>
      </c>
      <c r="B127" t="str">
        <f t="shared" si="6"/>
        <v>Home Depot</v>
      </c>
      <c r="C127" t="str">
        <f t="shared" si="7"/>
        <v>43.8669056517861</v>
      </c>
      <c r="D127" t="str">
        <f t="shared" si="8"/>
        <v>-78.9008313585739</v>
      </c>
      <c r="E127" t="str">
        <f t="shared" si="9"/>
        <v>905-571-5900</v>
      </c>
      <c r="F127" t="str">
        <f t="shared" si="10"/>
        <v>L1N 9K6</v>
      </c>
      <c r="G127" t="str">
        <f t="shared" si="11"/>
        <v>[ "Home Depot", 43.8669056517861, -78.9008313585739, '905-571-5900', 'L1N 9K6'],</v>
      </c>
    </row>
    <row r="128" spans="1:7" x14ac:dyDescent="0.2">
      <c r="A128" t="s">
        <v>133</v>
      </c>
      <c r="B128" t="str">
        <f t="shared" si="6"/>
        <v>Princess Auto</v>
      </c>
      <c r="C128" t="str">
        <f t="shared" si="7"/>
        <v>43.8656465070742</v>
      </c>
      <c r="D128" t="str">
        <f t="shared" si="8"/>
        <v>-78.9044570195808</v>
      </c>
      <c r="E128" t="str">
        <f t="shared" si="9"/>
        <v>905-665-8581</v>
      </c>
      <c r="F128" t="str">
        <f t="shared" si="10"/>
        <v>L1N 9W7</v>
      </c>
      <c r="G128" t="str">
        <f t="shared" si="11"/>
        <v>[ "Princess Auto", 43.8656465070742, -78.9044570195808, '905-665-8581', 'L1N 9W7'],</v>
      </c>
    </row>
    <row r="129" spans="1:7" x14ac:dyDescent="0.2">
      <c r="A129" t="s">
        <v>134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Fastenal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43.8596828812545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-78.896106598816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905-723-3500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L1N 8M2</v>
      </c>
      <c r="G129" t="str">
        <f t="shared" ref="G129:G192" si="17">"[ "&amp;CHAR(34)&amp;B129&amp;CHAR(34)&amp;", "&amp;C129&amp;", "&amp;D129&amp;", '"&amp;E129&amp;"', '"&amp;F129&amp;"'],"</f>
        <v>[ "Fastenal", 43.8596828812545, -78.896106598816, '905-723-3500', 'L1N 8M2'],</v>
      </c>
    </row>
    <row r="130" spans="1:7" x14ac:dyDescent="0.2">
      <c r="A130" t="s">
        <v>135</v>
      </c>
      <c r="B130" t="str">
        <f t="shared" si="12"/>
        <v>Home Depot</v>
      </c>
      <c r="C130" t="str">
        <f t="shared" si="13"/>
        <v>43.8646801818182</v>
      </c>
      <c r="D130" t="str">
        <f t="shared" si="14"/>
        <v>-79.0104941818182</v>
      </c>
      <c r="E130" t="str">
        <f t="shared" si="15"/>
        <v>905-428-7939</v>
      </c>
      <c r="F130" t="str">
        <f t="shared" si="16"/>
        <v>L1Z 1G1</v>
      </c>
      <c r="G130" t="str">
        <f t="shared" si="17"/>
        <v>[ "Home Depot", 43.8646801818182, -79.0104941818182, '905-428-7939', 'L1Z 1G1'],</v>
      </c>
    </row>
    <row r="131" spans="1:7" x14ac:dyDescent="0.2">
      <c r="A131" t="s">
        <v>136</v>
      </c>
      <c r="B131" t="str">
        <f t="shared" si="12"/>
        <v>The Source</v>
      </c>
      <c r="C131" t="str">
        <f t="shared" si="13"/>
        <v>43.8638147</v>
      </c>
      <c r="D131" t="str">
        <f t="shared" si="14"/>
        <v>-79.0254152</v>
      </c>
      <c r="E131" t="str">
        <f t="shared" si="15"/>
        <v>905-427-8617</v>
      </c>
      <c r="F131" t="str">
        <f t="shared" si="16"/>
        <v>L1Z 1E8</v>
      </c>
      <c r="G131" t="str">
        <f t="shared" si="17"/>
        <v>[ "The Source", 43.8638147, -79.0254152, '905-427-8617', 'L1Z 1E8'],</v>
      </c>
    </row>
    <row r="132" spans="1:7" x14ac:dyDescent="0.2">
      <c r="A132" t="s">
        <v>137</v>
      </c>
      <c r="B132" t="str">
        <f t="shared" si="12"/>
        <v>Staples</v>
      </c>
      <c r="C132" t="str">
        <f t="shared" si="13"/>
        <v>43.859581</v>
      </c>
      <c r="D132" t="str">
        <f t="shared" si="14"/>
        <v>-79.026064</v>
      </c>
      <c r="E132" t="str">
        <f t="shared" si="15"/>
        <v>905-686-1422</v>
      </c>
      <c r="F132" t="str">
        <f t="shared" si="16"/>
        <v>L1S 7L8</v>
      </c>
      <c r="G132" t="str">
        <f t="shared" si="17"/>
        <v>[ "Staples", 43.859581, -79.026064, '905-686-1422', 'L1S 7L8'],</v>
      </c>
    </row>
    <row r="133" spans="1:7" x14ac:dyDescent="0.2">
      <c r="A133" t="s">
        <v>138</v>
      </c>
      <c r="B133" t="str">
        <f t="shared" si="12"/>
        <v>Lowes</v>
      </c>
      <c r="C133" t="str">
        <f t="shared" si="13"/>
        <v>43.84796</v>
      </c>
      <c r="D133" t="str">
        <f t="shared" si="14"/>
        <v>-79.07391</v>
      </c>
      <c r="E133" t="str">
        <f t="shared" si="15"/>
        <v>905-619-7530</v>
      </c>
      <c r="F133" t="str">
        <f t="shared" si="16"/>
        <v>L1V 4H7</v>
      </c>
      <c r="G133" t="str">
        <f t="shared" si="17"/>
        <v>[ "Lowes", 43.84796, -79.07391, '905-619-7530', 'L1V 4H7'],</v>
      </c>
    </row>
    <row r="134" spans="1:7" x14ac:dyDescent="0.2">
      <c r="A134" t="s">
        <v>139</v>
      </c>
      <c r="B134" t="str">
        <f t="shared" si="12"/>
        <v>Staples</v>
      </c>
      <c r="C134" t="str">
        <f t="shared" si="13"/>
        <v>43.84316</v>
      </c>
      <c r="D134" t="str">
        <f t="shared" si="14"/>
        <v>-79.06844</v>
      </c>
      <c r="E134" t="str">
        <f t="shared" si="15"/>
        <v>905-683-4620</v>
      </c>
      <c r="F134" t="str">
        <f t="shared" si="16"/>
        <v>L1V 6K5</v>
      </c>
      <c r="G134" t="str">
        <f t="shared" si="17"/>
        <v>[ "Staples", 43.84316, -79.06844, '905-683-4620', 'L1V 6K5'],</v>
      </c>
    </row>
    <row r="135" spans="1:7" x14ac:dyDescent="0.2">
      <c r="A135" t="s">
        <v>140</v>
      </c>
      <c r="B135" t="str">
        <f t="shared" si="12"/>
        <v>Canadian Tire</v>
      </c>
      <c r="C135" t="str">
        <f t="shared" si="13"/>
        <v>43.8434917861008</v>
      </c>
      <c r="D135" t="str">
        <f t="shared" si="14"/>
        <v>-79.0698554505003</v>
      </c>
      <c r="E135" t="str">
        <f t="shared" si="15"/>
        <v>905-686-2308</v>
      </c>
      <c r="F135" t="str">
        <f t="shared" si="16"/>
        <v>L1V 7C7</v>
      </c>
      <c r="G135" t="str">
        <f t="shared" si="17"/>
        <v>[ "Canadian Tire", 43.8434917861008, -79.0698554505003, '905-686-2308', 'L1V 7C7'],</v>
      </c>
    </row>
    <row r="136" spans="1:7" x14ac:dyDescent="0.2">
      <c r="A136" t="s">
        <v>141</v>
      </c>
      <c r="B136" t="str">
        <f t="shared" si="12"/>
        <v>Canadian Tire</v>
      </c>
      <c r="C136" t="str">
        <f t="shared" si="13"/>
        <v>43.90952</v>
      </c>
      <c r="D136" t="str">
        <f t="shared" si="14"/>
        <v>-78.71215</v>
      </c>
      <c r="E136" t="str">
        <f t="shared" si="15"/>
        <v>905-623-5000</v>
      </c>
      <c r="F136" t="str">
        <f t="shared" si="16"/>
        <v>L1C 0K5</v>
      </c>
      <c r="G136" t="str">
        <f t="shared" si="17"/>
        <v>[ "Canadian Tire", 43.90952, -78.71215, '905-623-5000', 'L1C 0K5'],</v>
      </c>
    </row>
    <row r="137" spans="1:7" x14ac:dyDescent="0.2">
      <c r="A137" t="s">
        <v>142</v>
      </c>
      <c r="B137" t="str">
        <f t="shared" si="12"/>
        <v>Batteries Expert</v>
      </c>
      <c r="C137" t="str">
        <f t="shared" si="13"/>
        <v>43.8345991836735</v>
      </c>
      <c r="D137" t="str">
        <f t="shared" si="14"/>
        <v>-79.0699165306122</v>
      </c>
      <c r="E137" t="str">
        <f t="shared" si="15"/>
        <v>905-831-5068</v>
      </c>
      <c r="F137" t="str">
        <f t="shared" si="16"/>
        <v>L1W 3S1</v>
      </c>
      <c r="G137" t="str">
        <f t="shared" si="17"/>
        <v>[ "Batteries Expert", 43.8345991836735, -79.0699165306122, '905-831-5068', 'L1W 3S1'],</v>
      </c>
    </row>
    <row r="138" spans="1:7" x14ac:dyDescent="0.2">
      <c r="A138" t="s">
        <v>143</v>
      </c>
      <c r="B138" t="str">
        <f t="shared" si="12"/>
        <v>Home Depot</v>
      </c>
      <c r="C138" t="str">
        <f t="shared" si="13"/>
        <v>43.91096</v>
      </c>
      <c r="D138" t="str">
        <f t="shared" si="14"/>
        <v>-78.70816</v>
      </c>
      <c r="E138" t="str">
        <f t="shared" si="15"/>
        <v>905-697-5170</v>
      </c>
      <c r="F138" t="str">
        <f t="shared" si="16"/>
        <v>L1C 0C3</v>
      </c>
      <c r="G138" t="str">
        <f t="shared" si="17"/>
        <v>[ "Home Depot", 43.91096, -78.70816, '905-697-5170', 'L1C 0C3'],</v>
      </c>
    </row>
    <row r="139" spans="1:7" x14ac:dyDescent="0.2">
      <c r="A139" t="s">
        <v>144</v>
      </c>
      <c r="B139" t="str">
        <f t="shared" si="12"/>
        <v>The Source</v>
      </c>
      <c r="C139" t="str">
        <f t="shared" si="13"/>
        <v>43.8381477777778</v>
      </c>
      <c r="D139" t="str">
        <f t="shared" si="14"/>
        <v>-79.0872377777778</v>
      </c>
      <c r="E139" t="str">
        <f t="shared" si="15"/>
        <v>905-839-3568</v>
      </c>
      <c r="F139" t="str">
        <f t="shared" si="16"/>
        <v>L1V 1B8</v>
      </c>
      <c r="G139" t="str">
        <f t="shared" si="17"/>
        <v>[ "The Source", 43.8381477777778, -79.0872377777778, '905-839-3568', 'L1V 1B8'],</v>
      </c>
    </row>
    <row r="140" spans="1:7" x14ac:dyDescent="0.2">
      <c r="A140" t="s">
        <v>145</v>
      </c>
      <c r="B140" t="str">
        <f t="shared" si="12"/>
        <v>Home Depot</v>
      </c>
      <c r="C140" t="str">
        <f t="shared" si="13"/>
        <v>43.829046715547</v>
      </c>
      <c r="D140" t="str">
        <f t="shared" si="14"/>
        <v>-79.0984834069593</v>
      </c>
      <c r="E140" t="str">
        <f t="shared" si="15"/>
        <v>905-421-2000</v>
      </c>
      <c r="F140" t="str">
        <f t="shared" si="16"/>
        <v>L1V 1B5</v>
      </c>
      <c r="G140" t="str">
        <f t="shared" si="17"/>
        <v>[ "Home Depot", 43.829046715547, -79.0984834069593, '905-421-2000', 'L1V 1B5'],</v>
      </c>
    </row>
    <row r="141" spans="1:7" x14ac:dyDescent="0.2">
      <c r="A141" t="s">
        <v>146</v>
      </c>
      <c r="B141" t="str">
        <f t="shared" si="12"/>
        <v>Staples</v>
      </c>
      <c r="C141" t="str">
        <f t="shared" si="13"/>
        <v>43.91057</v>
      </c>
      <c r="D141" t="str">
        <f t="shared" si="14"/>
        <v>-78.68024</v>
      </c>
      <c r="E141" t="str">
        <f t="shared" si="15"/>
        <v>905-623-1700</v>
      </c>
      <c r="F141" t="str">
        <f t="shared" si="16"/>
        <v>L1C 1P2</v>
      </c>
      <c r="G141" t="str">
        <f t="shared" si="17"/>
        <v>[ "Staples", 43.91057, -78.68024, '905-623-1700', 'L1C 1P2'],</v>
      </c>
    </row>
    <row r="142" spans="1:7" x14ac:dyDescent="0.2">
      <c r="A142" t="s">
        <v>147</v>
      </c>
      <c r="B142" t="str">
        <f t="shared" si="12"/>
        <v>Staples</v>
      </c>
      <c r="C142" t="str">
        <f t="shared" si="13"/>
        <v>44.09409625</v>
      </c>
      <c r="D142" t="str">
        <f t="shared" si="14"/>
        <v>-79.1307016666667</v>
      </c>
      <c r="E142" t="str">
        <f t="shared" si="15"/>
        <v>905-862-2614</v>
      </c>
      <c r="F142" t="str">
        <f t="shared" si="16"/>
        <v>L9P 1S9</v>
      </c>
      <c r="G142" t="str">
        <f t="shared" si="17"/>
        <v>[ "Staples", 44.09409625, -79.1307016666667, '905-862-2614', 'L9P 1S9'],</v>
      </c>
    </row>
    <row r="143" spans="1:7" x14ac:dyDescent="0.2">
      <c r="A143" t="s">
        <v>148</v>
      </c>
      <c r="B143" t="str">
        <f t="shared" si="12"/>
        <v>Best Buy</v>
      </c>
      <c r="C143" t="str">
        <f t="shared" si="13"/>
        <v>43.80644</v>
      </c>
      <c r="D143" t="str">
        <f t="shared" si="14"/>
        <v>-79.13402</v>
      </c>
      <c r="E143" t="str">
        <f t="shared" si="15"/>
        <v>--</v>
      </c>
      <c r="F143" t="str">
        <f t="shared" si="16"/>
        <v>L1V 1B8</v>
      </c>
      <c r="G143" t="str">
        <f t="shared" si="17"/>
        <v>[ "Best Buy", 43.80644, -79.13402, '--', 'L1V 1B8'],</v>
      </c>
    </row>
    <row r="144" spans="1:7" x14ac:dyDescent="0.2">
      <c r="A144" t="s">
        <v>149</v>
      </c>
      <c r="B144" t="str">
        <f t="shared" si="12"/>
        <v>ListenUp! Canada</v>
      </c>
      <c r="C144" t="str">
        <f t="shared" si="13"/>
        <v>44.1077506739765</v>
      </c>
      <c r="D144" t="str">
        <f t="shared" si="14"/>
        <v>-79.1229455265324</v>
      </c>
      <c r="E144" t="str">
        <f t="shared" si="15"/>
        <v>905-852-5933</v>
      </c>
      <c r="F144" t="str">
        <f t="shared" si="16"/>
        <v>L9P 1V9</v>
      </c>
      <c r="G144" t="str">
        <f t="shared" si="17"/>
        <v>[ "ListenUp! Canada", 44.1077506739765, -79.1229455265324, '905-852-5933', 'L9P 1V9'],</v>
      </c>
    </row>
    <row r="145" spans="1:7" x14ac:dyDescent="0.2">
      <c r="A145" t="s">
        <v>151</v>
      </c>
      <c r="B145" t="str">
        <f t="shared" si="12"/>
        <v>ListenUp! Canada</v>
      </c>
      <c r="C145" t="str">
        <f t="shared" si="13"/>
        <v>43.8652224</v>
      </c>
      <c r="D145" t="str">
        <f t="shared" si="14"/>
        <v>-79.2924453</v>
      </c>
      <c r="E145" t="str">
        <f t="shared" si="15"/>
        <v>905-479-6886</v>
      </c>
      <c r="F145" t="str">
        <f t="shared" si="16"/>
        <v>L3R 1N1</v>
      </c>
      <c r="G145" t="str">
        <f t="shared" si="17"/>
        <v>[ "ListenUp! Canada", 43.8652224, -79.2924453, '905-479-6886', 'L3R 1N1'],</v>
      </c>
    </row>
    <row r="146" spans="1:7" x14ac:dyDescent="0.2">
      <c r="A146" t="s">
        <v>152</v>
      </c>
      <c r="B146" t="str">
        <f t="shared" si="12"/>
        <v>Best Buy</v>
      </c>
      <c r="C146" t="str">
        <f t="shared" si="13"/>
        <v>43.8655657142857</v>
      </c>
      <c r="D146" t="str">
        <f t="shared" si="14"/>
        <v>-79.2913528571429</v>
      </c>
      <c r="E146" t="str">
        <f t="shared" si="15"/>
        <v>--</v>
      </c>
      <c r="F146" t="str">
        <f t="shared" si="16"/>
        <v>L3R 4M9</v>
      </c>
      <c r="G146" t="str">
        <f t="shared" si="17"/>
        <v>[ "Best Buy", 43.8655657142857, -79.2913528571429, '--', 'L3R 4M9'],</v>
      </c>
    </row>
    <row r="147" spans="1:7" x14ac:dyDescent="0.2">
      <c r="A147" t="s">
        <v>153</v>
      </c>
      <c r="B147" t="str">
        <f t="shared" si="12"/>
        <v>Staples</v>
      </c>
      <c r="C147" t="str">
        <f t="shared" si="13"/>
        <v>43.8511025</v>
      </c>
      <c r="D147" t="str">
        <f t="shared" si="14"/>
        <v>-79.3522558333333</v>
      </c>
      <c r="E147" t="str">
        <f t="shared" si="15"/>
        <v>905-479-3101</v>
      </c>
      <c r="F147" t="str">
        <f t="shared" si="16"/>
        <v>L3R 0J5</v>
      </c>
      <c r="G147" t="str">
        <f t="shared" si="17"/>
        <v>[ "Staples", 43.8511025, -79.3522558333333, '905-479-3101', 'L3R 0J5'],</v>
      </c>
    </row>
    <row r="148" spans="1:7" x14ac:dyDescent="0.2">
      <c r="A148" t="s">
        <v>154</v>
      </c>
      <c r="B148" t="str">
        <f t="shared" si="12"/>
        <v>Home Depot</v>
      </c>
      <c r="C148" t="str">
        <f t="shared" si="13"/>
        <v>43.850865</v>
      </c>
      <c r="D148" t="str">
        <f t="shared" si="14"/>
        <v>-79.353385</v>
      </c>
      <c r="E148" t="str">
        <f t="shared" si="15"/>
        <v>905-940-5900</v>
      </c>
      <c r="F148" t="str">
        <f t="shared" si="16"/>
        <v>L3R 0J6</v>
      </c>
      <c r="G148" t="str">
        <f t="shared" si="17"/>
        <v>[ "Home Depot", 43.850865, -79.353385, '905-940-5900', 'L3R 0J6'],</v>
      </c>
    </row>
    <row r="149" spans="1:7" x14ac:dyDescent="0.2">
      <c r="A149" t="s">
        <v>155</v>
      </c>
      <c r="B149" t="str">
        <f t="shared" si="12"/>
        <v>Princess Auto</v>
      </c>
      <c r="C149" t="str">
        <f t="shared" si="13"/>
        <v>43.8497606481056</v>
      </c>
      <c r="D149" t="str">
        <f t="shared" si="14"/>
        <v>-79.3580154079469</v>
      </c>
      <c r="E149" t="str">
        <f t="shared" si="15"/>
        <v>905-944-9696</v>
      </c>
      <c r="F149" t="str">
        <f t="shared" si="16"/>
        <v>L3R 4X7</v>
      </c>
      <c r="G149" t="str">
        <f t="shared" si="17"/>
        <v>[ "Princess Auto", 43.8497606481056, -79.3580154079469, '905-944-9696', 'L3R 4X7'],</v>
      </c>
    </row>
    <row r="150" spans="1:7" x14ac:dyDescent="0.2">
      <c r="A150" t="s">
        <v>156</v>
      </c>
      <c r="B150" t="str">
        <f t="shared" si="12"/>
        <v>Go Wireless Inc Canada (Parent)</v>
      </c>
      <c r="C150" t="str">
        <f t="shared" si="13"/>
        <v>43.8410172451317</v>
      </c>
      <c r="D150" t="str">
        <f t="shared" si="14"/>
        <v>-79.3261101042016</v>
      </c>
      <c r="E150" t="str">
        <f t="shared" si="15"/>
        <v>905-940-8750</v>
      </c>
      <c r="F150" t="str">
        <f t="shared" si="16"/>
        <v>L3R 9X5</v>
      </c>
      <c r="G150" t="str">
        <f t="shared" si="17"/>
        <v>[ "Go Wireless Inc Canada (Parent)", 43.8410172451317, -79.3261101042016, '905-940-8750', 'L3R 9X5'],</v>
      </c>
    </row>
    <row r="151" spans="1:7" x14ac:dyDescent="0.2">
      <c r="A151" t="s">
        <v>157</v>
      </c>
      <c r="B151" t="str">
        <f t="shared" si="12"/>
        <v>Go Wireless Canada</v>
      </c>
      <c r="C151" t="str">
        <f t="shared" si="13"/>
        <v>43.8401537747984</v>
      </c>
      <c r="D151" t="str">
        <f t="shared" si="14"/>
        <v>-79.3284351589818</v>
      </c>
      <c r="E151" t="str">
        <f t="shared" si="15"/>
        <v>905-432-3665</v>
      </c>
      <c r="F151" t="str">
        <f t="shared" si="16"/>
        <v>L3R 9X5</v>
      </c>
      <c r="G151" t="str">
        <f t="shared" si="17"/>
        <v>[ "Go Wireless Canada", 43.8401537747984, -79.3284351589818, '905-432-3665', 'L3R 9X5'],</v>
      </c>
    </row>
    <row r="152" spans="1:7" x14ac:dyDescent="0.2">
      <c r="A152" t="s">
        <v>158</v>
      </c>
      <c r="B152" t="str">
        <f t="shared" si="12"/>
        <v>Pinnacle Hobby</v>
      </c>
      <c r="C152" t="str">
        <f t="shared" si="13"/>
        <v>43.8912729740915</v>
      </c>
      <c r="D152" t="str">
        <f t="shared" si="14"/>
        <v>-79.2658992414536</v>
      </c>
      <c r="E152" t="str">
        <f t="shared" si="15"/>
        <v>905-471-9634</v>
      </c>
      <c r="F152" t="str">
        <f t="shared" si="16"/>
        <v>L3P 7R1</v>
      </c>
      <c r="G152" t="str">
        <f t="shared" si="17"/>
        <v>[ "Pinnacle Hobby", 43.8912729740915, -79.2658992414536, '905-471-9634', 'L3P 7R1'],</v>
      </c>
    </row>
    <row r="153" spans="1:7" x14ac:dyDescent="0.2">
      <c r="A153" t="s">
        <v>159</v>
      </c>
      <c r="B153" t="str">
        <f t="shared" si="12"/>
        <v>Home Depot</v>
      </c>
      <c r="C153" t="str">
        <f t="shared" si="13"/>
        <v>43.90374</v>
      </c>
      <c r="D153" t="str">
        <f t="shared" si="14"/>
        <v>-79.26985</v>
      </c>
      <c r="E153" t="str">
        <f t="shared" si="15"/>
        <v>905-201-5500</v>
      </c>
      <c r="F153" t="str">
        <f t="shared" si="16"/>
        <v>L6E 0G5</v>
      </c>
      <c r="G153" t="str">
        <f t="shared" si="17"/>
        <v>[ "Home Depot", 43.90374, -79.26985, '905-201-5500', 'L6E 0G5'],</v>
      </c>
    </row>
    <row r="154" spans="1:7" x14ac:dyDescent="0.2">
      <c r="A154" t="s">
        <v>160</v>
      </c>
      <c r="B154" t="str">
        <f t="shared" si="12"/>
        <v>Home Depot</v>
      </c>
      <c r="C154" t="str">
        <f t="shared" si="13"/>
        <v>43.899563</v>
      </c>
      <c r="D154" t="str">
        <f t="shared" si="14"/>
        <v>-79.391825</v>
      </c>
      <c r="E154" t="str">
        <f t="shared" si="15"/>
        <v>905-787-7200</v>
      </c>
      <c r="F154" t="str">
        <f t="shared" si="16"/>
        <v>L4S 1M6</v>
      </c>
      <c r="G154" t="str">
        <f t="shared" si="17"/>
        <v>[ "Home Depot", 43.899563, -79.391825, '905-787-7200', 'L4S 1M6'],</v>
      </c>
    </row>
    <row r="155" spans="1:7" x14ac:dyDescent="0.2">
      <c r="A155" t="s">
        <v>161</v>
      </c>
      <c r="B155" t="str">
        <f t="shared" si="12"/>
        <v>Staples</v>
      </c>
      <c r="C155" t="str">
        <f t="shared" si="13"/>
        <v>43.89947</v>
      </c>
      <c r="D155" t="str">
        <f t="shared" si="14"/>
        <v>-79.39223</v>
      </c>
      <c r="E155" t="str">
        <f t="shared" si="15"/>
        <v>905-770-1600</v>
      </c>
      <c r="F155" t="str">
        <f t="shared" si="16"/>
        <v>L4S 0B2</v>
      </c>
      <c r="G155" t="str">
        <f t="shared" si="17"/>
        <v>[ "Staples", 43.89947, -79.39223, '905-770-1600', 'L4S 0B2'],</v>
      </c>
    </row>
    <row r="156" spans="1:7" x14ac:dyDescent="0.2">
      <c r="A156" t="s">
        <v>162</v>
      </c>
      <c r="B156" t="str">
        <f t="shared" si="12"/>
        <v>Home Depot</v>
      </c>
      <c r="C156" t="str">
        <f t="shared" si="13"/>
        <v>43.8516</v>
      </c>
      <c r="D156" t="str">
        <f t="shared" si="14"/>
        <v>-79.25286</v>
      </c>
      <c r="E156" t="str">
        <f t="shared" si="15"/>
        <v>905-201-2590</v>
      </c>
      <c r="F156" t="str">
        <f t="shared" si="16"/>
        <v>L3S 4K7</v>
      </c>
      <c r="G156" t="str">
        <f t="shared" si="17"/>
        <v>[ "Home Depot", 43.8516, -79.25286, '905-201-2590', 'L3S 4K7'],</v>
      </c>
    </row>
    <row r="157" spans="1:7" x14ac:dyDescent="0.2">
      <c r="A157" t="s">
        <v>163</v>
      </c>
      <c r="B157" t="str">
        <f t="shared" si="12"/>
        <v>ListenUp! Canada</v>
      </c>
      <c r="C157" t="str">
        <f t="shared" si="13"/>
        <v>43.8504080701754</v>
      </c>
      <c r="D157" t="str">
        <f t="shared" si="14"/>
        <v>-79.4092054385965</v>
      </c>
      <c r="E157" t="str">
        <f t="shared" si="15"/>
        <v>905-889-2199</v>
      </c>
      <c r="F157" t="str">
        <f t="shared" si="16"/>
        <v>L4B 3M6</v>
      </c>
      <c r="G157" t="str">
        <f t="shared" si="17"/>
        <v>[ "ListenUp! Canada", 43.8504080701754, -79.4092054385965, '905-889-2199', 'L4B 3M6'],</v>
      </c>
    </row>
    <row r="158" spans="1:7" x14ac:dyDescent="0.2">
      <c r="A158" t="s">
        <v>164</v>
      </c>
      <c r="B158" t="str">
        <f t="shared" si="12"/>
        <v>RONA</v>
      </c>
      <c r="C158" t="str">
        <f t="shared" si="13"/>
        <v>43.8146</v>
      </c>
      <c r="D158" t="str">
        <f t="shared" si="14"/>
        <v>-79.29221</v>
      </c>
      <c r="E158" t="str">
        <f t="shared" si="15"/>
        <v>416-396-3453</v>
      </c>
      <c r="F158" t="str">
        <f t="shared" si="16"/>
        <v>M1V 4V3</v>
      </c>
      <c r="G158" t="str">
        <f t="shared" si="17"/>
        <v>[ "RONA", 43.8146, -79.29221, '416-396-3453', 'M1V 4V3'],</v>
      </c>
    </row>
    <row r="159" spans="1:7" x14ac:dyDescent="0.2">
      <c r="A159" t="s">
        <v>165</v>
      </c>
      <c r="B159" t="str">
        <f t="shared" si="12"/>
        <v>Lowes</v>
      </c>
      <c r="C159" t="str">
        <f t="shared" si="13"/>
        <v>43.8340925</v>
      </c>
      <c r="D159" t="str">
        <f t="shared" si="14"/>
        <v>-79.2526589</v>
      </c>
      <c r="E159" t="str">
        <f t="shared" si="15"/>
        <v>416-940-4827</v>
      </c>
      <c r="F159" t="str">
        <f t="shared" si="16"/>
        <v>M1V 5P7</v>
      </c>
      <c r="G159" t="str">
        <f t="shared" si="17"/>
        <v>[ "Lowes", 43.8340925, -79.2526589, '416-940-4827', 'M1V 5P7'],</v>
      </c>
    </row>
    <row r="160" spans="1:7" x14ac:dyDescent="0.2">
      <c r="A160" t="s">
        <v>166</v>
      </c>
      <c r="B160" t="str">
        <f t="shared" si="12"/>
        <v>Home Depot</v>
      </c>
      <c r="C160" t="str">
        <f t="shared" si="13"/>
        <v>43.8414159822526</v>
      </c>
      <c r="D160" t="str">
        <f t="shared" si="14"/>
        <v>-79.4228972184826</v>
      </c>
      <c r="E160" t="str">
        <f t="shared" si="15"/>
        <v>905-763-2311</v>
      </c>
      <c r="F160" t="str">
        <f t="shared" si="16"/>
        <v>L4B 4K1</v>
      </c>
      <c r="G160" t="str">
        <f t="shared" si="17"/>
        <v>[ "Home Depot", 43.8414159822526, -79.4228972184826, '905-763-2311', 'L4B 4K1'],</v>
      </c>
    </row>
    <row r="161" spans="1:7" x14ac:dyDescent="0.2">
      <c r="A161" t="s">
        <v>167</v>
      </c>
      <c r="B161" t="str">
        <f t="shared" si="12"/>
        <v>Staples Canada/Business Depot</v>
      </c>
      <c r="C161" t="str">
        <f t="shared" si="13"/>
        <v>43.8410902360863</v>
      </c>
      <c r="D161" t="str">
        <f t="shared" si="14"/>
        <v>-79.4226223429902</v>
      </c>
      <c r="E161" t="str">
        <f t="shared" si="15"/>
        <v>905-882-6995</v>
      </c>
      <c r="F161" t="str">
        <f t="shared" si="16"/>
        <v>L4B 4M6</v>
      </c>
      <c r="G161" t="str">
        <f t="shared" si="17"/>
        <v>[ "Staples Canada/Business Depot", 43.8410902360863, -79.4226223429902, '905-882-6995', 'L4B 4M6'],</v>
      </c>
    </row>
    <row r="162" spans="1:7" x14ac:dyDescent="0.2">
      <c r="A162" t="s">
        <v>168</v>
      </c>
      <c r="B162" t="str">
        <f t="shared" si="12"/>
        <v>ListenUp! Canada</v>
      </c>
      <c r="C162" t="str">
        <f t="shared" si="13"/>
        <v>43.8003307</v>
      </c>
      <c r="D162" t="str">
        <f t="shared" si="14"/>
        <v>-79.3004262</v>
      </c>
      <c r="E162" t="str">
        <f t="shared" si="15"/>
        <v>416-494-6901</v>
      </c>
      <c r="F162" t="str">
        <f t="shared" si="16"/>
        <v>M1T 3T6</v>
      </c>
      <c r="G162" t="str">
        <f t="shared" si="17"/>
        <v>[ "ListenUp! Canada", 43.8003307, -79.3004262, '416-494-6901', 'M1T 3T6'],</v>
      </c>
    </row>
    <row r="163" spans="1:7" x14ac:dyDescent="0.2">
      <c r="A163" t="s">
        <v>169</v>
      </c>
      <c r="B163" t="str">
        <f t="shared" si="12"/>
        <v>Federal Wireless Communication Inc.</v>
      </c>
      <c r="C163" t="str">
        <f t="shared" si="13"/>
        <v>43.8106164</v>
      </c>
      <c r="D163" t="str">
        <f t="shared" si="14"/>
        <v>-79.2528031</v>
      </c>
      <c r="E163" t="str">
        <f t="shared" si="15"/>
        <v>416-321-6606</v>
      </c>
      <c r="F163" t="str">
        <f t="shared" si="16"/>
        <v>M1S 5A5</v>
      </c>
      <c r="G163" t="str">
        <f t="shared" si="17"/>
        <v>[ "Federal Wireless Communication Inc.", 43.8106164, -79.2528031, '416-321-6606', 'M1S 5A5'],</v>
      </c>
    </row>
    <row r="164" spans="1:7" x14ac:dyDescent="0.2">
      <c r="A164" t="s">
        <v>170</v>
      </c>
      <c r="B164" t="str">
        <f t="shared" si="12"/>
        <v>Canadian Tire</v>
      </c>
      <c r="C164" t="str">
        <f t="shared" si="13"/>
        <v>43.9568185393775</v>
      </c>
      <c r="D164" t="str">
        <f t="shared" si="14"/>
        <v>-79.2786247921156</v>
      </c>
      <c r="E164" t="str">
        <f t="shared" si="15"/>
        <v>905-640-5800</v>
      </c>
      <c r="F164" t="str">
        <f t="shared" si="16"/>
        <v>L4A 0K2</v>
      </c>
      <c r="G164" t="str">
        <f t="shared" si="17"/>
        <v>[ "Canadian Tire", 43.9568185393775, -79.2786247921156, '905-640-5800', 'L4A 0K2'],</v>
      </c>
    </row>
    <row r="165" spans="1:7" x14ac:dyDescent="0.2">
      <c r="A165" t="s">
        <v>171</v>
      </c>
      <c r="B165" t="str">
        <f t="shared" si="12"/>
        <v>Staples</v>
      </c>
      <c r="C165" t="str">
        <f t="shared" si="13"/>
        <v>43.9582946871189</v>
      </c>
      <c r="D165" t="str">
        <f t="shared" si="14"/>
        <v>-79.2718495160064</v>
      </c>
      <c r="E165" t="str">
        <f t="shared" si="15"/>
        <v>905-642-6800</v>
      </c>
      <c r="F165" t="str">
        <f t="shared" si="16"/>
        <v>L4A 0K2</v>
      </c>
      <c r="G165" t="str">
        <f t="shared" si="17"/>
        <v>[ "Staples", 43.9582946871189, -79.2718495160064, '905-642-6800', 'L4A 0K2'],</v>
      </c>
    </row>
    <row r="166" spans="1:7" x14ac:dyDescent="0.2">
      <c r="A166" t="s">
        <v>172</v>
      </c>
      <c r="B166" t="str">
        <f t="shared" si="12"/>
        <v>Fastenal</v>
      </c>
      <c r="C166" t="str">
        <f t="shared" si="13"/>
        <v>43.8093601645066</v>
      </c>
      <c r="D166" t="str">
        <f t="shared" si="14"/>
        <v>-79.2435452702725</v>
      </c>
      <c r="E166" t="str">
        <f t="shared" si="15"/>
        <v>416-646-1681</v>
      </c>
      <c r="F166" t="str">
        <f t="shared" si="16"/>
        <v>M1B 2W4</v>
      </c>
      <c r="G166" t="str">
        <f t="shared" si="17"/>
        <v>[ "Fastenal", 43.8093601645066, -79.2435452702725, '416-646-1681', 'M1B 2W4'],</v>
      </c>
    </row>
    <row r="167" spans="1:7" x14ac:dyDescent="0.2">
      <c r="A167" t="s">
        <v>173</v>
      </c>
      <c r="B167" t="str">
        <f t="shared" si="12"/>
        <v>The Source</v>
      </c>
      <c r="C167" t="str">
        <f t="shared" si="13"/>
        <v>43.9649619587629</v>
      </c>
      <c r="D167" t="str">
        <f t="shared" si="14"/>
        <v>-79.2758659793814</v>
      </c>
      <c r="E167" t="str">
        <f t="shared" si="15"/>
        <v>905-642-4776</v>
      </c>
      <c r="F167" t="str">
        <f t="shared" si="16"/>
        <v>L4A 1H3</v>
      </c>
      <c r="G167" t="str">
        <f t="shared" si="17"/>
        <v>[ "The Source", 43.9649619587629, -79.2758659793814, '905-642-4776', 'L4A 1H3'],</v>
      </c>
    </row>
    <row r="168" spans="1:7" x14ac:dyDescent="0.2">
      <c r="A168" t="s">
        <v>174</v>
      </c>
      <c r="B168" t="str">
        <f t="shared" si="12"/>
        <v>Canadian Tire</v>
      </c>
      <c r="C168" t="str">
        <f t="shared" si="13"/>
        <v>43.7899618</v>
      </c>
      <c r="D168" t="str">
        <f t="shared" si="14"/>
        <v>-79.2610837</v>
      </c>
      <c r="E168" t="str">
        <f t="shared" si="15"/>
        <v>416-298-0000</v>
      </c>
      <c r="F168" t="str">
        <f t="shared" si="16"/>
        <v>M1S 3V5</v>
      </c>
      <c r="G168" t="str">
        <f t="shared" si="17"/>
        <v>[ "Canadian Tire", 43.7899618, -79.2610837, '416-298-0000', 'M1S 3V5'],</v>
      </c>
    </row>
    <row r="169" spans="1:7" x14ac:dyDescent="0.2">
      <c r="A169" t="s">
        <v>175</v>
      </c>
      <c r="B169" t="str">
        <f t="shared" si="12"/>
        <v>ListenUp! Canada</v>
      </c>
      <c r="C169" t="str">
        <f t="shared" si="13"/>
        <v>43.8091281818182</v>
      </c>
      <c r="D169" t="str">
        <f t="shared" si="14"/>
        <v>-79.2214209090909</v>
      </c>
      <c r="E169" t="str">
        <f t="shared" si="15"/>
        <v>416-282-5574</v>
      </c>
      <c r="F169" t="str">
        <f t="shared" si="16"/>
        <v>M1B 4Z8</v>
      </c>
      <c r="G169" t="str">
        <f t="shared" si="17"/>
        <v>[ "ListenUp! Canada", 43.8091281818182, -79.2214209090909, '416-282-5574', 'M1B 4Z8'],</v>
      </c>
    </row>
    <row r="170" spans="1:7" x14ac:dyDescent="0.2">
      <c r="A170" t="s">
        <v>176</v>
      </c>
      <c r="B170" t="str">
        <f t="shared" si="12"/>
        <v>Franklin Empire</v>
      </c>
      <c r="C170" t="str">
        <f t="shared" si="13"/>
        <v>43.785577392966</v>
      </c>
      <c r="D170" t="str">
        <f t="shared" si="14"/>
        <v>-79.2556527454995</v>
      </c>
      <c r="E170" t="str">
        <f t="shared" si="15"/>
        <v>416-299-4443</v>
      </c>
      <c r="F170" t="str">
        <f t="shared" si="16"/>
        <v>M1S 3P8</v>
      </c>
      <c r="G170" t="str">
        <f t="shared" si="17"/>
        <v>[ "Franklin Empire", 43.785577392966, -79.2556527454995, '416-299-4443', 'M1S 3P8'],</v>
      </c>
    </row>
    <row r="171" spans="1:7" x14ac:dyDescent="0.2">
      <c r="A171" t="s">
        <v>177</v>
      </c>
      <c r="B171" t="str">
        <f t="shared" si="12"/>
        <v>The Source</v>
      </c>
      <c r="C171" t="str">
        <f t="shared" si="13"/>
        <v>43.7958802857143</v>
      </c>
      <c r="D171" t="str">
        <f t="shared" si="14"/>
        <v>-79.4195102857143</v>
      </c>
      <c r="E171" t="str">
        <f t="shared" si="15"/>
        <v>416-223-1943</v>
      </c>
      <c r="F171" t="str">
        <f t="shared" si="16"/>
        <v>M2M 3X4</v>
      </c>
      <c r="G171" t="str">
        <f t="shared" si="17"/>
        <v>[ "The Source", 43.7958802857143, -79.4195102857143, '416-223-1943', 'M2M 3X4'],</v>
      </c>
    </row>
    <row r="172" spans="1:7" x14ac:dyDescent="0.2">
      <c r="A172" t="s">
        <v>178</v>
      </c>
      <c r="B172" t="str">
        <f t="shared" si="12"/>
        <v>Canadian Tire</v>
      </c>
      <c r="C172" t="str">
        <f t="shared" si="13"/>
        <v>43.7957925</v>
      </c>
      <c r="D172" t="str">
        <f t="shared" si="14"/>
        <v>-79.41948875</v>
      </c>
      <c r="E172" t="str">
        <f t="shared" si="15"/>
        <v>416-222-2511</v>
      </c>
      <c r="F172" t="str">
        <f t="shared" si="16"/>
        <v>M2M 3X4</v>
      </c>
      <c r="G172" t="str">
        <f t="shared" si="17"/>
        <v>[ "Canadian Tire", 43.7957925, -79.41948875, '416-222-2511', 'M2M 3X4'],</v>
      </c>
    </row>
    <row r="173" spans="1:7" x14ac:dyDescent="0.2">
      <c r="A173" t="s">
        <v>179</v>
      </c>
      <c r="B173" t="str">
        <f t="shared" si="12"/>
        <v>Princess Auto</v>
      </c>
      <c r="C173" t="str">
        <f t="shared" si="13"/>
        <v>43.78416</v>
      </c>
      <c r="D173" t="str">
        <f t="shared" si="14"/>
        <v>-79.25592</v>
      </c>
      <c r="E173" t="str">
        <f t="shared" si="15"/>
        <v>647-253-5600</v>
      </c>
      <c r="F173" t="str">
        <f t="shared" si="16"/>
        <v>M1S 5K7</v>
      </c>
      <c r="G173" t="str">
        <f t="shared" si="17"/>
        <v>[ "Princess Auto", 43.78416, -79.25592, '647-253-5600', 'M1S 5K7'],</v>
      </c>
    </row>
    <row r="174" spans="1:7" x14ac:dyDescent="0.2">
      <c r="A174" t="s">
        <v>180</v>
      </c>
      <c r="B174" t="str">
        <f t="shared" si="12"/>
        <v>Canadian College of Naturopathic Medicine</v>
      </c>
      <c r="C174" t="str">
        <f t="shared" si="13"/>
        <v>43.7707414</v>
      </c>
      <c r="D174" t="str">
        <f t="shared" si="14"/>
        <v>-79.3658736</v>
      </c>
      <c r="E174" t="str">
        <f t="shared" si="15"/>
        <v>416-498-1255</v>
      </c>
      <c r="F174" t="str">
        <f t="shared" si="16"/>
        <v>M2K 1E2</v>
      </c>
      <c r="G174" t="str">
        <f t="shared" si="17"/>
        <v>[ "Canadian College of Naturopathic Medicine", 43.7707414, -79.3658736, '416-498-1255', 'M2K 1E2'],</v>
      </c>
    </row>
    <row r="175" spans="1:7" x14ac:dyDescent="0.2">
      <c r="A175" t="s">
        <v>181</v>
      </c>
      <c r="B175" t="str">
        <f t="shared" si="12"/>
        <v>Best Buy</v>
      </c>
      <c r="C175" t="str">
        <f t="shared" si="13"/>
        <v>43.775466</v>
      </c>
      <c r="D175" t="str">
        <f t="shared" si="14"/>
        <v>-79.25395</v>
      </c>
      <c r="E175" t="str">
        <f t="shared" si="15"/>
        <v>--</v>
      </c>
      <c r="F175" t="str">
        <f t="shared" si="16"/>
        <v>M1P 4P5</v>
      </c>
      <c r="G175" t="str">
        <f t="shared" si="17"/>
        <v>[ "Best Buy", 43.775466, -79.25395, '--', 'M1P 4P5'],</v>
      </c>
    </row>
    <row r="176" spans="1:7" x14ac:dyDescent="0.2">
      <c r="A176" t="s">
        <v>182</v>
      </c>
      <c r="B176" t="str">
        <f t="shared" si="12"/>
        <v>The Source</v>
      </c>
      <c r="C176" t="str">
        <f t="shared" si="13"/>
        <v>43.8082546569289</v>
      </c>
      <c r="D176" t="str">
        <f t="shared" si="14"/>
        <v>-79.4543521119226</v>
      </c>
      <c r="E176" t="str">
        <f t="shared" si="15"/>
        <v>905-889-0074</v>
      </c>
      <c r="F176" t="str">
        <f t="shared" si="16"/>
        <v>L4J 4P8</v>
      </c>
      <c r="G176" t="str">
        <f t="shared" si="17"/>
        <v>[ "The Source", 43.8082546569289, -79.4543521119226, '905-889-0074', 'L4J 4P8'],</v>
      </c>
    </row>
    <row r="177" spans="1:7" x14ac:dyDescent="0.2">
      <c r="A177" t="s">
        <v>183</v>
      </c>
      <c r="B177" t="str">
        <f t="shared" si="12"/>
        <v>Best Buy</v>
      </c>
      <c r="C177" t="str">
        <f t="shared" si="13"/>
        <v>43.77976</v>
      </c>
      <c r="D177" t="str">
        <f t="shared" si="14"/>
        <v>-79.41556</v>
      </c>
      <c r="E177" t="str">
        <f t="shared" si="15"/>
        <v>--</v>
      </c>
      <c r="F177" t="str">
        <f t="shared" si="16"/>
        <v>M2M 3X4</v>
      </c>
      <c r="G177" t="str">
        <f t="shared" si="17"/>
        <v>[ "Best Buy", 43.77976, -79.41556, '--', 'M2M 3X4'],</v>
      </c>
    </row>
    <row r="178" spans="1:7" x14ac:dyDescent="0.2">
      <c r="A178" t="s">
        <v>184</v>
      </c>
      <c r="B178" t="str">
        <f t="shared" si="12"/>
        <v>Home Depot</v>
      </c>
      <c r="C178" t="str">
        <f t="shared" si="13"/>
        <v>43.76262</v>
      </c>
      <c r="D178" t="str">
        <f t="shared" si="14"/>
        <v>-79.29468</v>
      </c>
      <c r="E178" t="str">
        <f t="shared" si="15"/>
        <v>416-609-1800</v>
      </c>
      <c r="F178" t="str">
        <f t="shared" si="16"/>
        <v>M1R 4E6</v>
      </c>
      <c r="G178" t="str">
        <f t="shared" si="17"/>
        <v>[ "Home Depot", 43.76262, -79.29468, '416-609-1800', 'M1R 4E6'],</v>
      </c>
    </row>
    <row r="179" spans="1:7" x14ac:dyDescent="0.2">
      <c r="A179" t="s">
        <v>185</v>
      </c>
      <c r="B179" t="str">
        <f t="shared" si="12"/>
        <v>Staples</v>
      </c>
      <c r="C179" t="str">
        <f t="shared" si="13"/>
        <v>43.75861</v>
      </c>
      <c r="D179" t="str">
        <f t="shared" si="14"/>
        <v>-79.31211</v>
      </c>
      <c r="E179" t="str">
        <f t="shared" si="15"/>
        <v>416-444-5237</v>
      </c>
      <c r="F179" t="str">
        <f t="shared" si="16"/>
        <v>M1R 4B7</v>
      </c>
      <c r="G179" t="str">
        <f t="shared" si="17"/>
        <v>[ "Staples", 43.75861, -79.31211, '416-444-5237', 'M1R 4B7'],</v>
      </c>
    </row>
    <row r="180" spans="1:7" x14ac:dyDescent="0.2">
      <c r="A180" t="s">
        <v>186</v>
      </c>
      <c r="B180" t="str">
        <f t="shared" si="12"/>
        <v>Staples</v>
      </c>
      <c r="C180" t="str">
        <f t="shared" si="13"/>
        <v>43.79976</v>
      </c>
      <c r="D180" t="str">
        <f t="shared" si="14"/>
        <v>-79.19677</v>
      </c>
      <c r="E180" t="str">
        <f t="shared" si="15"/>
        <v>416-208-7728</v>
      </c>
      <c r="F180" t="str">
        <f t="shared" si="16"/>
        <v>M1V 1K4</v>
      </c>
      <c r="G180" t="str">
        <f t="shared" si="17"/>
        <v>[ "Staples", 43.79976, -79.19677, '416-208-7728', 'M1V 1K4'],</v>
      </c>
    </row>
    <row r="181" spans="1:7" x14ac:dyDescent="0.2">
      <c r="A181" t="s">
        <v>187</v>
      </c>
      <c r="B181" t="str">
        <f t="shared" si="12"/>
        <v>Home Depot</v>
      </c>
      <c r="C181" t="str">
        <f t="shared" si="13"/>
        <v>43.8014078156504</v>
      </c>
      <c r="D181" t="str">
        <f t="shared" si="14"/>
        <v>-79.1945958807861</v>
      </c>
      <c r="E181" t="str">
        <f t="shared" si="15"/>
        <v>416-283-3166</v>
      </c>
      <c r="F181" t="str">
        <f t="shared" si="16"/>
        <v>M1B 5N6</v>
      </c>
      <c r="G181" t="str">
        <f t="shared" si="17"/>
        <v>[ "Home Depot", 43.8014078156504, -79.1945958807861, '416-283-3166', 'M1B 5N6'],</v>
      </c>
    </row>
    <row r="182" spans="1:7" x14ac:dyDescent="0.2">
      <c r="A182" t="s">
        <v>188</v>
      </c>
      <c r="B182" t="str">
        <f t="shared" si="12"/>
        <v>RONA</v>
      </c>
      <c r="C182" t="str">
        <f t="shared" si="13"/>
        <v>43.7644127</v>
      </c>
      <c r="D182" t="str">
        <f t="shared" si="14"/>
        <v>-79.3993942</v>
      </c>
      <c r="E182" t="str">
        <f t="shared" si="15"/>
        <v>416-225-7726</v>
      </c>
      <c r="F182" t="str">
        <f t="shared" si="16"/>
        <v>M2N 3B1</v>
      </c>
      <c r="G182" t="str">
        <f t="shared" si="17"/>
        <v>[ "RONA", 43.7644127, -79.3993942, '416-225-7726', 'M2N 3B1'],</v>
      </c>
    </row>
    <row r="183" spans="1:7" x14ac:dyDescent="0.2">
      <c r="A183" t="s">
        <v>189</v>
      </c>
      <c r="B183" t="str">
        <f t="shared" si="12"/>
        <v>Canadian Tire</v>
      </c>
      <c r="C183" t="str">
        <f t="shared" si="13"/>
        <v>43.81358</v>
      </c>
      <c r="D183" t="str">
        <f t="shared" si="14"/>
        <v>-79.47625</v>
      </c>
      <c r="E183" t="str">
        <f t="shared" si="15"/>
        <v>905-889-7455</v>
      </c>
      <c r="F183" t="str">
        <f t="shared" si="16"/>
        <v>L4J 8R9</v>
      </c>
      <c r="G183" t="str">
        <f t="shared" si="17"/>
        <v>[ "Canadian Tire", 43.81358, -79.47625, '905-889-7455', 'L4J 8R9'],</v>
      </c>
    </row>
    <row r="184" spans="1:7" x14ac:dyDescent="0.2">
      <c r="A184" t="s">
        <v>190</v>
      </c>
      <c r="B184" t="str">
        <f t="shared" si="12"/>
        <v>Best Buy Canada</v>
      </c>
      <c r="C184" t="str">
        <f t="shared" si="13"/>
        <v>43.768118</v>
      </c>
      <c r="D184" t="str">
        <f t="shared" si="14"/>
        <v>-79.412616</v>
      </c>
      <c r="E184" t="str">
        <f t="shared" si="15"/>
        <v>416-642-7980</v>
      </c>
      <c r="F184" t="str">
        <f t="shared" si="16"/>
        <v>M2N 6Z4</v>
      </c>
      <c r="G184" t="str">
        <f t="shared" si="17"/>
        <v>[ "Best Buy Canada", 43.768118, -79.412616, '416-642-7980', 'M2N 6Z4'],</v>
      </c>
    </row>
    <row r="185" spans="1:7" x14ac:dyDescent="0.2">
      <c r="A185" t="s">
        <v>191</v>
      </c>
      <c r="B185" t="str">
        <f t="shared" si="12"/>
        <v>Kelcom</v>
      </c>
      <c r="C185" t="str">
        <f t="shared" si="13"/>
        <v>43.817102051282</v>
      </c>
      <c r="D185" t="str">
        <f t="shared" si="14"/>
        <v>-79.4836097435897</v>
      </c>
      <c r="E185" t="str">
        <f t="shared" si="15"/>
        <v>905-761-6070</v>
      </c>
      <c r="F185" t="str">
        <f t="shared" si="16"/>
        <v>L4K 3N6</v>
      </c>
      <c r="G185" t="str">
        <f t="shared" si="17"/>
        <v>[ "Kelcom", 43.817102051282, -79.4836097435897, '905-761-6070', 'L4K 3N6'],</v>
      </c>
    </row>
    <row r="186" spans="1:7" x14ac:dyDescent="0.2">
      <c r="A186" t="s">
        <v>192</v>
      </c>
      <c r="B186" t="str">
        <f t="shared" si="12"/>
        <v>ListenUp! Canada</v>
      </c>
      <c r="C186" t="str">
        <f t="shared" si="13"/>
        <v>43.78216</v>
      </c>
      <c r="D186" t="str">
        <f t="shared" si="14"/>
        <v>-79.207</v>
      </c>
      <c r="E186" t="str">
        <f t="shared" si="15"/>
        <v>416-283-1940</v>
      </c>
      <c r="F186" t="str">
        <f t="shared" si="16"/>
        <v>M1E 5E9</v>
      </c>
      <c r="G186" t="str">
        <f t="shared" si="17"/>
        <v>[ "ListenUp! Canada", 43.78216, -79.207, '416-283-1940', 'M1E 5E9'],</v>
      </c>
    </row>
    <row r="187" spans="1:7" x14ac:dyDescent="0.2">
      <c r="A187" t="s">
        <v>193</v>
      </c>
      <c r="B187" t="str">
        <f t="shared" si="12"/>
        <v>Staples</v>
      </c>
      <c r="C187" t="str">
        <f t="shared" si="13"/>
        <v>43.7984506</v>
      </c>
      <c r="D187" t="str">
        <f t="shared" si="14"/>
        <v>-79.4709573</v>
      </c>
      <c r="E187" t="str">
        <f t="shared" si="15"/>
        <v>905-669-5096</v>
      </c>
      <c r="F187" t="str">
        <f t="shared" si="16"/>
        <v>L4J 7R5</v>
      </c>
      <c r="G187" t="str">
        <f t="shared" si="17"/>
        <v>[ "Staples", 43.7984506, -79.4709573, '905-669-5096', 'L4J 7R5'],</v>
      </c>
    </row>
    <row r="188" spans="1:7" x14ac:dyDescent="0.2">
      <c r="A188" t="s">
        <v>194</v>
      </c>
      <c r="B188" t="str">
        <f t="shared" si="12"/>
        <v>Trion Power Tools Services Inc.</v>
      </c>
      <c r="C188" t="str">
        <f t="shared" si="13"/>
        <v>43.811413837805</v>
      </c>
      <c r="D188" t="str">
        <f t="shared" si="14"/>
        <v>-79.4880696655048</v>
      </c>
      <c r="E188" t="str">
        <f t="shared" si="15"/>
        <v>905-738-5060</v>
      </c>
      <c r="F188" t="str">
        <f t="shared" si="16"/>
        <v>L4K 3M7</v>
      </c>
      <c r="G188" t="str">
        <f t="shared" si="17"/>
        <v>[ "Trion Power Tools Services Inc.", 43.811413837805, -79.4880696655048, '905-738-5060', 'L4K 3M7'],</v>
      </c>
    </row>
    <row r="189" spans="1:7" x14ac:dyDescent="0.2">
      <c r="A189" t="s">
        <v>195</v>
      </c>
      <c r="B189" t="str">
        <f t="shared" si="12"/>
        <v>ListenUp! Canada</v>
      </c>
      <c r="C189" t="str">
        <f t="shared" si="13"/>
        <v>43.7441644444444</v>
      </c>
      <c r="D189" t="str">
        <f t="shared" si="14"/>
        <v>-79.3454033333333</v>
      </c>
      <c r="E189" t="str">
        <f t="shared" si="15"/>
        <v>416-441-3251</v>
      </c>
      <c r="F189" t="str">
        <f t="shared" si="16"/>
        <v>M3B 2W7</v>
      </c>
      <c r="G189" t="str">
        <f t="shared" si="17"/>
        <v>[ "ListenUp! Canada", 43.7441644444444, -79.3454033333333, '416-441-3251', 'M3B 2W7'],</v>
      </c>
    </row>
    <row r="190" spans="1:7" x14ac:dyDescent="0.2">
      <c r="A190" t="s">
        <v>196</v>
      </c>
      <c r="B190" t="str">
        <f t="shared" si="12"/>
        <v>ListenUp! Canada</v>
      </c>
      <c r="C190" t="str">
        <f t="shared" si="13"/>
        <v>43.74771</v>
      </c>
      <c r="D190" t="str">
        <f t="shared" si="14"/>
        <v>-79.3856283333333</v>
      </c>
      <c r="E190" t="str">
        <f t="shared" si="15"/>
        <v>416-510-2705</v>
      </c>
      <c r="F190" t="str">
        <f t="shared" si="16"/>
        <v>M2L 2Y5</v>
      </c>
      <c r="G190" t="str">
        <f t="shared" si="17"/>
        <v>[ "ListenUp! Canada", 43.74771, -79.3856283333333, '416-510-2705', 'M2L 2Y5'],</v>
      </c>
    </row>
    <row r="191" spans="1:7" x14ac:dyDescent="0.2">
      <c r="A191" t="s">
        <v>197</v>
      </c>
      <c r="B191" t="str">
        <f t="shared" si="12"/>
        <v>ListenUp! Canada</v>
      </c>
      <c r="C191" t="str">
        <f t="shared" si="13"/>
        <v>43.7601748</v>
      </c>
      <c r="D191" t="str">
        <f t="shared" si="14"/>
        <v>-79.2284333</v>
      </c>
      <c r="E191" t="str">
        <f t="shared" si="15"/>
        <v>416-439-7888</v>
      </c>
      <c r="F191" t="str">
        <f t="shared" si="16"/>
        <v>M1H 1A9</v>
      </c>
      <c r="G191" t="str">
        <f t="shared" si="17"/>
        <v>[ "ListenUp! Canada", 43.7601748, -79.2284333, '416-439-7888', 'M1H 1A9'],</v>
      </c>
    </row>
    <row r="192" spans="1:7" x14ac:dyDescent="0.2">
      <c r="A192" t="s">
        <v>198</v>
      </c>
      <c r="B192" t="str">
        <f t="shared" si="12"/>
        <v>Home Depot</v>
      </c>
      <c r="C192" t="str">
        <f t="shared" si="13"/>
        <v>43.7846456</v>
      </c>
      <c r="D192" t="str">
        <f t="shared" si="14"/>
        <v>-79.4809113</v>
      </c>
      <c r="E192" t="str">
        <f t="shared" si="15"/>
        <v>416-664-9800</v>
      </c>
      <c r="F192" t="str">
        <f t="shared" si="16"/>
        <v>M3J 3A8</v>
      </c>
      <c r="G192" t="str">
        <f t="shared" si="17"/>
        <v>[ "Home Depot", 43.7846456, -79.4809113, '416-664-9800', 'M3J 3A8'],</v>
      </c>
    </row>
    <row r="193" spans="1:7" x14ac:dyDescent="0.2">
      <c r="A193" t="s">
        <v>199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ListenUp! Canada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43.7665105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-79.1926905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416-724-9600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M1E 2S2</v>
      </c>
      <c r="G193" t="str">
        <f t="shared" ref="G193:G256" si="23">"[ "&amp;CHAR(34)&amp;B193&amp;CHAR(34)&amp;", "&amp;C193&amp;", "&amp;D193&amp;", '"&amp;E193&amp;"', '"&amp;F193&amp;"'],"</f>
        <v>[ "ListenUp! Canada", 43.7665105, -79.1926905, '416-724-9600', 'M1E 2S2'],</v>
      </c>
    </row>
    <row r="194" spans="1:7" x14ac:dyDescent="0.2">
      <c r="A194" t="s">
        <v>200</v>
      </c>
      <c r="B194" t="str">
        <f t="shared" si="18"/>
        <v>Canadian Tire</v>
      </c>
      <c r="C194" t="str">
        <f t="shared" si="19"/>
        <v>43.7976226086956</v>
      </c>
      <c r="D194" t="str">
        <f t="shared" si="20"/>
        <v>-79.1538730434783</v>
      </c>
      <c r="E194" t="str">
        <f t="shared" si="21"/>
        <v>416-283-7707</v>
      </c>
      <c r="F194" t="str">
        <f t="shared" si="22"/>
        <v>M1B 4X3</v>
      </c>
      <c r="G194" t="str">
        <f t="shared" si="23"/>
        <v>[ "Canadian Tire", 43.7976226086956, -79.1538730434783, '416-283-7707', 'M1B 4X3'],</v>
      </c>
    </row>
    <row r="195" spans="1:7" x14ac:dyDescent="0.2">
      <c r="A195" t="s">
        <v>201</v>
      </c>
      <c r="B195" t="str">
        <f t="shared" si="18"/>
        <v>Best Buy</v>
      </c>
      <c r="C195" t="str">
        <f t="shared" si="19"/>
        <v>43.7205099</v>
      </c>
      <c r="D195" t="str">
        <f t="shared" si="20"/>
        <v>-79.6000779</v>
      </c>
      <c r="E195" t="str">
        <f t="shared" si="21"/>
        <v>--</v>
      </c>
      <c r="F195" t="str">
        <f t="shared" si="22"/>
        <v>M9W 6K5</v>
      </c>
      <c r="G195" t="str">
        <f t="shared" si="23"/>
        <v>[ "Best Buy", 43.7205099, -79.6000779, '--', 'M9W 6K5'],</v>
      </c>
    </row>
    <row r="196" spans="1:7" x14ac:dyDescent="0.2">
      <c r="A196" t="s">
        <v>202</v>
      </c>
      <c r="B196" t="str">
        <f t="shared" si="18"/>
        <v>Home Depot</v>
      </c>
      <c r="C196" t="str">
        <f t="shared" si="19"/>
        <v>43.70865</v>
      </c>
      <c r="D196" t="str">
        <f t="shared" si="20"/>
        <v>-79.565265</v>
      </c>
      <c r="E196" t="str">
        <f t="shared" si="21"/>
        <v>416-746-1357</v>
      </c>
      <c r="F196" t="str">
        <f t="shared" si="22"/>
        <v>M9W 4J4</v>
      </c>
      <c r="G196" t="str">
        <f t="shared" si="23"/>
        <v>[ "Home Depot", 43.70865, -79.565265, '416-746-1357', 'M9W 4J4'],</v>
      </c>
    </row>
    <row r="197" spans="1:7" x14ac:dyDescent="0.2">
      <c r="A197" t="s">
        <v>203</v>
      </c>
      <c r="B197" t="str">
        <f t="shared" si="18"/>
        <v>Franklin Empire</v>
      </c>
      <c r="C197" t="str">
        <f t="shared" si="19"/>
        <v>43.69355</v>
      </c>
      <c r="D197" t="str">
        <f t="shared" si="20"/>
        <v>-79.59861</v>
      </c>
      <c r="E197" t="str">
        <f t="shared" si="21"/>
        <v>416-248-0176</v>
      </c>
      <c r="F197" t="str">
        <f t="shared" si="22"/>
        <v>M9W 5G6</v>
      </c>
      <c r="G197" t="str">
        <f t="shared" si="23"/>
        <v>[ "Franklin Empire", 43.69355, -79.59861, '416-248-0176', 'M9W 5G6'],</v>
      </c>
    </row>
    <row r="198" spans="1:7" x14ac:dyDescent="0.2">
      <c r="A198" t="s">
        <v>204</v>
      </c>
      <c r="B198" t="str">
        <f t="shared" si="18"/>
        <v>La Source</v>
      </c>
      <c r="C198" t="str">
        <f t="shared" si="19"/>
        <v>43.68765</v>
      </c>
      <c r="D198" t="str">
        <f t="shared" si="20"/>
        <v>-79.62194</v>
      </c>
      <c r="E198" t="str">
        <f t="shared" si="21"/>
        <v>905-672-6301</v>
      </c>
      <c r="F198" t="str">
        <f t="shared" si="22"/>
        <v>L5P 1B2</v>
      </c>
      <c r="G198" t="str">
        <f t="shared" si="23"/>
        <v>[ "La Source", 43.68765, -79.62194, '905-672-6301', 'L5P 1B2'],</v>
      </c>
    </row>
    <row r="199" spans="1:7" x14ac:dyDescent="0.2">
      <c r="A199" t="s">
        <v>205</v>
      </c>
      <c r="B199" t="str">
        <f t="shared" si="18"/>
        <v>Lakeshore Communications</v>
      </c>
      <c r="C199" t="str">
        <f t="shared" si="19"/>
        <v>43.6811083333333</v>
      </c>
      <c r="D199" t="str">
        <f t="shared" si="20"/>
        <v>-79.5916170833333</v>
      </c>
      <c r="E199" t="str">
        <f t="shared" si="21"/>
        <v>416-675-2929</v>
      </c>
      <c r="F199" t="str">
        <f t="shared" si="22"/>
        <v>M9W 1A4</v>
      </c>
      <c r="G199" t="str">
        <f t="shared" si="23"/>
        <v>[ "Lakeshore Communications", 43.6811083333333, -79.5916170833333, '416-675-2929', 'M9W 1A4'],</v>
      </c>
    </row>
    <row r="200" spans="1:7" x14ac:dyDescent="0.2">
      <c r="A200" t="s">
        <v>206</v>
      </c>
      <c r="B200" t="str">
        <f t="shared" si="18"/>
        <v>ListenUp! Canada</v>
      </c>
      <c r="C200" t="str">
        <f t="shared" si="19"/>
        <v>43.7824005</v>
      </c>
      <c r="D200" t="str">
        <f t="shared" si="20"/>
        <v>-79.5814143</v>
      </c>
      <c r="E200" t="str">
        <f t="shared" si="21"/>
        <v>905-850-8065</v>
      </c>
      <c r="F200" t="str">
        <f t="shared" si="22"/>
        <v>L4H 0P6</v>
      </c>
      <c r="G200" t="str">
        <f t="shared" si="23"/>
        <v>[ "ListenUp! Canada", 43.7824005, -79.5814143, '905-850-8065', 'L4H 0P6'],</v>
      </c>
    </row>
    <row r="201" spans="1:7" x14ac:dyDescent="0.2">
      <c r="A201" t="s">
        <v>207</v>
      </c>
      <c r="B201" t="str">
        <f t="shared" si="18"/>
        <v>Vaughan Public Libraries</v>
      </c>
      <c r="C201" t="str">
        <f t="shared" si="19"/>
        <v>43.7847275</v>
      </c>
      <c r="D201" t="str">
        <f t="shared" si="20"/>
        <v>-79.593464375</v>
      </c>
      <c r="E201" t="str">
        <f t="shared" si="21"/>
        <v>905-653-7323</v>
      </c>
      <c r="F201" t="str">
        <f t="shared" si="22"/>
        <v>L4L 2S7</v>
      </c>
      <c r="G201" t="str">
        <f t="shared" si="23"/>
        <v>[ "Vaughan Public Libraries", 43.7847275, -79.593464375, '905-653-7323', 'L4L 2S7'],</v>
      </c>
    </row>
    <row r="202" spans="1:7" x14ac:dyDescent="0.2">
      <c r="A202" t="s">
        <v>208</v>
      </c>
      <c r="B202" t="str">
        <f t="shared" si="18"/>
        <v>Advantech Communication Systems</v>
      </c>
      <c r="C202" t="str">
        <f t="shared" si="19"/>
        <v>43.7867956637033</v>
      </c>
      <c r="D202" t="str">
        <f t="shared" si="20"/>
        <v>-79.5535294998399</v>
      </c>
      <c r="E202" t="str">
        <f t="shared" si="21"/>
        <v>905-266-1901</v>
      </c>
      <c r="F202" t="str">
        <f t="shared" si="22"/>
        <v>L4L 6A9</v>
      </c>
      <c r="G202" t="str">
        <f t="shared" si="23"/>
        <v>[ "Advantech Communication Systems", 43.7867956637033, -79.5535294998399, '905-266-1901', 'L4L 6A9'],</v>
      </c>
    </row>
    <row r="203" spans="1:7" x14ac:dyDescent="0.2">
      <c r="A203" t="s">
        <v>209</v>
      </c>
      <c r="B203" t="str">
        <f t="shared" si="18"/>
        <v>Canadian Tire</v>
      </c>
      <c r="C203" t="str">
        <f t="shared" si="19"/>
        <v>43.7887668115942</v>
      </c>
      <c r="D203" t="str">
        <f t="shared" si="20"/>
        <v>-79.5506539130435</v>
      </c>
      <c r="E203" t="str">
        <f t="shared" si="21"/>
        <v>905-851-3214</v>
      </c>
      <c r="F203" t="str">
        <f t="shared" si="22"/>
        <v>L4L 9C3</v>
      </c>
      <c r="G203" t="str">
        <f t="shared" si="23"/>
        <v>[ "Canadian Tire", 43.7887668115942, -79.5506539130435, '905-851-3214', 'L4L 9C3'],</v>
      </c>
    </row>
    <row r="204" spans="1:7" x14ac:dyDescent="0.2">
      <c r="A204" t="s">
        <v>210</v>
      </c>
      <c r="B204" t="str">
        <f t="shared" si="18"/>
        <v>Staples</v>
      </c>
      <c r="C204" t="str">
        <f t="shared" si="19"/>
        <v>43.7854118</v>
      </c>
      <c r="D204" t="str">
        <f t="shared" si="20"/>
        <v>-79.5413764</v>
      </c>
      <c r="E204" t="str">
        <f t="shared" si="21"/>
        <v>905-856-6588</v>
      </c>
      <c r="F204" t="str">
        <f t="shared" si="22"/>
        <v>L4L 9J8</v>
      </c>
      <c r="G204" t="str">
        <f t="shared" si="23"/>
        <v>[ "Staples", 43.7854118, -79.5413764, '905-856-6588', 'L4L 9J8'],</v>
      </c>
    </row>
    <row r="205" spans="1:7" x14ac:dyDescent="0.2">
      <c r="A205" t="s">
        <v>211</v>
      </c>
      <c r="B205" t="str">
        <f t="shared" si="18"/>
        <v>Home Depot</v>
      </c>
      <c r="C205" t="str">
        <f t="shared" si="19"/>
        <v>43.7920975864228</v>
      </c>
      <c r="D205" t="str">
        <f t="shared" si="20"/>
        <v>-79.5438865267616</v>
      </c>
      <c r="E205" t="str">
        <f t="shared" si="21"/>
        <v>905-851-1800</v>
      </c>
      <c r="F205" t="str">
        <f t="shared" si="22"/>
        <v>L4L 8T2</v>
      </c>
      <c r="G205" t="str">
        <f t="shared" si="23"/>
        <v>[ "Home Depot", 43.7920975864228, -79.5438865267616, '905-851-1800', 'L4L 8T2'],</v>
      </c>
    </row>
    <row r="206" spans="1:7" x14ac:dyDescent="0.2">
      <c r="A206" t="s">
        <v>212</v>
      </c>
      <c r="B206" t="str">
        <f t="shared" si="18"/>
        <v>Ricoh Canada</v>
      </c>
      <c r="C206" t="str">
        <f t="shared" si="19"/>
        <v>43.6612163079398</v>
      </c>
      <c r="D206" t="str">
        <f t="shared" si="20"/>
        <v>-79.6085778031673</v>
      </c>
      <c r="E206" t="str">
        <f t="shared" si="21"/>
        <v>905-795-7926</v>
      </c>
      <c r="F206" t="str">
        <f t="shared" si="22"/>
        <v>L4W 5L1</v>
      </c>
      <c r="G206" t="str">
        <f t="shared" si="23"/>
        <v>[ "Ricoh Canada", 43.6612163079398, -79.6085778031673, '905-795-7926', 'L4W 5L1'],</v>
      </c>
    </row>
    <row r="207" spans="1:7" x14ac:dyDescent="0.2">
      <c r="A207" t="s">
        <v>213</v>
      </c>
      <c r="B207" t="str">
        <f t="shared" si="18"/>
        <v>Transcontinental Printing</v>
      </c>
      <c r="C207" t="str">
        <f t="shared" si="19"/>
        <v>43.7111904510481</v>
      </c>
      <c r="D207" t="str">
        <f t="shared" si="20"/>
        <v>-79.6904347644193</v>
      </c>
      <c r="E207" t="str">
        <f t="shared" si="21"/>
        <v>905-458-4777</v>
      </c>
      <c r="F207" t="str">
        <f t="shared" si="22"/>
        <v>L6T 1C1</v>
      </c>
      <c r="G207" t="str">
        <f t="shared" si="23"/>
        <v>[ "Transcontinental Printing", 43.7111904510481, -79.6904347644193, '905-458-4777', 'L6T 1C1'],</v>
      </c>
    </row>
    <row r="208" spans="1:7" x14ac:dyDescent="0.2">
      <c r="A208" t="s">
        <v>214</v>
      </c>
      <c r="B208" t="str">
        <f t="shared" si="18"/>
        <v>Staples Canada</v>
      </c>
      <c r="C208" t="str">
        <f t="shared" si="19"/>
        <v>43.6680095533643</v>
      </c>
      <c r="D208" t="str">
        <f t="shared" si="20"/>
        <v>-79.6452371511541</v>
      </c>
      <c r="E208" t="str">
        <f t="shared" si="21"/>
        <v>905-565-2545</v>
      </c>
      <c r="F208" t="str">
        <f t="shared" si="22"/>
        <v>L5T 1G6</v>
      </c>
      <c r="G208" t="str">
        <f t="shared" si="23"/>
        <v>[ "Staples Canada", 43.6680095533643, -79.6452371511541, '905-565-2545', 'L5T 1G6'],</v>
      </c>
    </row>
    <row r="209" spans="1:7" x14ac:dyDescent="0.2">
      <c r="A209" t="s">
        <v>215</v>
      </c>
      <c r="B209" t="str">
        <f t="shared" si="18"/>
        <v>Staples</v>
      </c>
      <c r="C209" t="str">
        <f t="shared" si="19"/>
        <v>43.7422160823042</v>
      </c>
      <c r="D209" t="str">
        <f t="shared" si="20"/>
        <v>-79.6973981517214</v>
      </c>
      <c r="E209" t="str">
        <f t="shared" si="21"/>
        <v>905-791-4522</v>
      </c>
      <c r="F209" t="str">
        <f t="shared" si="22"/>
        <v>L6T 5J1</v>
      </c>
      <c r="G209" t="str">
        <f t="shared" si="23"/>
        <v>[ "Staples", 43.7422160823042, -79.6973981517214, '905-791-4522', 'L6T 5J1'],</v>
      </c>
    </row>
    <row r="210" spans="1:7" x14ac:dyDescent="0.2">
      <c r="A210" t="s">
        <v>216</v>
      </c>
      <c r="B210" t="str">
        <f t="shared" si="18"/>
        <v>Home Depot</v>
      </c>
      <c r="C210" t="str">
        <f t="shared" si="19"/>
        <v>43.7463925195484</v>
      </c>
      <c r="D210" t="str">
        <f t="shared" si="20"/>
        <v>-79.6994949174633</v>
      </c>
      <c r="E210" t="str">
        <f t="shared" si="21"/>
        <v>905-494-2200</v>
      </c>
      <c r="F210" t="str">
        <f t="shared" si="22"/>
        <v>L6S 0B8</v>
      </c>
      <c r="G210" t="str">
        <f t="shared" si="23"/>
        <v>[ "Home Depot", 43.7463925195484, -79.6994949174633, '905-494-2200', 'L6S 0B8'],</v>
      </c>
    </row>
    <row r="211" spans="1:7" x14ac:dyDescent="0.2">
      <c r="A211" t="s">
        <v>217</v>
      </c>
      <c r="B211" t="str">
        <f t="shared" si="18"/>
        <v>Lowes</v>
      </c>
      <c r="C211" t="str">
        <f t="shared" si="19"/>
        <v>43.79482</v>
      </c>
      <c r="D211" t="str">
        <f t="shared" si="20"/>
        <v>-79.53192</v>
      </c>
      <c r="E211" t="str">
        <f t="shared" si="21"/>
        <v>905-532-5630</v>
      </c>
      <c r="F211" t="str">
        <f t="shared" si="22"/>
        <v>L4K 3Y8</v>
      </c>
      <c r="G211" t="str">
        <f t="shared" si="23"/>
        <v>[ "Lowes", 43.79482, -79.53192, '905-532-5630', 'L4K 3Y8'],</v>
      </c>
    </row>
    <row r="212" spans="1:7" x14ac:dyDescent="0.2">
      <c r="A212" t="s">
        <v>218</v>
      </c>
      <c r="B212" t="str">
        <f t="shared" si="18"/>
        <v>Princess Auto</v>
      </c>
      <c r="C212" t="str">
        <f t="shared" si="19"/>
        <v>43.6680075233941</v>
      </c>
      <c r="D212" t="str">
        <f t="shared" si="20"/>
        <v>-79.664780667741</v>
      </c>
      <c r="E212" t="str">
        <f t="shared" si="21"/>
        <v>905-564-1011</v>
      </c>
      <c r="F212" t="str">
        <f t="shared" si="22"/>
        <v>L5T 2Z9</v>
      </c>
      <c r="G212" t="str">
        <f t="shared" si="23"/>
        <v>[ "Princess Auto", 43.6680075233941, -79.664780667741, '905-564-1011', 'L5T 2Z9'],</v>
      </c>
    </row>
    <row r="213" spans="1:7" x14ac:dyDescent="0.2">
      <c r="A213" t="s">
        <v>219</v>
      </c>
      <c r="B213" t="str">
        <f t="shared" si="18"/>
        <v>Fastenal</v>
      </c>
      <c r="C213" t="str">
        <f t="shared" si="19"/>
        <v>43.7807858</v>
      </c>
      <c r="D213" t="str">
        <f t="shared" si="20"/>
        <v>-79.4973294</v>
      </c>
      <c r="E213" t="str">
        <f t="shared" si="21"/>
        <v>416-646-1681</v>
      </c>
      <c r="F213" t="str">
        <f t="shared" si="22"/>
        <v>M2M 3Y1</v>
      </c>
      <c r="G213" t="str">
        <f t="shared" si="23"/>
        <v>[ "Fastenal", 43.7807858, -79.4973294, '416-646-1681', 'M2M 3Y1'],</v>
      </c>
    </row>
    <row r="214" spans="1:7" x14ac:dyDescent="0.2">
      <c r="A214" t="s">
        <v>220</v>
      </c>
      <c r="B214" t="str">
        <f t="shared" si="18"/>
        <v>Staples Canada</v>
      </c>
      <c r="C214" t="str">
        <f t="shared" si="19"/>
        <v>43.6598001549726</v>
      </c>
      <c r="D214" t="str">
        <f t="shared" si="20"/>
        <v>-79.6637084686646</v>
      </c>
      <c r="E214" t="str">
        <f t="shared" si="21"/>
        <v>289-562-2532</v>
      </c>
      <c r="F214" t="str">
        <f t="shared" si="22"/>
        <v>L5T 1W8</v>
      </c>
      <c r="G214" t="str">
        <f t="shared" si="23"/>
        <v>[ "Staples Canada", 43.6598001549726, -79.6637084686646, '289-562-2532', 'L5T 1W8'],</v>
      </c>
    </row>
    <row r="215" spans="1:7" x14ac:dyDescent="0.2">
      <c r="A215" t="s">
        <v>221</v>
      </c>
      <c r="B215" t="str">
        <f t="shared" si="18"/>
        <v>RONA</v>
      </c>
      <c r="C215" t="str">
        <f t="shared" si="19"/>
        <v>43.6605323529412</v>
      </c>
      <c r="D215" t="str">
        <f t="shared" si="20"/>
        <v>-79.5107564705882</v>
      </c>
      <c r="E215" t="str">
        <f t="shared" si="21"/>
        <v>416-232-1460</v>
      </c>
      <c r="F215" t="str">
        <f t="shared" si="22"/>
        <v>M8X 1Y6</v>
      </c>
      <c r="G215" t="str">
        <f t="shared" si="23"/>
        <v>[ "RONA", 43.6605323529412, -79.5107564705882, '416-232-1460', 'M8X 1Y6'],</v>
      </c>
    </row>
    <row r="216" spans="1:7" x14ac:dyDescent="0.2">
      <c r="A216" t="s">
        <v>222</v>
      </c>
      <c r="B216" t="str">
        <f t="shared" si="18"/>
        <v>Staples</v>
      </c>
      <c r="C216" t="str">
        <f t="shared" si="19"/>
        <v>43.63927</v>
      </c>
      <c r="D216" t="str">
        <f t="shared" si="20"/>
        <v>-79.62362</v>
      </c>
      <c r="E216" t="str">
        <f t="shared" si="21"/>
        <v>905-602-5889</v>
      </c>
      <c r="F216" t="str">
        <f t="shared" si="22"/>
        <v>L4W 5K1</v>
      </c>
      <c r="G216" t="str">
        <f t="shared" si="23"/>
        <v>[ "Staples", 43.63927, -79.62362, '905-602-5889', 'L4W 5K1'],</v>
      </c>
    </row>
    <row r="217" spans="1:7" x14ac:dyDescent="0.2">
      <c r="A217" t="s">
        <v>223</v>
      </c>
      <c r="B217" t="str">
        <f t="shared" si="18"/>
        <v>Home Depot</v>
      </c>
      <c r="C217" t="str">
        <f t="shared" si="19"/>
        <v>43.7846456</v>
      </c>
      <c r="D217" t="str">
        <f t="shared" si="20"/>
        <v>-79.4809113</v>
      </c>
      <c r="E217" t="str">
        <f t="shared" si="21"/>
        <v>416-664-9800</v>
      </c>
      <c r="F217" t="str">
        <f t="shared" si="22"/>
        <v>M3J 3A8</v>
      </c>
      <c r="G217" t="str">
        <f t="shared" si="23"/>
        <v>[ "Home Depot", 43.7846456, -79.4809113, '416-664-9800', 'M3J 3A8'],</v>
      </c>
    </row>
    <row r="218" spans="1:7" x14ac:dyDescent="0.2">
      <c r="A218" t="s">
        <v>224</v>
      </c>
      <c r="B218" t="str">
        <f t="shared" si="18"/>
        <v>Home Depot</v>
      </c>
      <c r="C218" t="str">
        <f t="shared" si="19"/>
        <v>43.7012625</v>
      </c>
      <c r="D218" t="str">
        <f t="shared" si="20"/>
        <v>-79.4641591666667</v>
      </c>
      <c r="E218" t="str">
        <f t="shared" si="21"/>
        <v>416-780-4730</v>
      </c>
      <c r="F218" t="str">
        <f t="shared" si="22"/>
        <v>M6B 3X8</v>
      </c>
      <c r="G218" t="str">
        <f t="shared" si="23"/>
        <v>[ "Home Depot", 43.7012625, -79.4641591666667, '416-780-4730', 'M6B 3X8'],</v>
      </c>
    </row>
    <row r="219" spans="1:7" x14ac:dyDescent="0.2">
      <c r="A219" t="s">
        <v>225</v>
      </c>
      <c r="B219" t="str">
        <f t="shared" si="18"/>
        <v>Home Depot</v>
      </c>
      <c r="C219" t="str">
        <f t="shared" si="19"/>
        <v>43.67934</v>
      </c>
      <c r="D219" t="str">
        <f t="shared" si="20"/>
        <v>-79.71553</v>
      </c>
      <c r="E219" t="str">
        <f t="shared" si="21"/>
        <v>905-457-1800</v>
      </c>
      <c r="F219" t="str">
        <f t="shared" si="22"/>
        <v>L6W 4R8</v>
      </c>
      <c r="G219" t="str">
        <f t="shared" si="23"/>
        <v>[ "Home Depot", 43.67934, -79.71553, '905-457-1800', 'L6W 4R8'],</v>
      </c>
    </row>
    <row r="220" spans="1:7" x14ac:dyDescent="0.2">
      <c r="A220" t="s">
        <v>226</v>
      </c>
      <c r="B220" t="str">
        <f t="shared" si="18"/>
        <v>Home Depot</v>
      </c>
      <c r="C220" t="str">
        <f t="shared" si="19"/>
        <v>43.7298423415831</v>
      </c>
      <c r="D220" t="str">
        <f t="shared" si="20"/>
        <v>-79.4540872039017</v>
      </c>
      <c r="E220" t="str">
        <f t="shared" si="21"/>
        <v>416-373-6000</v>
      </c>
      <c r="F220" t="str">
        <f t="shared" si="22"/>
        <v>M3K 2C8</v>
      </c>
      <c r="G220" t="str">
        <f t="shared" si="23"/>
        <v>[ "Home Depot", 43.7298423415831, -79.4540872039017, '416-373-6000', 'M3K 2C8'],</v>
      </c>
    </row>
    <row r="221" spans="1:7" x14ac:dyDescent="0.2">
      <c r="A221" t="s">
        <v>227</v>
      </c>
      <c r="B221" t="str">
        <f t="shared" si="18"/>
        <v>ListenUp! Canada</v>
      </c>
      <c r="C221" t="str">
        <f t="shared" si="19"/>
        <v>43.749713093676</v>
      </c>
      <c r="D221" t="str">
        <f t="shared" si="20"/>
        <v>-79.7391703430019</v>
      </c>
      <c r="E221" t="str">
        <f t="shared" si="21"/>
        <v>905-595-2844</v>
      </c>
      <c r="F221" t="str">
        <f t="shared" si="22"/>
        <v>L6R 0W3</v>
      </c>
      <c r="G221" t="str">
        <f t="shared" si="23"/>
        <v>[ "ListenUp! Canada", 43.749713093676, -79.7391703430019, '905-595-2844', 'L6R 0W3'],</v>
      </c>
    </row>
    <row r="222" spans="1:7" x14ac:dyDescent="0.2">
      <c r="A222" t="s">
        <v>228</v>
      </c>
      <c r="B222" t="str">
        <f t="shared" si="18"/>
        <v>RONA</v>
      </c>
      <c r="C222" t="str">
        <f t="shared" si="19"/>
        <v>43.6254612467473</v>
      </c>
      <c r="D222" t="str">
        <f t="shared" si="20"/>
        <v>-79.6065350291245</v>
      </c>
      <c r="E222" t="str">
        <f t="shared" si="21"/>
        <v>905-602-0795</v>
      </c>
      <c r="F222" t="str">
        <f t="shared" si="22"/>
        <v>L4W 1V5</v>
      </c>
      <c r="G222" t="str">
        <f t="shared" si="23"/>
        <v>[ "RONA", 43.6254612467473, -79.6065350291245, '905-602-0795', 'L4W 1V5'],</v>
      </c>
    </row>
    <row r="223" spans="1:7" x14ac:dyDescent="0.2">
      <c r="A223" t="s">
        <v>229</v>
      </c>
      <c r="B223" t="str">
        <f t="shared" si="18"/>
        <v>Canadian Tire</v>
      </c>
      <c r="C223" t="str">
        <f t="shared" si="19"/>
        <v>43.8297258263448</v>
      </c>
      <c r="D223" t="str">
        <f t="shared" si="20"/>
        <v>-79.5372892772554</v>
      </c>
      <c r="E223" t="str">
        <f t="shared" si="21"/>
        <v>905-417-0125</v>
      </c>
      <c r="F223" t="str">
        <f t="shared" si="22"/>
        <v>L4K 5R3</v>
      </c>
      <c r="G223" t="str">
        <f t="shared" si="23"/>
        <v>[ "Canadian Tire", 43.8297258263448, -79.5372892772554, '905-417-0125', 'L4K 5R3'],</v>
      </c>
    </row>
    <row r="224" spans="1:7" x14ac:dyDescent="0.2">
      <c r="A224" t="s">
        <v>230</v>
      </c>
      <c r="B224" t="str">
        <f t="shared" si="18"/>
        <v>Best Buy</v>
      </c>
      <c r="C224" t="str">
        <f t="shared" si="19"/>
        <v>43.62993</v>
      </c>
      <c r="D224" t="str">
        <f t="shared" si="20"/>
        <v>-79.55195</v>
      </c>
      <c r="E224" t="str">
        <f t="shared" si="21"/>
        <v>--</v>
      </c>
      <c r="F224" t="str">
        <f t="shared" si="22"/>
        <v>M9B 3Y8</v>
      </c>
      <c r="G224" t="str">
        <f t="shared" si="23"/>
        <v>[ "Best Buy", 43.62993, -79.55195, '--', 'M9B 3Y8'],</v>
      </c>
    </row>
    <row r="225" spans="1:7" x14ac:dyDescent="0.2">
      <c r="A225" t="s">
        <v>231</v>
      </c>
      <c r="B225" t="str">
        <f t="shared" si="18"/>
        <v>uBreakiFix</v>
      </c>
      <c r="C225" t="str">
        <f t="shared" si="19"/>
        <v>43.6265720048875</v>
      </c>
      <c r="D225" t="str">
        <f t="shared" si="20"/>
        <v>-79.5650736806528</v>
      </c>
      <c r="E225" t="str">
        <f t="shared" si="21"/>
        <v>905-232-0365</v>
      </c>
      <c r="F225" t="str">
        <f t="shared" si="22"/>
        <v>L4X 1L9</v>
      </c>
      <c r="G225" t="str">
        <f t="shared" si="23"/>
        <v>[ "uBreakiFix", 43.6265720048875, -79.5650736806528, '905-232-0365', 'L4X 1L9'],</v>
      </c>
    </row>
    <row r="226" spans="1:7" x14ac:dyDescent="0.2">
      <c r="A226" t="s">
        <v>232</v>
      </c>
      <c r="B226" t="str">
        <f t="shared" si="18"/>
        <v>Lowes</v>
      </c>
      <c r="C226" t="str">
        <f t="shared" si="19"/>
        <v>43.67655</v>
      </c>
      <c r="D226" t="str">
        <f t="shared" si="20"/>
        <v>-79.72394</v>
      </c>
      <c r="E226" t="str">
        <f t="shared" si="21"/>
        <v>905-874-5000</v>
      </c>
      <c r="F226" t="str">
        <f t="shared" si="22"/>
        <v>L6W 4V2</v>
      </c>
      <c r="G226" t="str">
        <f t="shared" si="23"/>
        <v>[ "Lowes", 43.67655, -79.72394, '905-874-5000', 'L6W 4V2'],</v>
      </c>
    </row>
    <row r="227" spans="1:7" x14ac:dyDescent="0.2">
      <c r="A227" t="s">
        <v>233</v>
      </c>
      <c r="B227" t="str">
        <f t="shared" si="18"/>
        <v>ListenUp! Canada</v>
      </c>
      <c r="C227" t="str">
        <f t="shared" si="19"/>
        <v>43.7019</v>
      </c>
      <c r="D227" t="str">
        <f t="shared" si="20"/>
        <v>-79.452005</v>
      </c>
      <c r="E227" t="str">
        <f t="shared" si="21"/>
        <v>416-630-5111</v>
      </c>
      <c r="F227" t="str">
        <f t="shared" si="22"/>
        <v>M6B 4J3</v>
      </c>
      <c r="G227" t="str">
        <f t="shared" si="23"/>
        <v>[ "ListenUp! Canada", 43.7019, -79.452005, '416-630-5111', 'M6B 4J3'],</v>
      </c>
    </row>
    <row r="228" spans="1:7" x14ac:dyDescent="0.2">
      <c r="A228" t="s">
        <v>234</v>
      </c>
      <c r="B228" t="str">
        <f t="shared" si="18"/>
        <v>Canadian Tire</v>
      </c>
      <c r="C228" t="str">
        <f t="shared" si="19"/>
        <v>43.6708312</v>
      </c>
      <c r="D228" t="str">
        <f t="shared" si="20"/>
        <v>-79.471975</v>
      </c>
      <c r="E228" t="str">
        <f t="shared" si="21"/>
        <v>416-766-8141</v>
      </c>
      <c r="F228" t="str">
        <f t="shared" si="22"/>
        <v>M6N 5B4</v>
      </c>
      <c r="G228" t="str">
        <f t="shared" si="23"/>
        <v>[ "Canadian Tire", 43.6708312, -79.471975, '416-766-8141', 'M6N 5B4'],</v>
      </c>
    </row>
    <row r="229" spans="1:7" x14ac:dyDescent="0.2">
      <c r="A229" t="s">
        <v>235</v>
      </c>
      <c r="B229" t="str">
        <f t="shared" si="18"/>
        <v>Canadian Tire</v>
      </c>
      <c r="C229" t="str">
        <f t="shared" si="19"/>
        <v>43.7166569</v>
      </c>
      <c r="D229" t="str">
        <f t="shared" si="20"/>
        <v>-79.4472576</v>
      </c>
      <c r="E229" t="str">
        <f t="shared" si="21"/>
        <v>416-787-1203</v>
      </c>
      <c r="F229" t="str">
        <f t="shared" si="22"/>
        <v>M6A 1B6</v>
      </c>
      <c r="G229" t="str">
        <f t="shared" si="23"/>
        <v>[ "Canadian Tire", 43.7166569, -79.4472576, '416-787-1203', 'M6A 1B6'],</v>
      </c>
    </row>
    <row r="230" spans="1:7" x14ac:dyDescent="0.2">
      <c r="A230" t="s">
        <v>236</v>
      </c>
      <c r="B230" t="str">
        <f t="shared" si="18"/>
        <v>Home Depot</v>
      </c>
      <c r="C230" t="str">
        <f t="shared" si="19"/>
        <v>43.6717588</v>
      </c>
      <c r="D230" t="str">
        <f t="shared" si="20"/>
        <v>-79.470253</v>
      </c>
      <c r="E230" t="str">
        <f t="shared" si="21"/>
        <v>416-766-2800</v>
      </c>
      <c r="F230" t="str">
        <f t="shared" si="22"/>
        <v>M6N 5A8</v>
      </c>
      <c r="G230" t="str">
        <f t="shared" si="23"/>
        <v>[ "Home Depot", 43.6717588, -79.470253, '416-766-2800', 'M6N 5A8'],</v>
      </c>
    </row>
    <row r="231" spans="1:7" x14ac:dyDescent="0.2">
      <c r="A231" t="s">
        <v>237</v>
      </c>
      <c r="B231" t="str">
        <f t="shared" si="18"/>
        <v>Best Buy Canada</v>
      </c>
      <c r="C231" t="str">
        <f t="shared" si="19"/>
        <v>43.6694475</v>
      </c>
      <c r="D231" t="str">
        <f t="shared" si="20"/>
        <v>-79.4700725</v>
      </c>
      <c r="E231" t="str">
        <f t="shared" si="21"/>
        <v>416-766-1577</v>
      </c>
      <c r="F231" t="str">
        <f t="shared" si="22"/>
        <v>M6N 5G8</v>
      </c>
      <c r="G231" t="str">
        <f t="shared" si="23"/>
        <v>[ "Best Buy Canada", 43.6694475, -79.4700725, '416-766-1577', 'M6N 5G8'],</v>
      </c>
    </row>
    <row r="232" spans="1:7" x14ac:dyDescent="0.2">
      <c r="A232" t="s">
        <v>238</v>
      </c>
      <c r="B232" t="str">
        <f t="shared" si="18"/>
        <v>RONA</v>
      </c>
      <c r="C232" t="str">
        <f t="shared" si="19"/>
        <v>43.66924</v>
      </c>
      <c r="D232" t="str">
        <f t="shared" si="20"/>
        <v>-79.46998</v>
      </c>
      <c r="E232" t="str">
        <f t="shared" si="21"/>
        <v>416-766-9393</v>
      </c>
      <c r="F232" t="str">
        <f t="shared" si="22"/>
        <v>M6N 5B7</v>
      </c>
      <c r="G232" t="str">
        <f t="shared" si="23"/>
        <v>[ "RONA", 43.66924, -79.46998, '416-766-9393', 'M6N 5B7'],</v>
      </c>
    </row>
    <row r="233" spans="1:7" x14ac:dyDescent="0.2">
      <c r="A233" t="s">
        <v>239</v>
      </c>
      <c r="B233" t="str">
        <f t="shared" si="18"/>
        <v>Staples</v>
      </c>
      <c r="C233" t="str">
        <f t="shared" si="19"/>
        <v>43.6230371052632</v>
      </c>
      <c r="D233" t="str">
        <f t="shared" si="20"/>
        <v>-79.5691739473684</v>
      </c>
      <c r="E233" t="str">
        <f t="shared" si="21"/>
        <v>905-279-4392</v>
      </c>
      <c r="F233" t="str">
        <f t="shared" si="22"/>
        <v>L4X 2X8</v>
      </c>
      <c r="G233" t="str">
        <f t="shared" si="23"/>
        <v>[ "Staples", 43.6230371052632, -79.5691739473684, '905-279-4392', 'L4X 2X8'],</v>
      </c>
    </row>
    <row r="234" spans="1:7" x14ac:dyDescent="0.2">
      <c r="A234" t="s">
        <v>240</v>
      </c>
      <c r="B234" t="str">
        <f t="shared" si="18"/>
        <v>Trion Power Tools Services Inc.</v>
      </c>
      <c r="C234" t="str">
        <f t="shared" si="19"/>
        <v>43.811413837805</v>
      </c>
      <c r="D234" t="str">
        <f t="shared" si="20"/>
        <v>-79.4880696655048</v>
      </c>
      <c r="E234" t="str">
        <f t="shared" si="21"/>
        <v>905-738-5060</v>
      </c>
      <c r="F234" t="str">
        <f t="shared" si="22"/>
        <v>L4K 3M7</v>
      </c>
      <c r="G234" t="str">
        <f t="shared" si="23"/>
        <v>[ "Trion Power Tools Services Inc.", 43.811413837805, -79.4880696655048, '905-738-5060', 'L4K 3M7'],</v>
      </c>
    </row>
    <row r="235" spans="1:7" x14ac:dyDescent="0.2">
      <c r="A235" t="s">
        <v>241</v>
      </c>
      <c r="B235" t="str">
        <f t="shared" si="18"/>
        <v>Staples</v>
      </c>
      <c r="C235" t="str">
        <f t="shared" si="19"/>
        <v>43.6700824</v>
      </c>
      <c r="D235" t="str">
        <f t="shared" si="20"/>
        <v>-79.4664952</v>
      </c>
      <c r="E235" t="str">
        <f t="shared" si="21"/>
        <v>416-762-2816</v>
      </c>
      <c r="F235" t="str">
        <f t="shared" si="22"/>
        <v>M6N 3E2</v>
      </c>
      <c r="G235" t="str">
        <f t="shared" si="23"/>
        <v>[ "Staples", 43.6700824, -79.4664952, '416-762-2816', 'M6N 3E2'],</v>
      </c>
    </row>
    <row r="236" spans="1:7" x14ac:dyDescent="0.2">
      <c r="A236" t="s">
        <v>242</v>
      </c>
      <c r="B236" t="str">
        <f t="shared" si="18"/>
        <v>Staples</v>
      </c>
      <c r="C236" t="str">
        <f t="shared" si="19"/>
        <v>43.7984506</v>
      </c>
      <c r="D236" t="str">
        <f t="shared" si="20"/>
        <v>-79.4709573</v>
      </c>
      <c r="E236" t="str">
        <f t="shared" si="21"/>
        <v>905-669-5096</v>
      </c>
      <c r="F236" t="str">
        <f t="shared" si="22"/>
        <v>L4J 7R5</v>
      </c>
      <c r="G236" t="str">
        <f t="shared" si="23"/>
        <v>[ "Staples", 43.7984506, -79.4709573, '905-669-5096', 'L4J 7R5'],</v>
      </c>
    </row>
    <row r="237" spans="1:7" x14ac:dyDescent="0.2">
      <c r="A237" t="s">
        <v>243</v>
      </c>
      <c r="B237" t="str">
        <f t="shared" si="18"/>
        <v>ListenUp! Canada</v>
      </c>
      <c r="C237" t="str">
        <f t="shared" si="19"/>
        <v>43.8358008333333</v>
      </c>
      <c r="D237" t="str">
        <f t="shared" si="20"/>
        <v>-79.5337363888889</v>
      </c>
      <c r="E237" t="str">
        <f t="shared" si="21"/>
        <v>905-303-2224</v>
      </c>
      <c r="F237" t="str">
        <f t="shared" si="22"/>
        <v>M6B 4H8</v>
      </c>
      <c r="G237" t="str">
        <f t="shared" si="23"/>
        <v>[ "ListenUp! Canada", 43.8358008333333, -79.5337363888889, '905-303-2224', 'M6B 4H8'],</v>
      </c>
    </row>
    <row r="238" spans="1:7" x14ac:dyDescent="0.2">
      <c r="A238" t="s">
        <v>244</v>
      </c>
      <c r="B238" t="str">
        <f t="shared" si="18"/>
        <v>The Source</v>
      </c>
      <c r="C238" t="str">
        <f t="shared" si="19"/>
        <v>43.6438509859155</v>
      </c>
      <c r="D238" t="str">
        <f t="shared" si="20"/>
        <v>-79.6964157746479</v>
      </c>
      <c r="E238" t="str">
        <f t="shared" si="21"/>
        <v>905-673-0140</v>
      </c>
      <c r="F238" t="str">
        <f t="shared" si="22"/>
        <v>L5T 2L6</v>
      </c>
      <c r="G238" t="str">
        <f t="shared" si="23"/>
        <v>[ "The Source", 43.6438509859155, -79.6964157746479, '905-673-0140', 'L5T 2L6'],</v>
      </c>
    </row>
    <row r="239" spans="1:7" x14ac:dyDescent="0.2">
      <c r="A239" t="s">
        <v>245</v>
      </c>
      <c r="B239" t="str">
        <f t="shared" si="18"/>
        <v>ListenUp! Canada</v>
      </c>
      <c r="C239" t="str">
        <f t="shared" si="19"/>
        <v>43.649745</v>
      </c>
      <c r="D239" t="str">
        <f t="shared" si="20"/>
        <v>-79.482619375</v>
      </c>
      <c r="E239" t="str">
        <f t="shared" si="21"/>
        <v>416-767-7523</v>
      </c>
      <c r="F239" t="str">
        <f t="shared" si="22"/>
        <v>M6S 1P5</v>
      </c>
      <c r="G239" t="str">
        <f t="shared" si="23"/>
        <v>[ "ListenUp! Canada", 43.649745, -79.482619375, '416-767-7523', 'M6S 1P5'],</v>
      </c>
    </row>
    <row r="240" spans="1:7" x14ac:dyDescent="0.2">
      <c r="A240" t="s">
        <v>246</v>
      </c>
      <c r="B240" t="str">
        <f t="shared" si="18"/>
        <v>RONA</v>
      </c>
      <c r="C240" t="str">
        <f t="shared" si="19"/>
        <v>43.629895</v>
      </c>
      <c r="D240" t="str">
        <f t="shared" si="20"/>
        <v>-79.5173525</v>
      </c>
      <c r="E240" t="str">
        <f t="shared" si="21"/>
        <v>416-503-2469</v>
      </c>
      <c r="F240" t="str">
        <f t="shared" si="22"/>
        <v>M8Z 4P8</v>
      </c>
      <c r="G240" t="str">
        <f t="shared" si="23"/>
        <v>[ "RONA", 43.629895, -79.5173525, '416-503-2469', 'M8Z 4P8'],</v>
      </c>
    </row>
    <row r="241" spans="1:7" x14ac:dyDescent="0.2">
      <c r="A241" t="s">
        <v>247</v>
      </c>
      <c r="B241" t="str">
        <f t="shared" si="18"/>
        <v>Kelcom</v>
      </c>
      <c r="C241" t="str">
        <f t="shared" si="19"/>
        <v>43.817102051282</v>
      </c>
      <c r="D241" t="str">
        <f t="shared" si="20"/>
        <v>-79.4836097435897</v>
      </c>
      <c r="E241" t="str">
        <f t="shared" si="21"/>
        <v>905-761-6070</v>
      </c>
      <c r="F241" t="str">
        <f t="shared" si="22"/>
        <v>L4K 3N6</v>
      </c>
      <c r="G241" t="str">
        <f t="shared" si="23"/>
        <v>[ "Kelcom", 43.817102051282, -79.4836097435897, '905-761-6070', 'L4K 3N6'],</v>
      </c>
    </row>
    <row r="242" spans="1:7" x14ac:dyDescent="0.2">
      <c r="A242" t="s">
        <v>248</v>
      </c>
      <c r="B242" t="str">
        <f t="shared" si="18"/>
        <v>Canadian Tire</v>
      </c>
      <c r="C242" t="str">
        <f t="shared" si="19"/>
        <v>43.81358</v>
      </c>
      <c r="D242" t="str">
        <f t="shared" si="20"/>
        <v>-79.47625</v>
      </c>
      <c r="E242" t="str">
        <f t="shared" si="21"/>
        <v>905-889-7455</v>
      </c>
      <c r="F242" t="str">
        <f t="shared" si="22"/>
        <v>L4J 8R9</v>
      </c>
      <c r="G242" t="str">
        <f t="shared" si="23"/>
        <v>[ "Canadian Tire", 43.81358, -79.47625, '905-889-7455', 'L4J 8R9'],</v>
      </c>
    </row>
    <row r="243" spans="1:7" x14ac:dyDescent="0.2">
      <c r="A243" t="s">
        <v>249</v>
      </c>
      <c r="B243" t="str">
        <f t="shared" si="18"/>
        <v>Home Depot</v>
      </c>
      <c r="C243" t="str">
        <f t="shared" si="19"/>
        <v>43.6160075925926</v>
      </c>
      <c r="D243" t="str">
        <f t="shared" si="20"/>
        <v>-79.5569162037037</v>
      </c>
      <c r="E243" t="str">
        <f t="shared" si="21"/>
        <v>416-626-9800</v>
      </c>
      <c r="F243" t="str">
        <f t="shared" si="22"/>
        <v>M9C 1A7</v>
      </c>
      <c r="G243" t="str">
        <f t="shared" si="23"/>
        <v>[ "Home Depot", 43.6160075925926, -79.5569162037037, '416-626-9800', 'M9C 1A7'],</v>
      </c>
    </row>
    <row r="244" spans="1:7" x14ac:dyDescent="0.2">
      <c r="A244" t="s">
        <v>250</v>
      </c>
      <c r="B244" t="str">
        <f t="shared" si="18"/>
        <v>Home Depot</v>
      </c>
      <c r="C244" t="str">
        <f t="shared" si="19"/>
        <v>43.8471519298622</v>
      </c>
      <c r="D244" t="str">
        <f t="shared" si="20"/>
        <v>-79.5541409777682</v>
      </c>
      <c r="E244" t="str">
        <f t="shared" si="21"/>
        <v>905-303-2323</v>
      </c>
      <c r="F244" t="str">
        <f t="shared" si="22"/>
        <v>L4H 4E8</v>
      </c>
      <c r="G244" t="str">
        <f t="shared" si="23"/>
        <v>[ "Home Depot", 43.8471519298622, -79.5541409777682, '905-303-2323', 'L4H 4E8'],</v>
      </c>
    </row>
    <row r="245" spans="1:7" x14ac:dyDescent="0.2">
      <c r="A245" t="s">
        <v>251</v>
      </c>
      <c r="B245" t="str">
        <f t="shared" si="18"/>
        <v>Canadian Tire</v>
      </c>
      <c r="C245" t="str">
        <f t="shared" si="19"/>
        <v>43.65879</v>
      </c>
      <c r="D245" t="str">
        <f t="shared" si="20"/>
        <v>-79.3289</v>
      </c>
      <c r="E245" t="str">
        <f t="shared" si="21"/>
        <v>416-778-0102</v>
      </c>
      <c r="F245" t="str">
        <f t="shared" si="22"/>
        <v>M4M 1B4</v>
      </c>
      <c r="G245" t="str">
        <f t="shared" si="23"/>
        <v>[ "Canadian Tire", 43.65879, -79.3289, '416-778-0102', 'M4M 1B4'],</v>
      </c>
    </row>
    <row r="246" spans="1:7" x14ac:dyDescent="0.2">
      <c r="A246" t="s">
        <v>252</v>
      </c>
      <c r="B246" t="str">
        <f t="shared" si="18"/>
        <v>Staples</v>
      </c>
      <c r="C246" t="str">
        <f t="shared" si="19"/>
        <v>43.65126</v>
      </c>
      <c r="D246" t="str">
        <f t="shared" si="20"/>
        <v>-79.36401</v>
      </c>
      <c r="E246" t="str">
        <f t="shared" si="21"/>
        <v>416-368-3331</v>
      </c>
      <c r="F246" t="str">
        <f t="shared" si="22"/>
        <v>M5A 1E9</v>
      </c>
      <c r="G246" t="str">
        <f t="shared" si="23"/>
        <v>[ "Staples", 43.65126, -79.36401, '416-368-3331', 'M5A 1E9'],</v>
      </c>
    </row>
    <row r="247" spans="1:7" x14ac:dyDescent="0.2">
      <c r="A247" t="s">
        <v>253</v>
      </c>
      <c r="B247" t="str">
        <f t="shared" si="18"/>
        <v>Staples</v>
      </c>
      <c r="C247" t="str">
        <f t="shared" si="19"/>
        <v>43.6496261538462</v>
      </c>
      <c r="D247" t="str">
        <f t="shared" si="20"/>
        <v>-79.3780784615385</v>
      </c>
      <c r="E247" t="str">
        <f t="shared" si="21"/>
        <v>416-203-3525</v>
      </c>
      <c r="F247" t="str">
        <f t="shared" si="22"/>
        <v>M5C 1S8</v>
      </c>
      <c r="G247" t="str">
        <f t="shared" si="23"/>
        <v>[ "Staples", 43.6496261538462, -79.3780784615385, '416-203-3525', 'M5C 1S8'],</v>
      </c>
    </row>
    <row r="248" spans="1:7" x14ac:dyDescent="0.2">
      <c r="A248" t="s">
        <v>254</v>
      </c>
      <c r="B248" t="str">
        <f t="shared" si="18"/>
        <v>Home Depot</v>
      </c>
      <c r="C248" t="str">
        <f t="shared" si="19"/>
        <v>43.6686185294118</v>
      </c>
      <c r="D248" t="str">
        <f t="shared" si="20"/>
        <v>-79.3382991176471</v>
      </c>
      <c r="E248" t="str">
        <f t="shared" si="21"/>
        <v>416-462-6270</v>
      </c>
      <c r="F248" t="str">
        <f t="shared" si="22"/>
        <v>M4M 3G6</v>
      </c>
      <c r="G248" t="str">
        <f t="shared" si="23"/>
        <v>[ "Home Depot", 43.6686185294118, -79.3382991176471, '416-462-6270', 'M4M 3G6'],</v>
      </c>
    </row>
    <row r="249" spans="1:7" x14ac:dyDescent="0.2">
      <c r="A249" t="s">
        <v>255</v>
      </c>
      <c r="B249" t="str">
        <f t="shared" si="18"/>
        <v>The Source</v>
      </c>
      <c r="C249" t="str">
        <f t="shared" si="19"/>
        <v>43.6686185294118</v>
      </c>
      <c r="D249" t="str">
        <f t="shared" si="20"/>
        <v>-79.3382991176471</v>
      </c>
      <c r="E249" t="str">
        <f t="shared" si="21"/>
        <v>416-463-3422</v>
      </c>
      <c r="F249" t="str">
        <f t="shared" si="22"/>
        <v>M4M 3G6</v>
      </c>
      <c r="G249" t="str">
        <f t="shared" si="23"/>
        <v>[ "The Source", 43.6686185294118, -79.3382991176471, '416-463-3422', 'M4M 3G6'],</v>
      </c>
    </row>
    <row r="250" spans="1:7" x14ac:dyDescent="0.2">
      <c r="A250" t="s">
        <v>256</v>
      </c>
      <c r="B250" t="str">
        <f t="shared" si="18"/>
        <v>Atlas Machinery Supply</v>
      </c>
      <c r="C250" t="str">
        <f t="shared" si="19"/>
        <v>43.6504605263158</v>
      </c>
      <c r="D250" t="str">
        <f t="shared" si="20"/>
        <v>-79.3882905263158</v>
      </c>
      <c r="E250" t="str">
        <f t="shared" si="21"/>
        <v>416-598-3553</v>
      </c>
      <c r="F250" t="str">
        <f t="shared" si="22"/>
        <v>M5V 1Z4</v>
      </c>
      <c r="G250" t="str">
        <f t="shared" si="23"/>
        <v>[ "Atlas Machinery Supply", 43.6504605263158, -79.3882905263158, '416-598-3553', 'M5V 1Z4'],</v>
      </c>
    </row>
    <row r="251" spans="1:7" x14ac:dyDescent="0.2">
      <c r="A251" t="s">
        <v>257</v>
      </c>
      <c r="B251" t="str">
        <f t="shared" si="18"/>
        <v>Mountain Equipment Co-op</v>
      </c>
      <c r="C251" t="str">
        <f t="shared" si="19"/>
        <v>43.6459</v>
      </c>
      <c r="D251" t="str">
        <f t="shared" si="20"/>
        <v>-79.392955</v>
      </c>
      <c r="E251" t="str">
        <f t="shared" si="21"/>
        <v>416-340-2667</v>
      </c>
      <c r="F251" t="str">
        <f t="shared" si="22"/>
        <v>M5V 1K2</v>
      </c>
      <c r="G251" t="str">
        <f t="shared" si="23"/>
        <v>[ "Mountain Equipment Co-op", 43.6459, -79.392955, '416-340-2667', 'M5V 1K2'],</v>
      </c>
    </row>
    <row r="252" spans="1:7" x14ac:dyDescent="0.2">
      <c r="A252" t="s">
        <v>258</v>
      </c>
      <c r="B252" t="str">
        <f t="shared" si="18"/>
        <v>Staples</v>
      </c>
      <c r="C252" t="str">
        <f t="shared" si="19"/>
        <v>43.6532061538462</v>
      </c>
      <c r="D252" t="str">
        <f t="shared" si="20"/>
        <v>-79.3874469230769</v>
      </c>
      <c r="E252" t="str">
        <f t="shared" si="21"/>
        <v>416-598-4818</v>
      </c>
      <c r="F252" t="str">
        <f t="shared" si="22"/>
        <v>M5G 2J5</v>
      </c>
      <c r="G252" t="str">
        <f t="shared" si="23"/>
        <v>[ "Staples", 43.6532061538462, -79.3874469230769, '416-598-4818', 'M5G 2J5'],</v>
      </c>
    </row>
    <row r="253" spans="1:7" x14ac:dyDescent="0.2">
      <c r="A253" t="s">
        <v>259</v>
      </c>
      <c r="B253" t="str">
        <f t="shared" si="18"/>
        <v>ListenUp! Canada</v>
      </c>
      <c r="C253" t="str">
        <f t="shared" si="19"/>
        <v>43.67148</v>
      </c>
      <c r="D253" t="str">
        <f t="shared" si="20"/>
        <v>-79.2932566666667</v>
      </c>
      <c r="E253" t="str">
        <f t="shared" si="21"/>
        <v>--</v>
      </c>
      <c r="F253" t="str">
        <f t="shared" si="22"/>
        <v>M4E 1E3</v>
      </c>
      <c r="G253" t="str">
        <f t="shared" si="23"/>
        <v>[ "ListenUp! Canada", 43.67148, -79.2932566666667, '--', 'M4E 1E3'],</v>
      </c>
    </row>
    <row r="254" spans="1:7" x14ac:dyDescent="0.2">
      <c r="A254" t="s">
        <v>260</v>
      </c>
      <c r="B254" t="str">
        <f t="shared" si="18"/>
        <v>ListenUp! Canada</v>
      </c>
      <c r="C254" t="str">
        <f t="shared" si="19"/>
        <v>43.6606114285714</v>
      </c>
      <c r="D254" t="str">
        <f t="shared" si="20"/>
        <v>-79.3857528571429</v>
      </c>
      <c r="E254" t="str">
        <f t="shared" si="21"/>
        <v>416-591-9124</v>
      </c>
      <c r="F254" t="str">
        <f t="shared" si="22"/>
        <v>M5G 1N8</v>
      </c>
      <c r="G254" t="str">
        <f t="shared" si="23"/>
        <v>[ "ListenUp! Canada", 43.6606114285714, -79.3857528571429, '416-591-9124', 'M5G 1N8'],</v>
      </c>
    </row>
    <row r="255" spans="1:7" x14ac:dyDescent="0.2">
      <c r="A255" t="s">
        <v>261</v>
      </c>
      <c r="B255" t="str">
        <f t="shared" si="18"/>
        <v>Ministry of Tourism Culture and Sport</v>
      </c>
      <c r="C255" t="str">
        <f t="shared" si="19"/>
        <v>43.6634308</v>
      </c>
      <c r="D255" t="str">
        <f t="shared" si="20"/>
        <v>-79.3876749</v>
      </c>
      <c r="E255" t="str">
        <f t="shared" si="21"/>
        <v>416-327-1189</v>
      </c>
      <c r="F255" t="str">
        <f t="shared" si="22"/>
        <v>M7A 2E1</v>
      </c>
      <c r="G255" t="str">
        <f t="shared" si="23"/>
        <v>[ "Ministry of Tourism Culture and Sport", 43.6634308, -79.3876749, '416-327-1189', 'M7A 2E1'],</v>
      </c>
    </row>
    <row r="256" spans="1:7" x14ac:dyDescent="0.2">
      <c r="A256" t="s">
        <v>262</v>
      </c>
      <c r="B256" t="str">
        <f t="shared" si="18"/>
        <v>Program Development &amp; Capacity Office HR Ontario</v>
      </c>
      <c r="C256" t="str">
        <f t="shared" si="19"/>
        <v>43.6639486956522</v>
      </c>
      <c r="D256" t="str">
        <f t="shared" si="20"/>
        <v>-79.3889460869565</v>
      </c>
      <c r="E256" t="str">
        <f t="shared" si="21"/>
        <v>416-327-4887</v>
      </c>
      <c r="F256" t="str">
        <f t="shared" si="22"/>
        <v>M7A 1N3</v>
      </c>
      <c r="G256" t="str">
        <f t="shared" si="23"/>
        <v>[ "Program Development &amp; Capacity Office HR Ontario", 43.6639486956522, -79.3889460869565, '416-327-4887', 'M7A 1N3'],</v>
      </c>
    </row>
    <row r="257" spans="1:7" x14ac:dyDescent="0.2">
      <c r="A257" t="s">
        <v>263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Office of the Corporate Chief Information Officer I+IT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43.6639486956522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-79.3889460869565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416-212-8242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M7A 1N3</v>
      </c>
      <c r="G257" t="str">
        <f t="shared" ref="G257:G320" si="29">"[ "&amp;CHAR(34)&amp;B257&amp;CHAR(34)&amp;", "&amp;C257&amp;", "&amp;D257&amp;", '"&amp;E257&amp;"', '"&amp;F257&amp;"'],"</f>
        <v>[ "Office of the Corporate Chief Information Officer I+IT", 43.6639486956522, -79.3889460869565, '416-212-8242', 'M7A 1N3'],</v>
      </c>
    </row>
    <row r="258" spans="1:7" x14ac:dyDescent="0.2">
      <c r="A258" t="s">
        <v>264</v>
      </c>
      <c r="B258" t="str">
        <f t="shared" si="24"/>
        <v>Ministry of Health and Long-Term Care</v>
      </c>
      <c r="C258" t="str">
        <f t="shared" si="25"/>
        <v>43.6668838461538</v>
      </c>
      <c r="D258" t="str">
        <f t="shared" si="26"/>
        <v>-79.3882746153846</v>
      </c>
      <c r="E258" t="str">
        <f t="shared" si="27"/>
        <v>416-327-9447</v>
      </c>
      <c r="F258" t="str">
        <f t="shared" si="28"/>
        <v>M5S 2B1</v>
      </c>
      <c r="G258" t="str">
        <f t="shared" si="29"/>
        <v>[ "Ministry of Health and Long-Term Care", 43.6668838461538, -79.3882746153846, '416-327-9447', 'M5S 2B1'],</v>
      </c>
    </row>
    <row r="259" spans="1:7" x14ac:dyDescent="0.2">
      <c r="A259" t="s">
        <v>265</v>
      </c>
      <c r="B259" t="str">
        <f t="shared" si="24"/>
        <v>Canadian Tire</v>
      </c>
      <c r="C259" t="str">
        <f t="shared" si="25"/>
        <v>43.672983030303</v>
      </c>
      <c r="D259" t="str">
        <f t="shared" si="26"/>
        <v>-79.3878990909091</v>
      </c>
      <c r="E259" t="str">
        <f t="shared" si="27"/>
        <v>416-925-9592</v>
      </c>
      <c r="F259" t="str">
        <f t="shared" si="28"/>
        <v>M4W 2H2</v>
      </c>
      <c r="G259" t="str">
        <f t="shared" si="29"/>
        <v>[ "Canadian Tire", 43.672983030303, -79.3878990909091, '416-925-9592', 'M4W 2H2'],</v>
      </c>
    </row>
    <row r="260" spans="1:7" x14ac:dyDescent="0.2">
      <c r="A260" t="s">
        <v>266</v>
      </c>
      <c r="B260" t="str">
        <f t="shared" si="24"/>
        <v>Evergreen Brick Works</v>
      </c>
      <c r="C260" t="str">
        <f t="shared" si="25"/>
        <v>43.6833973255541</v>
      </c>
      <c r="D260" t="str">
        <f t="shared" si="26"/>
        <v>-79.3650023256323</v>
      </c>
      <c r="E260" t="str">
        <f t="shared" si="27"/>
        <v>416-596-1495</v>
      </c>
      <c r="F260" t="str">
        <f t="shared" si="28"/>
        <v>M4W 3X8</v>
      </c>
      <c r="G260" t="str">
        <f t="shared" si="29"/>
        <v>[ "Evergreen Brick Works", 43.6833973255541, -79.3650023256323, '416-596-1495', 'M4W 3X8'],</v>
      </c>
    </row>
    <row r="261" spans="1:7" x14ac:dyDescent="0.2">
      <c r="A261" t="s">
        <v>267</v>
      </c>
      <c r="B261" t="str">
        <f t="shared" si="24"/>
        <v>MNJCC</v>
      </c>
      <c r="C261" t="str">
        <f t="shared" si="25"/>
        <v>43.6660371428571</v>
      </c>
      <c r="D261" t="str">
        <f t="shared" si="26"/>
        <v>-79.4035023809524</v>
      </c>
      <c r="E261" t="str">
        <f t="shared" si="27"/>
        <v>416-924-6211</v>
      </c>
      <c r="F261" t="str">
        <f t="shared" si="28"/>
        <v>M5S 2J2</v>
      </c>
      <c r="G261" t="str">
        <f t="shared" si="29"/>
        <v>[ "MNJCC", 43.6660371428571, -79.4035023809524, '416-924-6211', 'M5S 2J2'],</v>
      </c>
    </row>
    <row r="262" spans="1:7" x14ac:dyDescent="0.2">
      <c r="A262" t="s">
        <v>268</v>
      </c>
      <c r="B262" t="str">
        <f t="shared" si="24"/>
        <v>ListenUp! Canada</v>
      </c>
      <c r="C262" t="str">
        <f t="shared" si="25"/>
        <v>43.6886695</v>
      </c>
      <c r="D262" t="str">
        <f t="shared" si="26"/>
        <v>-79.299492</v>
      </c>
      <c r="E262" t="str">
        <f t="shared" si="27"/>
        <v>416-691-3305</v>
      </c>
      <c r="F262" t="str">
        <f t="shared" si="28"/>
        <v>M4K 1M8</v>
      </c>
      <c r="G262" t="str">
        <f t="shared" si="29"/>
        <v>[ "ListenUp! Canada", 43.6886695, -79.299492, '416-691-3305', 'M4K 1M8'],</v>
      </c>
    </row>
    <row r="263" spans="1:7" x14ac:dyDescent="0.2">
      <c r="A263" t="s">
        <v>269</v>
      </c>
      <c r="B263" t="str">
        <f t="shared" si="24"/>
        <v>The Source</v>
      </c>
      <c r="C263" t="str">
        <f t="shared" si="25"/>
        <v>43.63605125</v>
      </c>
      <c r="D263" t="str">
        <f t="shared" si="26"/>
        <v>-79.42622875</v>
      </c>
      <c r="E263" t="str">
        <f t="shared" si="27"/>
        <v>416-516-2225</v>
      </c>
      <c r="F263" t="str">
        <f t="shared" si="28"/>
        <v>M6H 4A9</v>
      </c>
      <c r="G263" t="str">
        <f t="shared" si="29"/>
        <v>[ "The Source", 43.63605125, -79.42622875, '416-516-2225', 'M6H 4A9'],</v>
      </c>
    </row>
    <row r="264" spans="1:7" x14ac:dyDescent="0.2">
      <c r="A264" t="s">
        <v>270</v>
      </c>
      <c r="B264" t="str">
        <f t="shared" si="24"/>
        <v>Best Buy</v>
      </c>
      <c r="C264" t="str">
        <f t="shared" si="25"/>
        <v>43.6395682758621</v>
      </c>
      <c r="D264" t="str">
        <f t="shared" si="26"/>
        <v>-79.4275837931034</v>
      </c>
      <c r="E264" t="str">
        <f t="shared" si="27"/>
        <v>--</v>
      </c>
      <c r="F264" t="str">
        <f t="shared" si="28"/>
        <v>M6A 3A1</v>
      </c>
      <c r="G264" t="str">
        <f t="shared" si="29"/>
        <v>[ "Best Buy", 43.6395682758621, -79.4275837931034, '--', 'M6A 3A1'],</v>
      </c>
    </row>
    <row r="265" spans="1:7" x14ac:dyDescent="0.2">
      <c r="A265" t="s">
        <v>271</v>
      </c>
      <c r="B265" t="str">
        <f t="shared" si="24"/>
        <v>Staples</v>
      </c>
      <c r="C265" t="str">
        <f t="shared" si="25"/>
        <v>43.6796533333333</v>
      </c>
      <c r="D265" t="str">
        <f t="shared" si="26"/>
        <v>-79.3906066666667</v>
      </c>
      <c r="E265" t="str">
        <f t="shared" si="27"/>
        <v>416-961-4949</v>
      </c>
      <c r="F265" t="str">
        <f t="shared" si="28"/>
        <v>M4W 2L8</v>
      </c>
      <c r="G265" t="str">
        <f t="shared" si="29"/>
        <v>[ "Staples", 43.6796533333333, -79.3906066666667, '416-961-4949', 'M4W 2L8'],</v>
      </c>
    </row>
    <row r="266" spans="1:7" x14ac:dyDescent="0.2">
      <c r="A266" t="s">
        <v>272</v>
      </c>
      <c r="B266" t="str">
        <f t="shared" si="24"/>
        <v>Staples</v>
      </c>
      <c r="C266" t="str">
        <f t="shared" si="25"/>
        <v>43.69088</v>
      </c>
      <c r="D266" t="str">
        <f t="shared" si="26"/>
        <v>-79.2898</v>
      </c>
      <c r="E266" t="str">
        <f t="shared" si="27"/>
        <v>416-686-4711</v>
      </c>
      <c r="F266" t="str">
        <f t="shared" si="28"/>
        <v>M4C 1M9</v>
      </c>
      <c r="G266" t="str">
        <f t="shared" si="29"/>
        <v>[ "Staples", 43.69088, -79.2898, '416-686-4711', 'M4C 1M9'],</v>
      </c>
    </row>
    <row r="267" spans="1:7" x14ac:dyDescent="0.2">
      <c r="A267" t="s">
        <v>273</v>
      </c>
      <c r="B267" t="str">
        <f t="shared" si="24"/>
        <v>ListenUP! Canada</v>
      </c>
      <c r="C267" t="str">
        <f t="shared" si="25"/>
        <v>43.6877735</v>
      </c>
      <c r="D267" t="str">
        <f t="shared" si="26"/>
        <v>-79.3943262</v>
      </c>
      <c r="E267" t="str">
        <f t="shared" si="27"/>
        <v>416-925-9223</v>
      </c>
      <c r="F267" t="str">
        <f t="shared" si="28"/>
        <v>M4V 1K7</v>
      </c>
      <c r="G267" t="str">
        <f t="shared" si="29"/>
        <v>[ "ListenUP! Canada", 43.6877735, -79.3943262, '416-925-9223', 'M4V 1K7'],</v>
      </c>
    </row>
    <row r="268" spans="1:7" x14ac:dyDescent="0.2">
      <c r="A268" t="s">
        <v>274</v>
      </c>
      <c r="B268" t="str">
        <f t="shared" si="24"/>
        <v>ListenUp! Canada</v>
      </c>
      <c r="C268" t="str">
        <f t="shared" si="25"/>
        <v>43.688923125</v>
      </c>
      <c r="D268" t="str">
        <f t="shared" si="26"/>
        <v>-79.39446125</v>
      </c>
      <c r="E268" t="str">
        <f t="shared" si="27"/>
        <v>416-920-7474</v>
      </c>
      <c r="F268" t="str">
        <f t="shared" si="28"/>
        <v>M4T 1Z2</v>
      </c>
      <c r="G268" t="str">
        <f t="shared" si="29"/>
        <v>[ "ListenUp! Canada", 43.688923125, -79.39446125, '416-920-7474', 'M4T 1Z2'],</v>
      </c>
    </row>
    <row r="269" spans="1:7" x14ac:dyDescent="0.2">
      <c r="A269" t="s">
        <v>275</v>
      </c>
      <c r="B269" t="str">
        <f t="shared" si="24"/>
        <v>Telus</v>
      </c>
      <c r="C269" t="str">
        <f t="shared" si="25"/>
        <v>43.70528</v>
      </c>
      <c r="D269" t="str">
        <f t="shared" si="26"/>
        <v>-79.36148</v>
      </c>
      <c r="E269" t="str">
        <f t="shared" si="27"/>
        <v>416-422-6422</v>
      </c>
      <c r="F269" t="str">
        <f t="shared" si="28"/>
        <v>M4G 3T4</v>
      </c>
      <c r="G269" t="str">
        <f t="shared" si="29"/>
        <v>[ "Telus", 43.70528, -79.36148, '416-422-6422', 'M4G 3T4'],</v>
      </c>
    </row>
    <row r="270" spans="1:7" x14ac:dyDescent="0.2">
      <c r="A270" t="s">
        <v>276</v>
      </c>
      <c r="B270" t="str">
        <f t="shared" si="24"/>
        <v>Home Depot</v>
      </c>
      <c r="C270" t="str">
        <f t="shared" si="25"/>
        <v>43.7089125</v>
      </c>
      <c r="D270" t="str">
        <f t="shared" si="26"/>
        <v>-79.3134525</v>
      </c>
      <c r="E270" t="str">
        <f t="shared" si="27"/>
        <v>416-752-5900</v>
      </c>
      <c r="F270" t="str">
        <f t="shared" si="28"/>
        <v>M4B 3L8</v>
      </c>
      <c r="G270" t="str">
        <f t="shared" si="29"/>
        <v>[ "Home Depot", 43.7089125, -79.3134525, '416-752-5900', 'M4B 3L8'],</v>
      </c>
    </row>
    <row r="271" spans="1:7" x14ac:dyDescent="0.2">
      <c r="A271" t="s">
        <v>277</v>
      </c>
      <c r="B271" t="str">
        <f t="shared" si="24"/>
        <v>Home Depot</v>
      </c>
      <c r="C271" t="str">
        <f t="shared" si="25"/>
        <v>43.71146</v>
      </c>
      <c r="D271" t="str">
        <f t="shared" si="26"/>
        <v>-79.35851</v>
      </c>
      <c r="E271" t="str">
        <f t="shared" si="27"/>
        <v>416-467-2300</v>
      </c>
      <c r="F271" t="str">
        <f t="shared" si="28"/>
        <v>M4G 4H9</v>
      </c>
      <c r="G271" t="str">
        <f t="shared" si="29"/>
        <v>[ "Home Depot", 43.71146, -79.35851, '416-467-2300', 'M4G 4H9'],</v>
      </c>
    </row>
    <row r="272" spans="1:7" x14ac:dyDescent="0.2">
      <c r="A272" t="s">
        <v>278</v>
      </c>
      <c r="B272" t="str">
        <f t="shared" si="24"/>
        <v>Canadian Tire</v>
      </c>
      <c r="C272" t="str">
        <f t="shared" si="25"/>
        <v>43.7123005</v>
      </c>
      <c r="D272" t="str">
        <f t="shared" si="26"/>
        <v>-79.3634007</v>
      </c>
      <c r="E272" t="str">
        <f t="shared" si="27"/>
        <v>416-422-0303</v>
      </c>
      <c r="F272" t="str">
        <f t="shared" si="28"/>
        <v>M4G 4G9</v>
      </c>
      <c r="G272" t="str">
        <f t="shared" si="29"/>
        <v>[ "Canadian Tire", 43.7123005, -79.3634007, '416-422-0303', 'M4G 4G9'],</v>
      </c>
    </row>
    <row r="273" spans="1:7" x14ac:dyDescent="0.2">
      <c r="A273" t="s">
        <v>279</v>
      </c>
      <c r="B273" t="str">
        <f t="shared" si="24"/>
        <v>Staples</v>
      </c>
      <c r="C273" t="str">
        <f t="shared" si="25"/>
        <v>43.7110257</v>
      </c>
      <c r="D273" t="str">
        <f t="shared" si="26"/>
        <v>-79.3772455</v>
      </c>
      <c r="E273" t="str">
        <f t="shared" si="27"/>
        <v>416-696-0043</v>
      </c>
      <c r="F273" t="str">
        <f t="shared" si="28"/>
        <v>M4P 3A1</v>
      </c>
      <c r="G273" t="str">
        <f t="shared" si="29"/>
        <v>[ "Staples", 43.7110257, -79.3772455, '416-696-0043', 'M4P 3A1'],</v>
      </c>
    </row>
    <row r="274" spans="1:7" x14ac:dyDescent="0.2">
      <c r="A274" t="s">
        <v>280</v>
      </c>
      <c r="B274" t="str">
        <f t="shared" si="24"/>
        <v>The Source</v>
      </c>
      <c r="C274" t="str">
        <f t="shared" si="25"/>
        <v>43.711808</v>
      </c>
      <c r="D274" t="str">
        <f t="shared" si="26"/>
        <v>-79.3759774</v>
      </c>
      <c r="E274" t="str">
        <f t="shared" si="27"/>
        <v>416-489-6974</v>
      </c>
      <c r="F274" t="str">
        <f t="shared" si="28"/>
        <v>M4G 2K2</v>
      </c>
      <c r="G274" t="str">
        <f t="shared" si="29"/>
        <v>[ "The Source", 43.711808, -79.3759774, '416-489-6974', 'M4G 2K2'],</v>
      </c>
    </row>
    <row r="275" spans="1:7" x14ac:dyDescent="0.2">
      <c r="A275" t="s">
        <v>281</v>
      </c>
      <c r="B275" t="str">
        <f t="shared" si="24"/>
        <v>The Source</v>
      </c>
      <c r="C275" t="str">
        <f t="shared" si="25"/>
        <v>43.7072288235294</v>
      </c>
      <c r="D275" t="str">
        <f t="shared" si="26"/>
        <v>-79.3984747058824</v>
      </c>
      <c r="E275" t="str">
        <f t="shared" si="27"/>
        <v>416-485-4944</v>
      </c>
      <c r="F275" t="str">
        <f t="shared" si="28"/>
        <v>M4P 1E4</v>
      </c>
      <c r="G275" t="str">
        <f t="shared" si="29"/>
        <v>[ "The Source", 43.7072288235294, -79.3984747058824, '416-485-4944', 'M4P 1E4'],</v>
      </c>
    </row>
    <row r="276" spans="1:7" x14ac:dyDescent="0.2">
      <c r="A276" t="s">
        <v>282</v>
      </c>
      <c r="B276" t="str">
        <f t="shared" si="24"/>
        <v>Best Buy Canada</v>
      </c>
      <c r="C276" t="str">
        <f t="shared" si="25"/>
        <v>43.7096685185185</v>
      </c>
      <c r="D276" t="str">
        <f t="shared" si="26"/>
        <v>-79.398972962963</v>
      </c>
      <c r="E276" t="str">
        <f t="shared" si="27"/>
        <v>416-489-4726</v>
      </c>
      <c r="F276" t="str">
        <f t="shared" si="28"/>
        <v>M4P 2H4</v>
      </c>
      <c r="G276" t="str">
        <f t="shared" si="29"/>
        <v>[ "Best Buy Canada", 43.7096685185185, -79.398972962963, '416-489-4726', 'M4P 2H4'],</v>
      </c>
    </row>
    <row r="277" spans="1:7" x14ac:dyDescent="0.2">
      <c r="A277" t="s">
        <v>283</v>
      </c>
      <c r="B277" t="str">
        <f t="shared" si="24"/>
        <v>RONA</v>
      </c>
      <c r="C277" t="str">
        <f t="shared" si="25"/>
        <v>43.72284</v>
      </c>
      <c r="D277" t="str">
        <f t="shared" si="26"/>
        <v>-79.285535</v>
      </c>
      <c r="E277" t="str">
        <f t="shared" si="27"/>
        <v>416-751-7556</v>
      </c>
      <c r="F277" t="str">
        <f t="shared" si="28"/>
        <v>M1L 4T7</v>
      </c>
      <c r="G277" t="str">
        <f t="shared" si="29"/>
        <v>[ "RONA", 43.72284, -79.285535, '416-751-7556', 'M1L 4T7'],</v>
      </c>
    </row>
    <row r="278" spans="1:7" x14ac:dyDescent="0.2">
      <c r="A278" t="s">
        <v>284</v>
      </c>
      <c r="B278" t="str">
        <f t="shared" si="24"/>
        <v>Canadian Tire</v>
      </c>
      <c r="C278" t="str">
        <f t="shared" si="25"/>
        <v>43.7255739</v>
      </c>
      <c r="D278" t="str">
        <f t="shared" si="26"/>
        <v>-79.2934661</v>
      </c>
      <c r="E278" t="str">
        <f t="shared" si="27"/>
        <v>416-615-2666</v>
      </c>
      <c r="F278" t="str">
        <f t="shared" si="28"/>
        <v>M1L 2L8</v>
      </c>
      <c r="G278" t="str">
        <f t="shared" si="29"/>
        <v>[ "Canadian Tire", 43.7255739, -79.2934661, '416-615-2666', 'M1L 2L8'],</v>
      </c>
    </row>
    <row r="279" spans="1:7" x14ac:dyDescent="0.2">
      <c r="A279" t="s">
        <v>285</v>
      </c>
      <c r="B279" t="str">
        <f t="shared" si="24"/>
        <v>ListenUp! Canada</v>
      </c>
      <c r="C279" t="str">
        <f t="shared" si="25"/>
        <v>43.65184625</v>
      </c>
      <c r="D279" t="str">
        <f t="shared" si="26"/>
        <v>-79.4730225</v>
      </c>
      <c r="E279" t="str">
        <f t="shared" si="27"/>
        <v>416-769-0097</v>
      </c>
      <c r="F279" t="str">
        <f t="shared" si="28"/>
        <v>M6S 1M8</v>
      </c>
      <c r="G279" t="str">
        <f t="shared" si="29"/>
        <v>[ "ListenUp! Canada", 43.65184625, -79.4730225, '416-769-0097', 'M6S 1M8'],</v>
      </c>
    </row>
    <row r="280" spans="1:7" x14ac:dyDescent="0.2">
      <c r="A280" t="s">
        <v>286</v>
      </c>
      <c r="B280" t="str">
        <f t="shared" si="24"/>
        <v>Staples</v>
      </c>
      <c r="C280" t="str">
        <f t="shared" si="25"/>
        <v>43.6700824</v>
      </c>
      <c r="D280" t="str">
        <f t="shared" si="26"/>
        <v>-79.4664952</v>
      </c>
      <c r="E280" t="str">
        <f t="shared" si="27"/>
        <v>416-762-2816</v>
      </c>
      <c r="F280" t="str">
        <f t="shared" si="28"/>
        <v>M6N 3E2</v>
      </c>
      <c r="G280" t="str">
        <f t="shared" si="29"/>
        <v>[ "Staples", 43.6700824, -79.4664952, '416-762-2816', 'M6N 3E2'],</v>
      </c>
    </row>
    <row r="281" spans="1:7" x14ac:dyDescent="0.2">
      <c r="A281" t="s">
        <v>287</v>
      </c>
      <c r="B281" t="str">
        <f t="shared" si="24"/>
        <v>RONA</v>
      </c>
      <c r="C281" t="str">
        <f t="shared" si="25"/>
        <v>43.66924</v>
      </c>
      <c r="D281" t="str">
        <f t="shared" si="26"/>
        <v>-79.46998</v>
      </c>
      <c r="E281" t="str">
        <f t="shared" si="27"/>
        <v>416-766-9393</v>
      </c>
      <c r="F281" t="str">
        <f t="shared" si="28"/>
        <v>M6N 5B7</v>
      </c>
      <c r="G281" t="str">
        <f t="shared" si="29"/>
        <v>[ "RONA", 43.66924, -79.46998, '416-766-9393', 'M6N 5B7'],</v>
      </c>
    </row>
    <row r="282" spans="1:7" x14ac:dyDescent="0.2">
      <c r="A282" t="s">
        <v>288</v>
      </c>
      <c r="B282" t="str">
        <f t="shared" si="24"/>
        <v>Best Buy Canada</v>
      </c>
      <c r="C282" t="str">
        <f t="shared" si="25"/>
        <v>43.6694475</v>
      </c>
      <c r="D282" t="str">
        <f t="shared" si="26"/>
        <v>-79.4700725</v>
      </c>
      <c r="E282" t="str">
        <f t="shared" si="27"/>
        <v>416-766-1577</v>
      </c>
      <c r="F282" t="str">
        <f t="shared" si="28"/>
        <v>M6N 5G8</v>
      </c>
      <c r="G282" t="str">
        <f t="shared" si="29"/>
        <v>[ "Best Buy Canada", 43.6694475, -79.4700725, '416-766-1577', 'M6N 5G8'],</v>
      </c>
    </row>
    <row r="283" spans="1:7" x14ac:dyDescent="0.2">
      <c r="A283" t="s">
        <v>289</v>
      </c>
      <c r="B283" t="str">
        <f t="shared" si="24"/>
        <v>Staples</v>
      </c>
      <c r="C283" t="str">
        <f t="shared" si="25"/>
        <v>43.7292761</v>
      </c>
      <c r="D283" t="str">
        <f t="shared" si="26"/>
        <v>-79.2841259</v>
      </c>
      <c r="E283" t="str">
        <f t="shared" si="27"/>
        <v>416-752-1091</v>
      </c>
      <c r="F283" t="str">
        <f t="shared" si="28"/>
        <v>M1L 2M6</v>
      </c>
      <c r="G283" t="str">
        <f t="shared" si="29"/>
        <v>[ "Staples", 43.7292761, -79.2841259, '416-752-1091', 'M1L 2M6'],</v>
      </c>
    </row>
    <row r="284" spans="1:7" x14ac:dyDescent="0.2">
      <c r="A284" t="s">
        <v>290</v>
      </c>
      <c r="B284" t="str">
        <f t="shared" si="24"/>
        <v>Home Depot</v>
      </c>
      <c r="C284" t="str">
        <f t="shared" si="25"/>
        <v>43.6717588</v>
      </c>
      <c r="D284" t="str">
        <f t="shared" si="26"/>
        <v>-79.470253</v>
      </c>
      <c r="E284" t="str">
        <f t="shared" si="27"/>
        <v>416-766-2800</v>
      </c>
      <c r="F284" t="str">
        <f t="shared" si="28"/>
        <v>M6N 5A8</v>
      </c>
      <c r="G284" t="str">
        <f t="shared" si="29"/>
        <v>[ "Home Depot", 43.6717588, -79.470253, '416-766-2800', 'M6N 5A8'],</v>
      </c>
    </row>
    <row r="285" spans="1:7" x14ac:dyDescent="0.2">
      <c r="A285" t="s">
        <v>291</v>
      </c>
      <c r="B285" t="str">
        <f t="shared" si="24"/>
        <v>ListenUp! Canada</v>
      </c>
      <c r="C285" t="str">
        <f t="shared" si="25"/>
        <v>43.649745</v>
      </c>
      <c r="D285" t="str">
        <f t="shared" si="26"/>
        <v>-79.482619375</v>
      </c>
      <c r="E285" t="str">
        <f t="shared" si="27"/>
        <v>416-767-7523</v>
      </c>
      <c r="F285" t="str">
        <f t="shared" si="28"/>
        <v>M6S 1P5</v>
      </c>
      <c r="G285" t="str">
        <f t="shared" si="29"/>
        <v>[ "ListenUp! Canada", 43.649745, -79.482619375, '416-767-7523', 'M6S 1P5'],</v>
      </c>
    </row>
    <row r="286" spans="1:7" x14ac:dyDescent="0.2">
      <c r="A286" t="s">
        <v>292</v>
      </c>
      <c r="B286" t="str">
        <f t="shared" si="24"/>
        <v>Canadian Tire</v>
      </c>
      <c r="C286" t="str">
        <f t="shared" si="25"/>
        <v>43.6708312</v>
      </c>
      <c r="D286" t="str">
        <f t="shared" si="26"/>
        <v>-79.471975</v>
      </c>
      <c r="E286" t="str">
        <f t="shared" si="27"/>
        <v>416-766-8141</v>
      </c>
      <c r="F286" t="str">
        <f t="shared" si="28"/>
        <v>M6N 5B4</v>
      </c>
      <c r="G286" t="str">
        <f t="shared" si="29"/>
        <v>[ "Canadian Tire", 43.6708312, -79.471975, '416-766-8141', 'M6N 5B4'],</v>
      </c>
    </row>
    <row r="287" spans="1:7" x14ac:dyDescent="0.2">
      <c r="A287" t="s">
        <v>293</v>
      </c>
      <c r="B287" t="str">
        <f t="shared" si="24"/>
        <v>ListenUp! Canada</v>
      </c>
      <c r="C287" t="str">
        <f t="shared" si="25"/>
        <v>43.7019</v>
      </c>
      <c r="D287" t="str">
        <f t="shared" si="26"/>
        <v>-79.452005</v>
      </c>
      <c r="E287" t="str">
        <f t="shared" si="27"/>
        <v>416-630-5111</v>
      </c>
      <c r="F287" t="str">
        <f t="shared" si="28"/>
        <v>M6B 4J3</v>
      </c>
      <c r="G287" t="str">
        <f t="shared" si="29"/>
        <v>[ "ListenUp! Canada", 43.7019, -79.452005, '416-630-5111', 'M6B 4J3'],</v>
      </c>
    </row>
    <row r="288" spans="1:7" x14ac:dyDescent="0.2">
      <c r="A288" t="s">
        <v>294</v>
      </c>
      <c r="B288" t="str">
        <f t="shared" si="24"/>
        <v>ListenUp! Canada</v>
      </c>
      <c r="C288" t="str">
        <f t="shared" si="25"/>
        <v>43.72304875</v>
      </c>
      <c r="D288" t="str">
        <f t="shared" si="26"/>
        <v>-79.2349525</v>
      </c>
      <c r="E288" t="str">
        <f t="shared" si="27"/>
        <v>416-265-4427</v>
      </c>
      <c r="F288" t="str">
        <f t="shared" si="28"/>
        <v>M1M 1N5</v>
      </c>
      <c r="G288" t="str">
        <f t="shared" si="29"/>
        <v>[ "ListenUp! Canada", 43.72304875, -79.2349525, '416-265-4427', 'M1M 1N5'],</v>
      </c>
    </row>
    <row r="289" spans="1:7" x14ac:dyDescent="0.2">
      <c r="A289" t="s">
        <v>295</v>
      </c>
      <c r="B289" t="str">
        <f t="shared" si="24"/>
        <v>ListenUp! Canada</v>
      </c>
      <c r="C289" t="str">
        <f t="shared" si="25"/>
        <v>43.7441644444444</v>
      </c>
      <c r="D289" t="str">
        <f t="shared" si="26"/>
        <v>-79.3454033333333</v>
      </c>
      <c r="E289" t="str">
        <f t="shared" si="27"/>
        <v>416-441-3251</v>
      </c>
      <c r="F289" t="str">
        <f t="shared" si="28"/>
        <v>M3B 2W7</v>
      </c>
      <c r="G289" t="str">
        <f t="shared" si="29"/>
        <v>[ "ListenUp! Canada", 43.7441644444444, -79.3454033333333, '416-441-3251', 'M3B 2W7'],</v>
      </c>
    </row>
    <row r="290" spans="1:7" x14ac:dyDescent="0.2">
      <c r="A290" t="s">
        <v>296</v>
      </c>
      <c r="B290" t="str">
        <f t="shared" si="24"/>
        <v>Home Depot</v>
      </c>
      <c r="C290" t="str">
        <f t="shared" si="25"/>
        <v>43.7012625</v>
      </c>
      <c r="D290" t="str">
        <f t="shared" si="26"/>
        <v>-79.4641591666667</v>
      </c>
      <c r="E290" t="str">
        <f t="shared" si="27"/>
        <v>416-780-4730</v>
      </c>
      <c r="F290" t="str">
        <f t="shared" si="28"/>
        <v>M6B 3X8</v>
      </c>
      <c r="G290" t="str">
        <f t="shared" si="29"/>
        <v>[ "Home Depot", 43.7012625, -79.4641591666667, '416-780-4730', 'M6B 3X8'],</v>
      </c>
    </row>
    <row r="291" spans="1:7" x14ac:dyDescent="0.2">
      <c r="A291" t="s">
        <v>297</v>
      </c>
      <c r="B291" t="str">
        <f t="shared" si="24"/>
        <v>Canadian Tire</v>
      </c>
      <c r="C291" t="str">
        <f t="shared" si="25"/>
        <v>43.7166569</v>
      </c>
      <c r="D291" t="str">
        <f t="shared" si="26"/>
        <v>-79.4472576</v>
      </c>
      <c r="E291" t="str">
        <f t="shared" si="27"/>
        <v>416-787-1203</v>
      </c>
      <c r="F291" t="str">
        <f t="shared" si="28"/>
        <v>M6A 1B6</v>
      </c>
      <c r="G291" t="str">
        <f t="shared" si="29"/>
        <v>[ "Canadian Tire", 43.7166569, -79.4472576, '416-787-1203', 'M6A 1B6'],</v>
      </c>
    </row>
    <row r="292" spans="1:7" x14ac:dyDescent="0.2">
      <c r="A292" t="s">
        <v>298</v>
      </c>
      <c r="B292" t="str">
        <f t="shared" si="24"/>
        <v>uBreakiFix</v>
      </c>
      <c r="C292" t="str">
        <f t="shared" si="25"/>
        <v>43.7342373913043</v>
      </c>
      <c r="D292" t="str">
        <f t="shared" si="26"/>
        <v>-79.4197234782609</v>
      </c>
      <c r="E292" t="str">
        <f t="shared" si="27"/>
        <v>416-483-3773</v>
      </c>
      <c r="F292" t="str">
        <f t="shared" si="28"/>
        <v>M5M 4A3</v>
      </c>
      <c r="G292" t="str">
        <f t="shared" si="29"/>
        <v>[ "uBreakiFix", 43.7342373913043, -79.4197234782609, '416-483-3773', 'M5M 4A3'],</v>
      </c>
    </row>
    <row r="293" spans="1:7" x14ac:dyDescent="0.2">
      <c r="A293" t="s">
        <v>299</v>
      </c>
      <c r="B293" t="str">
        <f t="shared" si="24"/>
        <v>The Source</v>
      </c>
      <c r="C293" t="str">
        <f t="shared" si="25"/>
        <v>43.7347430769231</v>
      </c>
      <c r="D293" t="str">
        <f t="shared" si="26"/>
        <v>-79.4198246153846</v>
      </c>
      <c r="E293" t="str">
        <f t="shared" si="27"/>
        <v>416-604-3224</v>
      </c>
      <c r="F293" t="str">
        <f t="shared" si="28"/>
        <v>M6N 0A3</v>
      </c>
      <c r="G293" t="str">
        <f t="shared" si="29"/>
        <v>[ "The Source", 43.7347430769231, -79.4198246153846, '416-604-3224', 'M6N 0A3'],</v>
      </c>
    </row>
    <row r="294" spans="1:7" x14ac:dyDescent="0.2">
      <c r="A294" t="s">
        <v>300</v>
      </c>
      <c r="B294" t="str">
        <f t="shared" si="24"/>
        <v>ListenUp! Canada</v>
      </c>
      <c r="C294" t="str">
        <f t="shared" si="25"/>
        <v>43.74771</v>
      </c>
      <c r="D294" t="str">
        <f t="shared" si="26"/>
        <v>-79.3856283333333</v>
      </c>
      <c r="E294" t="str">
        <f t="shared" si="27"/>
        <v>416-510-2705</v>
      </c>
      <c r="F294" t="str">
        <f t="shared" si="28"/>
        <v>M2L 2Y5</v>
      </c>
      <c r="G294" t="str">
        <f t="shared" si="29"/>
        <v>[ "ListenUp! Canada", 43.74771, -79.3856283333333, '416-510-2705', 'M2L 2Y5'],</v>
      </c>
    </row>
    <row r="295" spans="1:7" x14ac:dyDescent="0.2">
      <c r="A295" t="s">
        <v>301</v>
      </c>
      <c r="B295" t="str">
        <f t="shared" si="24"/>
        <v>Home Depot</v>
      </c>
      <c r="C295" t="str">
        <f t="shared" si="25"/>
        <v>43.4537</v>
      </c>
      <c r="D295" t="str">
        <f t="shared" si="26"/>
        <v>-79.68677</v>
      </c>
      <c r="E295" t="str">
        <f t="shared" si="27"/>
        <v>905-815-5000</v>
      </c>
      <c r="F295" t="str">
        <f t="shared" si="28"/>
        <v>L6J 2W7</v>
      </c>
      <c r="G295" t="str">
        <f t="shared" si="29"/>
        <v>[ "Home Depot", 43.4537, -79.68677, '905-815-5000', 'L6J 2W7'],</v>
      </c>
    </row>
    <row r="296" spans="1:7" x14ac:dyDescent="0.2">
      <c r="A296" t="s">
        <v>302</v>
      </c>
      <c r="B296" t="str">
        <f t="shared" si="24"/>
        <v>The Source</v>
      </c>
      <c r="C296" t="str">
        <f t="shared" si="25"/>
        <v>43.4622</v>
      </c>
      <c r="D296" t="str">
        <f t="shared" si="26"/>
        <v>-79.68899</v>
      </c>
      <c r="E296" t="str">
        <f t="shared" si="27"/>
        <v>905-849-4445</v>
      </c>
      <c r="F296" t="str">
        <f t="shared" si="28"/>
        <v>L6H 3H6</v>
      </c>
      <c r="G296" t="str">
        <f t="shared" si="29"/>
        <v>[ "The Source", 43.4622, -79.68899, '905-849-4445', 'L6H 3H6'],</v>
      </c>
    </row>
    <row r="297" spans="1:7" x14ac:dyDescent="0.2">
      <c r="A297" t="s">
        <v>303</v>
      </c>
      <c r="B297" t="str">
        <f t="shared" si="24"/>
        <v>Town of Oakville</v>
      </c>
      <c r="C297" t="str">
        <f t="shared" si="25"/>
        <v>43.4667051425437</v>
      </c>
      <c r="D297" t="str">
        <f t="shared" si="26"/>
        <v>-79.6902873864082</v>
      </c>
      <c r="E297" t="str">
        <f t="shared" si="27"/>
        <v>905-845-6601</v>
      </c>
      <c r="F297" t="str">
        <f t="shared" si="28"/>
        <v>L6H 3P1</v>
      </c>
      <c r="G297" t="str">
        <f t="shared" si="29"/>
        <v>[ "Town of Oakville", 43.4667051425437, -79.6902873864082, '905-845-6601', 'L6H 3P1'],</v>
      </c>
    </row>
    <row r="298" spans="1:7" x14ac:dyDescent="0.2">
      <c r="A298" t="s">
        <v>304</v>
      </c>
      <c r="B298" t="str">
        <f t="shared" si="24"/>
        <v>Post Inn Village - Services for Seniors</v>
      </c>
      <c r="C298" t="str">
        <f t="shared" si="25"/>
        <v>43.4797983370262</v>
      </c>
      <c r="D298" t="str">
        <f t="shared" si="26"/>
        <v>-79.7164707317139</v>
      </c>
      <c r="E298" t="str">
        <f t="shared" si="27"/>
        <v>905-825-6000</v>
      </c>
      <c r="F298" t="str">
        <f t="shared" si="28"/>
        <v>L6H 7H9</v>
      </c>
      <c r="G298" t="str">
        <f t="shared" si="29"/>
        <v>[ "Post Inn Village - Services for Seniors", 43.4797983370262, -79.7164707317139, '905-825-6000', 'L6H 7H9'],</v>
      </c>
    </row>
    <row r="299" spans="1:7" x14ac:dyDescent="0.2">
      <c r="A299" t="s">
        <v>305</v>
      </c>
      <c r="B299" t="str">
        <f t="shared" si="24"/>
        <v>Home Depot</v>
      </c>
      <c r="C299" t="str">
        <f t="shared" si="25"/>
        <v>43.4007600369329</v>
      </c>
      <c r="D299" t="str">
        <f t="shared" si="26"/>
        <v>-79.7497547947862</v>
      </c>
      <c r="E299" t="str">
        <f t="shared" si="27"/>
        <v>905-469-7110</v>
      </c>
      <c r="F299" t="str">
        <f t="shared" si="28"/>
        <v>L6L 0B1</v>
      </c>
      <c r="G299" t="str">
        <f t="shared" si="29"/>
        <v>[ "Home Depot", 43.4007600369329, -79.7497547947862, '905-469-7110', 'L6L 0B1'],</v>
      </c>
    </row>
    <row r="300" spans="1:7" x14ac:dyDescent="0.2">
      <c r="A300" t="s">
        <v>306</v>
      </c>
      <c r="B300" t="str">
        <f t="shared" si="24"/>
        <v>Home Depot</v>
      </c>
      <c r="C300" t="str">
        <f t="shared" si="25"/>
        <v>43.518025</v>
      </c>
      <c r="D300" t="str">
        <f t="shared" si="26"/>
        <v>-79.683355</v>
      </c>
      <c r="E300" t="str">
        <f t="shared" si="27"/>
        <v>905-829-5900</v>
      </c>
      <c r="F300" t="str">
        <f t="shared" si="28"/>
        <v>L6H 5W9</v>
      </c>
      <c r="G300" t="str">
        <f t="shared" si="29"/>
        <v>[ "Home Depot", 43.518025, -79.683355, '905-829-5900', 'L6H 5W9'],</v>
      </c>
    </row>
    <row r="301" spans="1:7" x14ac:dyDescent="0.2">
      <c r="A301" t="s">
        <v>307</v>
      </c>
      <c r="B301" t="str">
        <f t="shared" si="24"/>
        <v>ListenUp! Canada</v>
      </c>
      <c r="C301" t="str">
        <f t="shared" si="25"/>
        <v>43.51475</v>
      </c>
      <c r="D301" t="str">
        <f t="shared" si="26"/>
        <v>-79.6258739344262</v>
      </c>
      <c r="E301" t="str">
        <f t="shared" si="27"/>
        <v>905-855-7638</v>
      </c>
      <c r="F301" t="str">
        <f t="shared" si="28"/>
        <v>L5J 4P1</v>
      </c>
      <c r="G301" t="str">
        <f t="shared" si="29"/>
        <v>[ "ListenUp! Canada", 43.51475, -79.6258739344262, '905-855-7638', 'L5J 4P1'],</v>
      </c>
    </row>
    <row r="302" spans="1:7" x14ac:dyDescent="0.2">
      <c r="A302" t="s">
        <v>308</v>
      </c>
      <c r="B302" t="str">
        <f t="shared" si="24"/>
        <v>Staples</v>
      </c>
      <c r="C302" t="str">
        <f t="shared" si="25"/>
        <v>43.52236625</v>
      </c>
      <c r="D302" t="str">
        <f t="shared" si="26"/>
        <v>-79.6810634375</v>
      </c>
      <c r="E302" t="str">
        <f t="shared" si="27"/>
        <v>905-829-1960</v>
      </c>
      <c r="F302" t="str">
        <f t="shared" si="28"/>
        <v>L6H 6J5</v>
      </c>
      <c r="G302" t="str">
        <f t="shared" si="29"/>
        <v>[ "Staples", 43.52236625, -79.6810634375, '905-829-1960', 'L6H 6J5'],</v>
      </c>
    </row>
    <row r="303" spans="1:7" x14ac:dyDescent="0.2">
      <c r="A303" t="s">
        <v>309</v>
      </c>
      <c r="B303" t="str">
        <f t="shared" si="24"/>
        <v>uBreakiFix</v>
      </c>
      <c r="C303" t="str">
        <f t="shared" si="25"/>
        <v>43.5276517334641</v>
      </c>
      <c r="D303" t="str">
        <f t="shared" si="26"/>
        <v>-79.6521177075339</v>
      </c>
      <c r="E303" t="str">
        <f t="shared" si="27"/>
        <v>289-327-3442</v>
      </c>
      <c r="F303" t="str">
        <f t="shared" si="28"/>
        <v>L5K 0A1</v>
      </c>
      <c r="G303" t="str">
        <f t="shared" si="29"/>
        <v>[ "uBreakiFix", 43.5276517334641, -79.6521177075339, '289-327-3442', 'L5K 0A1'],</v>
      </c>
    </row>
    <row r="304" spans="1:7" x14ac:dyDescent="0.2">
      <c r="A304" t="s">
        <v>310</v>
      </c>
      <c r="B304" t="str">
        <f t="shared" si="24"/>
        <v>Mississauga Repair Centre</v>
      </c>
      <c r="C304" t="str">
        <f t="shared" si="25"/>
        <v>43.53323</v>
      </c>
      <c r="D304" t="str">
        <f t="shared" si="26"/>
        <v>-79.67721</v>
      </c>
      <c r="E304" t="str">
        <f t="shared" si="27"/>
        <v>905-828-1565</v>
      </c>
      <c r="F304" t="str">
        <f t="shared" si="28"/>
        <v>L5L 1R6</v>
      </c>
      <c r="G304" t="str">
        <f t="shared" si="29"/>
        <v>[ "Mississauga Repair Centre", 43.53323, -79.67721, '905-828-1565', 'L5L 1R6'],</v>
      </c>
    </row>
    <row r="305" spans="1:7" x14ac:dyDescent="0.2">
      <c r="A305" t="s">
        <v>311</v>
      </c>
      <c r="B305" t="str">
        <f t="shared" si="24"/>
        <v>Global Mobility Products Inc.</v>
      </c>
      <c r="C305" t="str">
        <f t="shared" si="25"/>
        <v>43.3833839090607</v>
      </c>
      <c r="D305" t="str">
        <f t="shared" si="26"/>
        <v>-79.7703333545969</v>
      </c>
      <c r="E305" t="str">
        <f t="shared" si="27"/>
        <v>905-331-3616</v>
      </c>
      <c r="F305" t="str">
        <f t="shared" si="28"/>
        <v>L7L 5H6</v>
      </c>
      <c r="G305" t="str">
        <f t="shared" si="29"/>
        <v>[ "Global Mobility Products Inc.", 43.3833839090607, -79.7703333545969, '905-331-3616', 'L7L 5H6'],</v>
      </c>
    </row>
    <row r="306" spans="1:7" x14ac:dyDescent="0.2">
      <c r="A306" t="s">
        <v>312</v>
      </c>
      <c r="B306" t="str">
        <f t="shared" si="24"/>
        <v>Creek Way Village</v>
      </c>
      <c r="C306" t="str">
        <f t="shared" si="25"/>
        <v>43.3931931378967</v>
      </c>
      <c r="D306" t="str">
        <f t="shared" si="26"/>
        <v>-79.7803727550126</v>
      </c>
      <c r="E306" t="str">
        <f t="shared" si="27"/>
        <v>905-825-6000</v>
      </c>
      <c r="F306" t="str">
        <f t="shared" si="28"/>
        <v>L7L 7G7</v>
      </c>
      <c r="G306" t="str">
        <f t="shared" si="29"/>
        <v>[ "Creek Way Village", 43.3931931378967, -79.7803727550126, '905-825-6000', 'L7L 7G7'],</v>
      </c>
    </row>
    <row r="307" spans="1:7" x14ac:dyDescent="0.2">
      <c r="A307" t="s">
        <v>313</v>
      </c>
      <c r="B307" t="str">
        <f t="shared" si="24"/>
        <v>RONA</v>
      </c>
      <c r="C307" t="str">
        <f t="shared" si="25"/>
        <v>43.3908735022933</v>
      </c>
      <c r="D307" t="str">
        <f t="shared" si="26"/>
        <v>-79.7902297597762</v>
      </c>
      <c r="E307" t="str">
        <f t="shared" si="27"/>
        <v>905-332-8868</v>
      </c>
      <c r="F307" t="str">
        <f t="shared" si="28"/>
        <v>L7L 5V3</v>
      </c>
      <c r="G307" t="str">
        <f t="shared" si="29"/>
        <v>[ "RONA", 43.3908735022933, -79.7902297597762, '905-332-8868', 'L7L 5V3'],</v>
      </c>
    </row>
    <row r="308" spans="1:7" x14ac:dyDescent="0.2">
      <c r="A308" t="s">
        <v>314</v>
      </c>
      <c r="B308" t="str">
        <f t="shared" si="24"/>
        <v>Complete Rent-Alls</v>
      </c>
      <c r="C308" t="str">
        <f t="shared" si="25"/>
        <v>43.3750029771389</v>
      </c>
      <c r="D308" t="str">
        <f t="shared" si="26"/>
        <v>-79.7839190611361</v>
      </c>
      <c r="E308" t="str">
        <f t="shared" si="27"/>
        <v>905-632-9010</v>
      </c>
      <c r="F308" t="str">
        <f t="shared" si="28"/>
        <v>L7L 4X9</v>
      </c>
      <c r="G308" t="str">
        <f t="shared" si="29"/>
        <v>[ "Complete Rent-Alls", 43.3750029771389, -79.7839190611361, '905-632-9010', 'L7L 4X9'],</v>
      </c>
    </row>
    <row r="309" spans="1:7" x14ac:dyDescent="0.2">
      <c r="A309" t="s">
        <v>315</v>
      </c>
      <c r="B309" t="str">
        <f t="shared" si="24"/>
        <v>RONA</v>
      </c>
      <c r="C309" t="str">
        <f t="shared" si="25"/>
        <v>43.5513803</v>
      </c>
      <c r="D309" t="str">
        <f t="shared" si="26"/>
        <v>-79.7186544</v>
      </c>
      <c r="E309" t="str">
        <f t="shared" si="27"/>
        <v>905-820-9965</v>
      </c>
      <c r="F309" t="str">
        <f t="shared" si="28"/>
        <v>L5M 6J3</v>
      </c>
      <c r="G309" t="str">
        <f t="shared" si="29"/>
        <v>[ "RONA", 43.5513803, -79.7186544, '905-820-9965', 'L5M 6J3'],</v>
      </c>
    </row>
    <row r="310" spans="1:7" x14ac:dyDescent="0.2">
      <c r="A310" t="s">
        <v>316</v>
      </c>
      <c r="B310" t="str">
        <f t="shared" si="24"/>
        <v>Ministry of Government &amp; Consumer Services</v>
      </c>
      <c r="C310" t="str">
        <f t="shared" si="25"/>
        <v>43.5618102531646</v>
      </c>
      <c r="D310" t="str">
        <f t="shared" si="26"/>
        <v>-79.6491292405063</v>
      </c>
      <c r="E310" t="str">
        <f t="shared" si="27"/>
        <v>905-279-6163</v>
      </c>
      <c r="F310" t="str">
        <f t="shared" si="28"/>
        <v>L5C 1Y5</v>
      </c>
      <c r="G310" t="str">
        <f t="shared" si="29"/>
        <v>[ "Ministry of Government &amp; Consumer Services", 43.5618102531646, -79.6491292405063, '905-279-6163', 'L5C 1Y5'],</v>
      </c>
    </row>
    <row r="311" spans="1:7" x14ac:dyDescent="0.2">
      <c r="A311" t="s">
        <v>317</v>
      </c>
      <c r="B311" t="str">
        <f t="shared" si="24"/>
        <v>Canadian Tire</v>
      </c>
      <c r="C311" t="str">
        <f t="shared" si="25"/>
        <v>43.5669954054054</v>
      </c>
      <c r="D311" t="str">
        <f t="shared" si="26"/>
        <v>-79.6343627027027</v>
      </c>
      <c r="E311" t="str">
        <f t="shared" si="27"/>
        <v>905-270-9200</v>
      </c>
      <c r="F311" t="str">
        <f t="shared" si="28"/>
        <v>L5C 1T8</v>
      </c>
      <c r="G311" t="str">
        <f t="shared" si="29"/>
        <v>[ "Canadian Tire", 43.5669954054054, -79.6343627027027, '905-270-9200', 'L5C 1T8'],</v>
      </c>
    </row>
    <row r="312" spans="1:7" x14ac:dyDescent="0.2">
      <c r="A312" t="s">
        <v>318</v>
      </c>
      <c r="B312" t="str">
        <f t="shared" si="24"/>
        <v>Home Depot</v>
      </c>
      <c r="C312" t="str">
        <f t="shared" si="25"/>
        <v>43.5673018918919</v>
      </c>
      <c r="D312" t="str">
        <f t="shared" si="26"/>
        <v>-79.6347959459459</v>
      </c>
      <c r="E312" t="str">
        <f t="shared" si="27"/>
        <v>905-281-6230</v>
      </c>
      <c r="F312" t="str">
        <f t="shared" si="28"/>
        <v>L5C 1T7</v>
      </c>
      <c r="G312" t="str">
        <f t="shared" si="29"/>
        <v>[ "Home Depot", 43.5673018918919, -79.6347959459459, '905-281-6230', 'L5C 1T7'],</v>
      </c>
    </row>
    <row r="313" spans="1:7" x14ac:dyDescent="0.2">
      <c r="A313" t="s">
        <v>319</v>
      </c>
      <c r="B313" t="str">
        <f t="shared" si="24"/>
        <v>Interstate All Battery Center</v>
      </c>
      <c r="C313" t="str">
        <f t="shared" si="25"/>
        <v>43.5675645945946</v>
      </c>
      <c r="D313" t="str">
        <f t="shared" si="26"/>
        <v>-79.6351672972973</v>
      </c>
      <c r="E313" t="str">
        <f t="shared" si="27"/>
        <v>905-949-1818</v>
      </c>
      <c r="F313" t="str">
        <f t="shared" si="28"/>
        <v>L5C 1T7</v>
      </c>
      <c r="G313" t="str">
        <f t="shared" si="29"/>
        <v>[ "Interstate All Battery Center", 43.5675645945946, -79.6351672972973, '905-949-1818', 'L5C 1T7'],</v>
      </c>
    </row>
    <row r="314" spans="1:7" x14ac:dyDescent="0.2">
      <c r="A314" t="s">
        <v>320</v>
      </c>
      <c r="B314" t="str">
        <f t="shared" si="24"/>
        <v>ListenUp! Canada</v>
      </c>
      <c r="C314" t="str">
        <f t="shared" si="25"/>
        <v>43.5697166483922</v>
      </c>
      <c r="D314" t="str">
        <f t="shared" si="26"/>
        <v>-79.66258931314</v>
      </c>
      <c r="E314" t="str">
        <f t="shared" si="27"/>
        <v>905-949-0102</v>
      </c>
      <c r="F314" t="str">
        <f t="shared" si="28"/>
        <v>L5C 4E9</v>
      </c>
      <c r="G314" t="str">
        <f t="shared" si="29"/>
        <v>[ "ListenUp! Canada", 43.5697166483922, -79.66258931314, '905-949-0102', 'L5C 4E9'],</v>
      </c>
    </row>
    <row r="315" spans="1:7" x14ac:dyDescent="0.2">
      <c r="A315" t="s">
        <v>321</v>
      </c>
      <c r="B315" t="str">
        <f t="shared" si="24"/>
        <v>Staples</v>
      </c>
      <c r="C315" t="str">
        <f t="shared" si="25"/>
        <v>43.3568097209952</v>
      </c>
      <c r="D315" t="str">
        <f t="shared" si="26"/>
        <v>-79.808176898632</v>
      </c>
      <c r="E315" t="str">
        <f t="shared" si="27"/>
        <v>905-332-1071</v>
      </c>
      <c r="F315" t="str">
        <f t="shared" si="28"/>
        <v>L7M 4X7</v>
      </c>
      <c r="G315" t="str">
        <f t="shared" si="29"/>
        <v>[ "Staples", 43.3568097209952, -79.808176898632, '905-332-1071', 'L7M 4X7'],</v>
      </c>
    </row>
    <row r="316" spans="1:7" x14ac:dyDescent="0.2">
      <c r="A316" t="s">
        <v>322</v>
      </c>
      <c r="B316" t="str">
        <f t="shared" si="24"/>
        <v>Home Depot</v>
      </c>
      <c r="C316" t="str">
        <f t="shared" si="25"/>
        <v>43.3566399619041</v>
      </c>
      <c r="D316" t="str">
        <f t="shared" si="26"/>
        <v>-79.8083578201066</v>
      </c>
      <c r="E316" t="str">
        <f t="shared" si="27"/>
        <v>905-331-1700</v>
      </c>
      <c r="F316" t="str">
        <f t="shared" si="28"/>
        <v>L7M 4M9</v>
      </c>
      <c r="G316" t="str">
        <f t="shared" si="29"/>
        <v>[ "Home Depot", 43.3566399619041, -79.8083578201066, '905-331-1700', 'L7M 4M9'],</v>
      </c>
    </row>
    <row r="317" spans="1:7" x14ac:dyDescent="0.2">
      <c r="A317" t="s">
        <v>323</v>
      </c>
      <c r="B317" t="str">
        <f t="shared" si="24"/>
        <v>Canadian Tire</v>
      </c>
      <c r="C317" t="str">
        <f t="shared" si="25"/>
        <v>43.3464639130435</v>
      </c>
      <c r="D317" t="str">
        <f t="shared" si="26"/>
        <v>-79.7963565217391</v>
      </c>
      <c r="E317" t="str">
        <f t="shared" si="27"/>
        <v>905-639-6711</v>
      </c>
      <c r="F317" t="str">
        <f t="shared" si="28"/>
        <v>L7R 3N2</v>
      </c>
      <c r="G317" t="str">
        <f t="shared" si="29"/>
        <v>[ "Canadian Tire", 43.3464639130435, -79.7963565217391, '905-639-6711', 'L7R 3N2'],</v>
      </c>
    </row>
    <row r="318" spans="1:7" x14ac:dyDescent="0.2">
      <c r="A318" t="s">
        <v>324</v>
      </c>
      <c r="B318" t="str">
        <f t="shared" si="24"/>
        <v>The Source</v>
      </c>
      <c r="C318" t="str">
        <f t="shared" si="25"/>
        <v>43.3464639130435</v>
      </c>
      <c r="D318" t="str">
        <f t="shared" si="26"/>
        <v>-79.7963565217391</v>
      </c>
      <c r="E318" t="str">
        <f t="shared" si="27"/>
        <v>905-639-4354</v>
      </c>
      <c r="F318" t="str">
        <f t="shared" si="28"/>
        <v>L7R 3N2</v>
      </c>
      <c r="G318" t="str">
        <f t="shared" si="29"/>
        <v>[ "The Source", 43.3464639130435, -79.7963565217391, '905-639-4354', 'L7R 3N2'],</v>
      </c>
    </row>
    <row r="319" spans="1:7" x14ac:dyDescent="0.2">
      <c r="A319" t="s">
        <v>325</v>
      </c>
      <c r="B319" t="str">
        <f t="shared" si="24"/>
        <v>ListenUp! Canada</v>
      </c>
      <c r="C319" t="str">
        <f t="shared" si="25"/>
        <v>43.57159</v>
      </c>
      <c r="D319" t="str">
        <f t="shared" si="26"/>
        <v>-79.61069</v>
      </c>
      <c r="E319" t="str">
        <f t="shared" si="27"/>
        <v>905-502-6888</v>
      </c>
      <c r="F319" t="str">
        <f t="shared" si="28"/>
        <v>L5B 2P7</v>
      </c>
      <c r="G319" t="str">
        <f t="shared" si="29"/>
        <v>[ "ListenUp! Canada", 43.57159, -79.61069, '905-502-6888', 'L5B 2P7'],</v>
      </c>
    </row>
    <row r="320" spans="1:7" x14ac:dyDescent="0.2">
      <c r="A320" t="s">
        <v>326</v>
      </c>
      <c r="B320" t="str">
        <f t="shared" si="24"/>
        <v>Staples</v>
      </c>
      <c r="C320" t="str">
        <f t="shared" si="25"/>
        <v>43.5803964962338</v>
      </c>
      <c r="D320" t="str">
        <f t="shared" si="26"/>
        <v>-79.6468598538234</v>
      </c>
      <c r="E320" t="str">
        <f t="shared" si="27"/>
        <v>905-306-7888</v>
      </c>
      <c r="F320" t="str">
        <f t="shared" si="28"/>
        <v>L5B 4M6</v>
      </c>
      <c r="G320" t="str">
        <f t="shared" si="29"/>
        <v>[ "Staples", 43.5803964962338, -79.6468598538234, '905-306-7888', 'L5B 4M6'],</v>
      </c>
    </row>
    <row r="321" spans="1:7" x14ac:dyDescent="0.2">
      <c r="A321" t="s">
        <v>327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ListenUp! Canada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43.5777787267331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-79.6152479148324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905-272-4327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L5B 4A2</v>
      </c>
      <c r="G321" t="str">
        <f t="shared" ref="G321:G384" si="35">"[ "&amp;CHAR(34)&amp;B321&amp;CHAR(34)&amp;", "&amp;C321&amp;", "&amp;D321&amp;", '"&amp;E321&amp;"', '"&amp;F321&amp;"'],"</f>
        <v>[ "ListenUp! Canada", 43.5777787267331, -79.6152479148324, '905-272-4327', 'L5B 4A2'],</v>
      </c>
    </row>
    <row r="322" spans="1:7" x14ac:dyDescent="0.2">
      <c r="A322" t="s">
        <v>328</v>
      </c>
      <c r="B322" t="str">
        <f t="shared" si="30"/>
        <v>ListenUp! Canada</v>
      </c>
      <c r="C322" t="str">
        <f t="shared" si="31"/>
        <v>43.5809175</v>
      </c>
      <c r="D322" t="str">
        <f t="shared" si="32"/>
        <v>-79.712705</v>
      </c>
      <c r="E322" t="str">
        <f t="shared" si="33"/>
        <v>905-286-1051</v>
      </c>
      <c r="F322" t="str">
        <f t="shared" si="34"/>
        <v>L5M 1L6</v>
      </c>
      <c r="G322" t="str">
        <f t="shared" si="35"/>
        <v>[ "ListenUp! Canada", 43.5809175, -79.712705, '905-286-1051', 'L5M 1L6'],</v>
      </c>
    </row>
    <row r="323" spans="1:7" x14ac:dyDescent="0.2">
      <c r="A323" t="s">
        <v>329</v>
      </c>
      <c r="B323" t="str">
        <f t="shared" si="30"/>
        <v>Staples</v>
      </c>
      <c r="C323" t="str">
        <f t="shared" si="31"/>
        <v>43.3357729032258</v>
      </c>
      <c r="D323" t="str">
        <f t="shared" si="32"/>
        <v>-79.8128403225806</v>
      </c>
      <c r="E323" t="str">
        <f t="shared" si="33"/>
        <v>905-637-1422</v>
      </c>
      <c r="F323" t="str">
        <f t="shared" si="34"/>
        <v>L7S 2K4</v>
      </c>
      <c r="G323" t="str">
        <f t="shared" si="35"/>
        <v>[ "Staples", 43.3357729032258, -79.8128403225806, '905-637-1422', 'L7S 2K4'],</v>
      </c>
    </row>
    <row r="324" spans="1:7" x14ac:dyDescent="0.2">
      <c r="A324" t="s">
        <v>330</v>
      </c>
      <c r="B324" t="str">
        <f t="shared" si="30"/>
        <v>Mountain Equipment Co-Op</v>
      </c>
      <c r="C324" t="str">
        <f t="shared" si="31"/>
        <v>43.3390135923777</v>
      </c>
      <c r="D324" t="str">
        <f t="shared" si="32"/>
        <v>-79.8183843895694</v>
      </c>
      <c r="E324" t="str">
        <f t="shared" si="33"/>
        <v>905-333-8559</v>
      </c>
      <c r="F324" t="str">
        <f t="shared" si="34"/>
        <v>L7R 0B2</v>
      </c>
      <c r="G324" t="str">
        <f t="shared" si="35"/>
        <v>[ "Mountain Equipment Co-Op", 43.3390135923777, -79.8183843895694, '905-333-8559', 'L7R 0B2'],</v>
      </c>
    </row>
    <row r="325" spans="1:7" x14ac:dyDescent="0.2">
      <c r="A325" t="s">
        <v>331</v>
      </c>
      <c r="B325" t="str">
        <f t="shared" si="30"/>
        <v>ListenUp! Canada</v>
      </c>
      <c r="C325" t="str">
        <f t="shared" si="31"/>
        <v>43.3369777706284</v>
      </c>
      <c r="D325" t="str">
        <f t="shared" si="32"/>
        <v>-79.8184103048358</v>
      </c>
      <c r="E325" t="str">
        <f t="shared" si="33"/>
        <v>905-631-7889</v>
      </c>
      <c r="F325" t="str">
        <f t="shared" si="34"/>
        <v>L7R 3P9</v>
      </c>
      <c r="G325" t="str">
        <f t="shared" si="35"/>
        <v>[ "ListenUp! Canada", 43.3369777706284, -79.8184103048358, '905-631-7889', 'L7R 3P9'],</v>
      </c>
    </row>
    <row r="326" spans="1:7" x14ac:dyDescent="0.2">
      <c r="A326" t="s">
        <v>332</v>
      </c>
      <c r="B326" t="str">
        <f t="shared" si="30"/>
        <v>Stanley Black &amp; Decker</v>
      </c>
      <c r="C326" t="str">
        <f t="shared" si="31"/>
        <v>43.5882913561828</v>
      </c>
      <c r="D326" t="str">
        <f t="shared" si="32"/>
        <v>-79.7327009440744</v>
      </c>
      <c r="E326" t="str">
        <f t="shared" si="33"/>
        <v>289-290-4668</v>
      </c>
      <c r="F326" t="str">
        <f t="shared" si="34"/>
        <v>L5N 7K6</v>
      </c>
      <c r="G326" t="str">
        <f t="shared" si="35"/>
        <v>[ "Stanley Black &amp; Decker", 43.5882913561828, -79.7327009440744, '289-290-4668', 'L5N 7K6'],</v>
      </c>
    </row>
    <row r="327" spans="1:7" x14ac:dyDescent="0.2">
      <c r="A327" t="s">
        <v>333</v>
      </c>
      <c r="B327" t="str">
        <f t="shared" si="30"/>
        <v>The Source</v>
      </c>
      <c r="C327" t="str">
        <f t="shared" si="31"/>
        <v>43.3278229640744</v>
      </c>
      <c r="D327" t="str">
        <f t="shared" si="32"/>
        <v>-79.8196357784446</v>
      </c>
      <c r="E327" t="str">
        <f t="shared" si="33"/>
        <v>905-681-9252</v>
      </c>
      <c r="F327" t="str">
        <f t="shared" si="34"/>
        <v>L7S 2J8</v>
      </c>
      <c r="G327" t="str">
        <f t="shared" si="35"/>
        <v>[ "The Source", 43.3278229640744, -79.8196357784446, '905-681-9252', 'L7S 2J8'],</v>
      </c>
    </row>
    <row r="328" spans="1:7" x14ac:dyDescent="0.2">
      <c r="A328" t="s">
        <v>334</v>
      </c>
      <c r="B328" t="str">
        <f t="shared" si="30"/>
        <v>Hudsons Bay Company</v>
      </c>
      <c r="C328" t="str">
        <f t="shared" si="31"/>
        <v>43.3278229640744</v>
      </c>
      <c r="D328" t="str">
        <f t="shared" si="32"/>
        <v>-79.8196357784446</v>
      </c>
      <c r="E328" t="str">
        <f t="shared" si="33"/>
        <v>905-681-0030</v>
      </c>
      <c r="F328" t="str">
        <f t="shared" si="34"/>
        <v>L7S 2J8</v>
      </c>
      <c r="G328" t="str">
        <f t="shared" si="35"/>
        <v>[ "Hudsons Bay Company", 43.3278229640744, -79.8196357784446, '905-681-0030', 'L7S 2J8'],</v>
      </c>
    </row>
    <row r="329" spans="1:7" x14ac:dyDescent="0.2">
      <c r="A329" t="s">
        <v>335</v>
      </c>
      <c r="B329" t="str">
        <f t="shared" si="30"/>
        <v>RONA</v>
      </c>
      <c r="C329" t="str">
        <f t="shared" si="31"/>
        <v>43.5941053846154</v>
      </c>
      <c r="D329" t="str">
        <f t="shared" si="32"/>
        <v>-79.6007069230769</v>
      </c>
      <c r="E329" t="str">
        <f t="shared" si="33"/>
        <v>905-276-6350</v>
      </c>
      <c r="F329" t="str">
        <f t="shared" si="34"/>
        <v>L5A 3Y6</v>
      </c>
      <c r="G329" t="str">
        <f t="shared" si="35"/>
        <v>[ "RONA", 43.5941053846154, -79.6007069230769, '905-276-6350', 'L5A 3Y6'],</v>
      </c>
    </row>
    <row r="330" spans="1:7" x14ac:dyDescent="0.2">
      <c r="A330" t="s">
        <v>336</v>
      </c>
      <c r="B330" t="str">
        <f t="shared" si="30"/>
        <v>MCSCS</v>
      </c>
      <c r="C330" t="str">
        <f t="shared" si="31"/>
        <v>43.59177</v>
      </c>
      <c r="D330" t="str">
        <f t="shared" si="32"/>
        <v>-79.58866</v>
      </c>
      <c r="E330" t="str">
        <f t="shared" si="33"/>
        <v>905-279-6997</v>
      </c>
      <c r="F330" t="str">
        <f t="shared" si="34"/>
        <v>L4Y 1Y5</v>
      </c>
      <c r="G330" t="str">
        <f t="shared" si="35"/>
        <v>[ "MCSCS", 43.59177, -79.58866, '905-279-6997', 'L4Y 1Y5'],</v>
      </c>
    </row>
    <row r="331" spans="1:7" x14ac:dyDescent="0.2">
      <c r="A331" t="s">
        <v>337</v>
      </c>
      <c r="B331" t="str">
        <f t="shared" si="30"/>
        <v>Henrys</v>
      </c>
      <c r="C331" t="str">
        <f t="shared" si="31"/>
        <v>43.6087329220779</v>
      </c>
      <c r="D331" t="str">
        <f t="shared" si="32"/>
        <v>-79.6555426623377</v>
      </c>
      <c r="E331" t="str">
        <f t="shared" si="33"/>
        <v>905-568-1922</v>
      </c>
      <c r="F331" t="str">
        <f t="shared" si="34"/>
        <v>L4Z 3X6</v>
      </c>
      <c r="G331" t="str">
        <f t="shared" si="35"/>
        <v>[ "Henrys", 43.6087329220779, -79.6555426623377, '905-568-1922', 'L4Z 3X6'],</v>
      </c>
    </row>
    <row r="332" spans="1:7" x14ac:dyDescent="0.2">
      <c r="A332" t="s">
        <v>338</v>
      </c>
      <c r="B332" t="str">
        <f t="shared" si="30"/>
        <v>Home Depot</v>
      </c>
      <c r="C332" t="str">
        <f t="shared" si="31"/>
        <v>43.6071071830986</v>
      </c>
      <c r="D332" t="str">
        <f t="shared" si="32"/>
        <v>-79.7008128169014</v>
      </c>
      <c r="E332" t="str">
        <f t="shared" si="33"/>
        <v>905-285-4000</v>
      </c>
      <c r="F332" t="str">
        <f t="shared" si="34"/>
        <v>L5V 3E4</v>
      </c>
      <c r="G332" t="str">
        <f t="shared" si="35"/>
        <v>[ "Home Depot", 43.6071071830986, -79.7008128169014, '905-285-4000', 'L5V 3E4'],</v>
      </c>
    </row>
    <row r="333" spans="1:7" x14ac:dyDescent="0.2">
      <c r="A333" t="s">
        <v>339</v>
      </c>
      <c r="B333" t="str">
        <f t="shared" si="30"/>
        <v>The Source</v>
      </c>
      <c r="C333" t="str">
        <f t="shared" si="31"/>
        <v>43.59511</v>
      </c>
      <c r="D333" t="str">
        <f t="shared" si="32"/>
        <v>-79.56838</v>
      </c>
      <c r="E333" t="str">
        <f t="shared" si="33"/>
        <v>905-271-3644</v>
      </c>
      <c r="F333" t="str">
        <f t="shared" si="34"/>
        <v>L5E 1V4</v>
      </c>
      <c r="G333" t="str">
        <f t="shared" si="35"/>
        <v>[ "The Source", 43.59511, -79.56838, '905-271-3644', 'L5E 1V4'],</v>
      </c>
    </row>
    <row r="334" spans="1:7" x14ac:dyDescent="0.2">
      <c r="A334" t="s">
        <v>340</v>
      </c>
      <c r="B334" t="str">
        <f t="shared" si="30"/>
        <v>Staples</v>
      </c>
      <c r="C334" t="str">
        <f t="shared" si="31"/>
        <v>43.60992</v>
      </c>
      <c r="D334" t="str">
        <f t="shared" si="32"/>
        <v>-79.69273</v>
      </c>
      <c r="E334" t="str">
        <f t="shared" si="33"/>
        <v>905-813-3134</v>
      </c>
      <c r="F334" t="str">
        <f t="shared" si="34"/>
        <v>L5V 2P5</v>
      </c>
      <c r="G334" t="str">
        <f t="shared" si="35"/>
        <v>[ "Staples", 43.60992, -79.69273, '905-813-3134', 'L5V 2P5'],</v>
      </c>
    </row>
    <row r="335" spans="1:7" x14ac:dyDescent="0.2">
      <c r="A335" t="s">
        <v>341</v>
      </c>
      <c r="B335" t="str">
        <f t="shared" si="30"/>
        <v>Canadian Tire</v>
      </c>
      <c r="C335" t="str">
        <f t="shared" si="31"/>
        <v>43.60446</v>
      </c>
      <c r="D335" t="str">
        <f t="shared" si="32"/>
        <v>-79.58928</v>
      </c>
      <c r="E335" t="str">
        <f t="shared" si="33"/>
        <v>905-272-4800</v>
      </c>
      <c r="F335" t="str">
        <f t="shared" si="34"/>
        <v>L4Y 2C1</v>
      </c>
      <c r="G335" t="str">
        <f t="shared" si="35"/>
        <v>[ "Canadian Tire", 43.60446, -79.58928, '905-272-4800', 'L4Y 2C1'],</v>
      </c>
    </row>
    <row r="336" spans="1:7" x14ac:dyDescent="0.2">
      <c r="A336" t="s">
        <v>342</v>
      </c>
      <c r="B336" t="str">
        <f t="shared" si="30"/>
        <v>Staples</v>
      </c>
      <c r="C336" t="str">
        <f t="shared" si="31"/>
        <v>43.60798</v>
      </c>
      <c r="D336" t="str">
        <f t="shared" si="32"/>
        <v>-79.72949</v>
      </c>
      <c r="E336" t="str">
        <f t="shared" si="33"/>
        <v>905-785-0864</v>
      </c>
      <c r="F336" t="str">
        <f t="shared" si="34"/>
        <v>L5N 8E1</v>
      </c>
      <c r="G336" t="str">
        <f t="shared" si="35"/>
        <v>[ "Staples", 43.60798, -79.72949, '905-785-0864', 'L5N 8E1'],</v>
      </c>
    </row>
    <row r="337" spans="1:7" x14ac:dyDescent="0.2">
      <c r="A337" t="s">
        <v>343</v>
      </c>
      <c r="B337" t="str">
        <f t="shared" si="30"/>
        <v>Home Depot</v>
      </c>
      <c r="C337" t="str">
        <f t="shared" si="31"/>
        <v>43.53572</v>
      </c>
      <c r="D337" t="str">
        <f t="shared" si="32"/>
        <v>-79.87415</v>
      </c>
      <c r="E337" t="str">
        <f t="shared" si="33"/>
        <v>905-864-1200</v>
      </c>
      <c r="F337" t="str">
        <f t="shared" si="34"/>
        <v>L9T 0A5</v>
      </c>
      <c r="G337" t="str">
        <f t="shared" si="35"/>
        <v>[ "Home Depot", 43.53572, -79.87415, '905-864-1200', 'L9T 0A5'],</v>
      </c>
    </row>
    <row r="338" spans="1:7" x14ac:dyDescent="0.2">
      <c r="A338" t="s">
        <v>344</v>
      </c>
      <c r="B338" t="str">
        <f t="shared" si="30"/>
        <v>RONA</v>
      </c>
      <c r="C338" t="str">
        <f t="shared" si="31"/>
        <v>43.5965272142405</v>
      </c>
      <c r="D338" t="str">
        <f t="shared" si="32"/>
        <v>-79.7850797312542</v>
      </c>
      <c r="E338" t="str">
        <f t="shared" si="33"/>
        <v>905-824-1865</v>
      </c>
      <c r="F338" t="str">
        <f t="shared" si="34"/>
        <v>L5N 8E1</v>
      </c>
      <c r="G338" t="str">
        <f t="shared" si="35"/>
        <v>[ "RONA", 43.5965272142405, -79.7850797312542, '905-824-1865', 'L5N 8E1'],</v>
      </c>
    </row>
    <row r="339" spans="1:7" x14ac:dyDescent="0.2">
      <c r="A339" t="s">
        <v>345</v>
      </c>
      <c r="B339" t="str">
        <f t="shared" si="30"/>
        <v>Home Depot</v>
      </c>
      <c r="C339" t="str">
        <f t="shared" si="31"/>
        <v>43.5991950396019</v>
      </c>
      <c r="D339" t="str">
        <f t="shared" si="32"/>
        <v>-79.7796852742672</v>
      </c>
      <c r="E339" t="str">
        <f t="shared" si="33"/>
        <v>905-814-3860</v>
      </c>
      <c r="F339" t="str">
        <f t="shared" si="34"/>
        <v>L5N 8C5</v>
      </c>
      <c r="G339" t="str">
        <f t="shared" si="35"/>
        <v>[ "Home Depot", 43.5991950396019, -79.7796852742672, '905-814-3860', 'L5N 8C5'],</v>
      </c>
    </row>
    <row r="340" spans="1:7" x14ac:dyDescent="0.2">
      <c r="A340" t="s">
        <v>346</v>
      </c>
      <c r="B340" t="str">
        <f t="shared" si="30"/>
        <v>Staples</v>
      </c>
      <c r="C340" t="str">
        <f t="shared" si="31"/>
        <v>43.5417045</v>
      </c>
      <c r="D340" t="str">
        <f t="shared" si="32"/>
        <v>-79.8713099</v>
      </c>
      <c r="E340" t="str">
        <f t="shared" si="33"/>
        <v>905-878-2434</v>
      </c>
      <c r="F340" t="str">
        <f t="shared" si="34"/>
        <v>L9T 6R1</v>
      </c>
      <c r="G340" t="str">
        <f t="shared" si="35"/>
        <v>[ "Staples", 43.5417045, -79.8713099, '905-878-2434', 'L9T 6R1'],</v>
      </c>
    </row>
    <row r="341" spans="1:7" x14ac:dyDescent="0.2">
      <c r="A341" t="s">
        <v>347</v>
      </c>
      <c r="B341" t="str">
        <f t="shared" si="30"/>
        <v>Canadian Tire</v>
      </c>
      <c r="C341" t="str">
        <f t="shared" si="31"/>
        <v>43.5415727</v>
      </c>
      <c r="D341" t="str">
        <f t="shared" si="32"/>
        <v>-79.8715343</v>
      </c>
      <c r="E341" t="str">
        <f t="shared" si="33"/>
        <v>905-878-2349</v>
      </c>
      <c r="F341" t="str">
        <f t="shared" si="34"/>
        <v>L9T 6R1</v>
      </c>
      <c r="G341" t="str">
        <f t="shared" si="35"/>
        <v>[ "Canadian Tire", 43.5415727, -79.8715343, '905-878-2349', 'L9T 6R1'],</v>
      </c>
    </row>
    <row r="342" spans="1:7" x14ac:dyDescent="0.2">
      <c r="A342" t="s">
        <v>348</v>
      </c>
      <c r="B342" t="str">
        <f t="shared" si="30"/>
        <v>ListenUp! Canada</v>
      </c>
      <c r="C342" t="str">
        <f t="shared" si="31"/>
        <v>43.60909</v>
      </c>
      <c r="D342" t="str">
        <f t="shared" si="32"/>
        <v>-79.56052</v>
      </c>
      <c r="E342" t="str">
        <f t="shared" si="33"/>
        <v>416-620-5776</v>
      </c>
      <c r="F342" t="str">
        <f t="shared" si="34"/>
        <v>M9C 5N2</v>
      </c>
      <c r="G342" t="str">
        <f t="shared" si="35"/>
        <v>[ "ListenUp! Canada", 43.60909, -79.56052, '416-620-5776', 'M9C 5N2'],</v>
      </c>
    </row>
    <row r="343" spans="1:7" x14ac:dyDescent="0.2">
      <c r="A343" t="s">
        <v>349</v>
      </c>
      <c r="B343" t="str">
        <f t="shared" si="30"/>
        <v>Dashvapes Inc</v>
      </c>
      <c r="C343" t="str">
        <f t="shared" si="31"/>
        <v>43.626546</v>
      </c>
      <c r="D343" t="str">
        <f t="shared" si="32"/>
        <v>-79.679812</v>
      </c>
      <c r="E343" t="str">
        <f t="shared" si="33"/>
        <v>905-507-3274</v>
      </c>
      <c r="F343" t="str">
        <f t="shared" si="34"/>
        <v>L5R 4B3</v>
      </c>
      <c r="G343" t="str">
        <f t="shared" si="35"/>
        <v>[ "Dashvapes Inc", 43.626546, -79.679812, '905-507-3274', 'L5R 4B3'],</v>
      </c>
    </row>
    <row r="344" spans="1:7" x14ac:dyDescent="0.2">
      <c r="A344" t="s">
        <v>350</v>
      </c>
      <c r="B344" t="str">
        <f t="shared" si="30"/>
        <v>RONA</v>
      </c>
      <c r="C344" t="str">
        <f t="shared" si="31"/>
        <v>43.6254612467473</v>
      </c>
      <c r="D344" t="str">
        <f t="shared" si="32"/>
        <v>-79.6065350291245</v>
      </c>
      <c r="E344" t="str">
        <f t="shared" si="33"/>
        <v>905-602-0795</v>
      </c>
      <c r="F344" t="str">
        <f t="shared" si="34"/>
        <v>L4W 1V5</v>
      </c>
      <c r="G344" t="str">
        <f t="shared" si="35"/>
        <v>[ "RONA", 43.6254612467473, -79.6065350291245, '905-602-0795', 'L4W 1V5'],</v>
      </c>
    </row>
    <row r="345" spans="1:7" x14ac:dyDescent="0.2">
      <c r="A345" t="s">
        <v>352</v>
      </c>
      <c r="B345" t="str">
        <f t="shared" si="30"/>
        <v>Staples</v>
      </c>
      <c r="C345" t="str">
        <f t="shared" si="31"/>
        <v>43.22544</v>
      </c>
      <c r="D345" t="str">
        <f t="shared" si="32"/>
        <v>-79.95532</v>
      </c>
      <c r="E345" t="str">
        <f t="shared" si="33"/>
        <v>905-648-6047</v>
      </c>
      <c r="F345" t="str">
        <f t="shared" si="34"/>
        <v>L9K 1L6</v>
      </c>
      <c r="G345" t="str">
        <f t="shared" si="35"/>
        <v>[ "Staples", 43.22544, -79.95532, '905-648-6047', 'L9K 1L6'],</v>
      </c>
    </row>
    <row r="346" spans="1:7" x14ac:dyDescent="0.2">
      <c r="A346" t="s">
        <v>353</v>
      </c>
      <c r="B346" t="str">
        <f t="shared" si="30"/>
        <v>Henrys</v>
      </c>
      <c r="C346" t="str">
        <f t="shared" si="31"/>
        <v>43.2255173449585</v>
      </c>
      <c r="D346" t="str">
        <f t="shared" si="32"/>
        <v>-79.9538051792998</v>
      </c>
      <c r="E346" t="str">
        <f t="shared" si="33"/>
        <v>905-648-9754</v>
      </c>
      <c r="F346" t="str">
        <f t="shared" si="34"/>
        <v>L9K 1L5</v>
      </c>
      <c r="G346" t="str">
        <f t="shared" si="35"/>
        <v>[ "Henrys", 43.2255173449585, -79.9538051792998, '905-648-9754', 'L9K 1L5'],</v>
      </c>
    </row>
    <row r="347" spans="1:7" x14ac:dyDescent="0.2">
      <c r="A347" t="s">
        <v>354</v>
      </c>
      <c r="B347" t="str">
        <f t="shared" si="30"/>
        <v>Best Buy</v>
      </c>
      <c r="C347" t="str">
        <f t="shared" si="31"/>
        <v>43.22704</v>
      </c>
      <c r="D347" t="str">
        <f t="shared" si="32"/>
        <v>-79.94467</v>
      </c>
      <c r="E347" t="str">
        <f t="shared" si="33"/>
        <v>905-304-7624</v>
      </c>
      <c r="F347" t="str">
        <f t="shared" si="34"/>
        <v>L9K 1J9</v>
      </c>
      <c r="G347" t="str">
        <f t="shared" si="35"/>
        <v>[ "Best Buy", 43.22704, -79.94467, '905-304-7624', 'L9K 1J9'],</v>
      </c>
    </row>
    <row r="348" spans="1:7" x14ac:dyDescent="0.2">
      <c r="A348" t="s">
        <v>355</v>
      </c>
      <c r="B348" t="str">
        <f t="shared" si="30"/>
        <v>Home Depot</v>
      </c>
      <c r="C348" t="str">
        <f t="shared" si="31"/>
        <v>43.229086749999</v>
      </c>
      <c r="D348" t="str">
        <f t="shared" si="32"/>
        <v>-79.9415112934695</v>
      </c>
      <c r="E348" t="str">
        <f t="shared" si="33"/>
        <v>905-304-5900</v>
      </c>
      <c r="F348" t="str">
        <f t="shared" si="34"/>
        <v>L9K 1J9</v>
      </c>
      <c r="G348" t="str">
        <f t="shared" si="35"/>
        <v>[ "Home Depot", 43.229086749999, -79.9415112934695, '905-304-5900', 'L9K 1J9'],</v>
      </c>
    </row>
    <row r="349" spans="1:7" x14ac:dyDescent="0.2">
      <c r="A349" t="s">
        <v>356</v>
      </c>
      <c r="B349" t="str">
        <f t="shared" si="30"/>
        <v>The Source</v>
      </c>
      <c r="C349" t="str">
        <f t="shared" si="31"/>
        <v>43.25969</v>
      </c>
      <c r="D349" t="str">
        <f t="shared" si="32"/>
        <v>-79.94278</v>
      </c>
      <c r="E349" t="str">
        <f t="shared" si="33"/>
        <v>905-627-3387</v>
      </c>
      <c r="F349" t="str">
        <f t="shared" si="34"/>
        <v>L9H 4H4</v>
      </c>
      <c r="G349" t="str">
        <f t="shared" si="35"/>
        <v>[ "The Source", 43.25969, -79.94278, '905-627-3387', 'L9H 4H4'],</v>
      </c>
    </row>
    <row r="350" spans="1:7" x14ac:dyDescent="0.2">
      <c r="A350" t="s">
        <v>357</v>
      </c>
      <c r="B350" t="str">
        <f t="shared" si="30"/>
        <v>The Source</v>
      </c>
      <c r="C350" t="str">
        <f t="shared" si="31"/>
        <v>43.1733746666667</v>
      </c>
      <c r="D350" t="str">
        <f t="shared" si="32"/>
        <v>-80.242096</v>
      </c>
      <c r="E350" t="str">
        <f t="shared" si="33"/>
        <v>519-759-8462</v>
      </c>
      <c r="F350" t="str">
        <f t="shared" si="34"/>
        <v>N3R 6B8</v>
      </c>
      <c r="G350" t="str">
        <f t="shared" si="35"/>
        <v>[ "The Source", 43.1733746666667, -80.242096, '519-759-8462', 'N3R 6B8'],</v>
      </c>
    </row>
    <row r="351" spans="1:7" x14ac:dyDescent="0.2">
      <c r="A351" t="s">
        <v>358</v>
      </c>
      <c r="B351" t="str">
        <f t="shared" si="30"/>
        <v>ListenUp! Canada</v>
      </c>
      <c r="C351" t="str">
        <f t="shared" si="31"/>
        <v>43.25734</v>
      </c>
      <c r="D351" t="str">
        <f t="shared" si="32"/>
        <v>-79.93383</v>
      </c>
      <c r="E351" t="str">
        <f t="shared" si="33"/>
        <v>905-524-0788</v>
      </c>
      <c r="F351" t="str">
        <f t="shared" si="34"/>
        <v>L8S 1G5</v>
      </c>
      <c r="G351" t="str">
        <f t="shared" si="35"/>
        <v>[ "ListenUp! Canada", 43.25734, -79.93383, '905-524-0788', 'L8S 1G5'],</v>
      </c>
    </row>
    <row r="352" spans="1:7" x14ac:dyDescent="0.2">
      <c r="A352" t="s">
        <v>359</v>
      </c>
      <c r="B352" t="str">
        <f t="shared" si="30"/>
        <v>Home Depot</v>
      </c>
      <c r="C352" t="str">
        <f t="shared" si="31"/>
        <v>43.1630392918477</v>
      </c>
      <c r="D352" t="str">
        <f t="shared" si="32"/>
        <v>-80.2414100444489</v>
      </c>
      <c r="E352" t="str">
        <f t="shared" si="33"/>
        <v>519-757-3534</v>
      </c>
      <c r="F352" t="str">
        <f t="shared" si="34"/>
        <v>N3R 7J4</v>
      </c>
      <c r="G352" t="str">
        <f t="shared" si="35"/>
        <v>[ "Home Depot", 43.1630392918477, -80.2414100444489, '519-757-3534', 'N3R 7J4'],</v>
      </c>
    </row>
    <row r="353" spans="1:7" x14ac:dyDescent="0.2">
      <c r="A353" t="s">
        <v>360</v>
      </c>
      <c r="B353" t="str">
        <f t="shared" si="30"/>
        <v>Staples</v>
      </c>
      <c r="C353" t="str">
        <f t="shared" si="31"/>
        <v>43.1693666109149</v>
      </c>
      <c r="D353" t="str">
        <f t="shared" si="32"/>
        <v>-80.2479792495133</v>
      </c>
      <c r="E353" t="str">
        <f t="shared" si="33"/>
        <v>519-752-3367</v>
      </c>
      <c r="F353" t="str">
        <f t="shared" si="34"/>
        <v>N3R 7C5</v>
      </c>
      <c r="G353" t="str">
        <f t="shared" si="35"/>
        <v>[ "Staples", 43.1693666109149, -80.2479792495133, '519-752-3367', 'N3R 7C5'],</v>
      </c>
    </row>
    <row r="354" spans="1:7" x14ac:dyDescent="0.2">
      <c r="A354" t="s">
        <v>361</v>
      </c>
      <c r="B354" t="str">
        <f t="shared" si="30"/>
        <v>Princess Auto</v>
      </c>
      <c r="C354" t="str">
        <f t="shared" si="31"/>
        <v>43.155558</v>
      </c>
      <c r="D354" t="str">
        <f t="shared" si="32"/>
        <v>-80.236674</v>
      </c>
      <c r="E354" t="str">
        <f t="shared" si="33"/>
        <v>226-227-9440</v>
      </c>
      <c r="F354" t="str">
        <f t="shared" si="34"/>
        <v>N3S 7R4</v>
      </c>
      <c r="G354" t="str">
        <f t="shared" si="35"/>
        <v>[ "Princess Auto", 43.155558, -80.236674, '226-227-9440', 'N3S 7R4'],</v>
      </c>
    </row>
    <row r="355" spans="1:7" x14ac:dyDescent="0.2">
      <c r="A355" t="s">
        <v>362</v>
      </c>
      <c r="B355" t="str">
        <f t="shared" si="30"/>
        <v>Lowes</v>
      </c>
      <c r="C355" t="str">
        <f t="shared" si="31"/>
        <v>43.155372</v>
      </c>
      <c r="D355" t="str">
        <f t="shared" si="32"/>
        <v>-80.237796</v>
      </c>
      <c r="E355" t="str">
        <f t="shared" si="33"/>
        <v>519-720-2060</v>
      </c>
      <c r="F355" t="str">
        <f t="shared" si="34"/>
        <v>N3S 7R4</v>
      </c>
      <c r="G355" t="str">
        <f t="shared" si="35"/>
        <v>[ "Lowes", 43.155372, -80.237796, '519-720-2060', 'N3S 7R4'],</v>
      </c>
    </row>
    <row r="356" spans="1:7" x14ac:dyDescent="0.2">
      <c r="A356" t="s">
        <v>363</v>
      </c>
      <c r="B356" t="str">
        <f t="shared" si="30"/>
        <v>ListenUp! Canada</v>
      </c>
      <c r="C356" t="str">
        <f t="shared" si="31"/>
        <v>43.1474446153846</v>
      </c>
      <c r="D356" t="str">
        <f t="shared" si="32"/>
        <v>-80.2361169230769</v>
      </c>
      <c r="E356" t="str">
        <f t="shared" si="33"/>
        <v>519-753-4182</v>
      </c>
      <c r="F356" t="str">
        <f t="shared" si="34"/>
        <v>N3R 4X8</v>
      </c>
      <c r="G356" t="str">
        <f t="shared" si="35"/>
        <v>[ "ListenUp! Canada", 43.1474446153846, -80.2361169230769, '519-753-4182', 'N3R 4X8'],</v>
      </c>
    </row>
    <row r="357" spans="1:7" x14ac:dyDescent="0.2">
      <c r="A357" t="s">
        <v>364</v>
      </c>
      <c r="B357" t="str">
        <f t="shared" si="30"/>
        <v>RONA</v>
      </c>
      <c r="C357" t="str">
        <f t="shared" si="31"/>
        <v>43.3155955555556</v>
      </c>
      <c r="D357" t="str">
        <f t="shared" si="32"/>
        <v>-79.9137022222222</v>
      </c>
      <c r="E357" t="str">
        <f t="shared" si="33"/>
        <v>905-689-8700</v>
      </c>
      <c r="F357" t="str">
        <f t="shared" si="34"/>
        <v>L9H 0C2</v>
      </c>
      <c r="G357" t="str">
        <f t="shared" si="35"/>
        <v>[ "RONA", 43.3155955555556, -79.9137022222222, '905-689-8700', 'L9H 0C2'],</v>
      </c>
    </row>
    <row r="358" spans="1:7" x14ac:dyDescent="0.2">
      <c r="A358" t="s">
        <v>365</v>
      </c>
      <c r="B358" t="str">
        <f t="shared" si="30"/>
        <v>Staples</v>
      </c>
      <c r="C358" t="str">
        <f t="shared" si="31"/>
        <v>43.3179275</v>
      </c>
      <c r="D358" t="str">
        <f t="shared" si="32"/>
        <v>-79.9109525</v>
      </c>
      <c r="E358" t="str">
        <f t="shared" si="33"/>
        <v>905-689-0271</v>
      </c>
      <c r="F358" t="str">
        <f t="shared" si="34"/>
        <v>L0R 2H1</v>
      </c>
      <c r="G358" t="str">
        <f t="shared" si="35"/>
        <v>[ "Staples", 43.3179275, -79.9109525, '905-689-0271', 'L0R 2H1'],</v>
      </c>
    </row>
    <row r="359" spans="1:7" x14ac:dyDescent="0.2">
      <c r="A359" t="s">
        <v>366</v>
      </c>
      <c r="B359" t="str">
        <f t="shared" si="30"/>
        <v>ListenUp! Canada</v>
      </c>
      <c r="C359" t="str">
        <f t="shared" si="31"/>
        <v>43.249808</v>
      </c>
      <c r="D359" t="str">
        <f t="shared" si="32"/>
        <v>-79.871143</v>
      </c>
      <c r="E359" t="str">
        <f t="shared" si="33"/>
        <v>905-529-6251</v>
      </c>
      <c r="F359" t="str">
        <f t="shared" si="34"/>
        <v>L8N 1Y2</v>
      </c>
      <c r="G359" t="str">
        <f t="shared" si="35"/>
        <v>[ "ListenUp! Canada", 43.249808, -79.871143, '905-529-6251', 'L8N 1Y2'],</v>
      </c>
    </row>
    <row r="360" spans="1:7" x14ac:dyDescent="0.2">
      <c r="A360" t="s">
        <v>367</v>
      </c>
      <c r="B360" t="str">
        <f t="shared" si="30"/>
        <v>Sears (Canada)</v>
      </c>
      <c r="C360" t="str">
        <f t="shared" si="31"/>
        <v>43.21707</v>
      </c>
      <c r="D360" t="str">
        <f t="shared" si="32"/>
        <v>-79.86449</v>
      </c>
      <c r="E360" t="str">
        <f t="shared" si="33"/>
        <v>905-389-4441</v>
      </c>
      <c r="F360" t="str">
        <f t="shared" si="34"/>
        <v>L9A 4X5</v>
      </c>
      <c r="G360" t="str">
        <f t="shared" si="35"/>
        <v>[ "Sears (Canada)", 43.21707, -79.86449, '905-389-4441', 'L9A 4X5'],</v>
      </c>
    </row>
    <row r="361" spans="1:7" x14ac:dyDescent="0.2">
      <c r="A361" t="s">
        <v>368</v>
      </c>
      <c r="B361" t="str">
        <f t="shared" si="30"/>
        <v>Staples</v>
      </c>
      <c r="C361" t="str">
        <f t="shared" si="31"/>
        <v>43.21863</v>
      </c>
      <c r="D361" t="str">
        <f t="shared" si="32"/>
        <v>-79.86401</v>
      </c>
      <c r="E361" t="str">
        <f t="shared" si="33"/>
        <v>905-383-7913</v>
      </c>
      <c r="F361" t="str">
        <f t="shared" si="34"/>
        <v>L9A 4V8</v>
      </c>
      <c r="G361" t="str">
        <f t="shared" si="35"/>
        <v>[ "Staples", 43.21863, -79.86401, '905-383-7913', 'L9A 4V8'],</v>
      </c>
    </row>
    <row r="362" spans="1:7" x14ac:dyDescent="0.2">
      <c r="A362" t="s">
        <v>369</v>
      </c>
      <c r="B362" t="str">
        <f t="shared" si="30"/>
        <v>ListenUp! Canada</v>
      </c>
      <c r="C362" t="str">
        <f t="shared" si="31"/>
        <v>43.22069</v>
      </c>
      <c r="D362" t="str">
        <f t="shared" si="32"/>
        <v>-79.86314</v>
      </c>
      <c r="E362" t="str">
        <f t="shared" si="33"/>
        <v>905-574-9196</v>
      </c>
      <c r="F362" t="str">
        <f t="shared" si="34"/>
        <v>L9A 5H2</v>
      </c>
      <c r="G362" t="str">
        <f t="shared" si="35"/>
        <v>[ "ListenUp! Canada", 43.22069, -79.86314, '905-574-9196', 'L9A 5H2'],</v>
      </c>
    </row>
    <row r="363" spans="1:7" x14ac:dyDescent="0.2">
      <c r="A363" t="s">
        <v>370</v>
      </c>
      <c r="B363" t="str">
        <f t="shared" si="30"/>
        <v>The Source</v>
      </c>
      <c r="C363" t="str">
        <f t="shared" si="31"/>
        <v>43.32977</v>
      </c>
      <c r="D363" t="str">
        <f t="shared" si="32"/>
        <v>-79.89708</v>
      </c>
      <c r="E363" t="str">
        <f t="shared" si="33"/>
        <v>905-690-3243</v>
      </c>
      <c r="F363" t="str">
        <f t="shared" si="34"/>
        <v>L0R 2H6</v>
      </c>
      <c r="G363" t="str">
        <f t="shared" si="35"/>
        <v>[ "The Source", 43.32977, -79.89708, '905-690-3243', 'L0R 2H6'],</v>
      </c>
    </row>
    <row r="364" spans="1:7" x14ac:dyDescent="0.2">
      <c r="A364" t="s">
        <v>371</v>
      </c>
      <c r="B364" t="str">
        <f t="shared" si="30"/>
        <v>The Source</v>
      </c>
      <c r="C364" t="str">
        <f t="shared" si="31"/>
        <v>43.35466</v>
      </c>
      <c r="D364" t="str">
        <f t="shared" si="32"/>
        <v>-80.28745</v>
      </c>
      <c r="E364" t="str">
        <f t="shared" si="33"/>
        <v>519-623-5210</v>
      </c>
      <c r="F364" t="str">
        <f t="shared" si="34"/>
        <v>N1R 8N8</v>
      </c>
      <c r="G364" t="str">
        <f t="shared" si="35"/>
        <v>[ "The Source", 43.35466, -80.28745, '519-623-5210', 'N1R 8N8'],</v>
      </c>
    </row>
    <row r="365" spans="1:7" x14ac:dyDescent="0.2">
      <c r="A365" t="s">
        <v>372</v>
      </c>
      <c r="B365" t="str">
        <f t="shared" si="30"/>
        <v>Home Essentials</v>
      </c>
      <c r="C365" t="str">
        <f t="shared" si="31"/>
        <v>43.355283</v>
      </c>
      <c r="D365" t="str">
        <f t="shared" si="32"/>
        <v>-80.31844</v>
      </c>
      <c r="E365" t="str">
        <f t="shared" si="33"/>
        <v>519-622-6046</v>
      </c>
      <c r="F365" t="str">
        <f t="shared" si="34"/>
        <v>N1S 2L8</v>
      </c>
      <c r="G365" t="str">
        <f t="shared" si="35"/>
        <v>[ "Home Essentials", 43.355283, -80.31844, '519-622-6046', 'N1S 2L8'],</v>
      </c>
    </row>
    <row r="366" spans="1:7" x14ac:dyDescent="0.2">
      <c r="A366" t="s">
        <v>373</v>
      </c>
      <c r="B366" t="str">
        <f t="shared" si="30"/>
        <v>Canadian Tire</v>
      </c>
      <c r="C366" t="str">
        <f t="shared" si="31"/>
        <v>43.25503</v>
      </c>
      <c r="D366" t="str">
        <f t="shared" si="32"/>
        <v>-79.83035</v>
      </c>
      <c r="E366" t="str">
        <f t="shared" si="33"/>
        <v>905-549-1336</v>
      </c>
      <c r="F366" t="str">
        <f t="shared" si="34"/>
        <v>L8L 2V6</v>
      </c>
      <c r="G366" t="str">
        <f t="shared" si="35"/>
        <v>[ "Canadian Tire", 43.25503, -79.83035, '905-549-1336', 'L8L 2V6'],</v>
      </c>
    </row>
    <row r="367" spans="1:7" x14ac:dyDescent="0.2">
      <c r="A367" t="s">
        <v>374</v>
      </c>
      <c r="B367" t="str">
        <f t="shared" si="30"/>
        <v>Envirosystems Inc.</v>
      </c>
      <c r="C367" t="str">
        <f t="shared" si="31"/>
        <v>43.25829</v>
      </c>
      <c r="D367" t="str">
        <f t="shared" si="32"/>
        <v>-79.82995</v>
      </c>
      <c r="E367" t="str">
        <f t="shared" si="33"/>
        <v>905-545-2665</v>
      </c>
      <c r="F367" t="str">
        <f t="shared" si="34"/>
        <v>L8L 6W1</v>
      </c>
      <c r="G367" t="str">
        <f t="shared" si="35"/>
        <v>[ "Envirosystems Inc.", 43.25829, -79.82995, '905-545-2665', 'L8L 6W1'],</v>
      </c>
    </row>
    <row r="368" spans="1:7" x14ac:dyDescent="0.2">
      <c r="A368" t="s">
        <v>375</v>
      </c>
      <c r="B368" t="str">
        <f t="shared" si="30"/>
        <v>ListenUp! Canada</v>
      </c>
      <c r="C368" t="str">
        <f t="shared" si="31"/>
        <v>43.37387</v>
      </c>
      <c r="D368" t="str">
        <f t="shared" si="32"/>
        <v>-80.31864</v>
      </c>
      <c r="E368" t="str">
        <f t="shared" si="33"/>
        <v>519-624-9092</v>
      </c>
      <c r="F368" t="str">
        <f t="shared" si="34"/>
        <v>N1R 8L4</v>
      </c>
      <c r="G368" t="str">
        <f t="shared" si="35"/>
        <v>[ "ListenUp! Canada", 43.37387, -80.31864, '519-624-9092', 'N1R 8L4'],</v>
      </c>
    </row>
    <row r="369" spans="1:7" x14ac:dyDescent="0.2">
      <c r="A369" t="s">
        <v>376</v>
      </c>
      <c r="B369" t="str">
        <f t="shared" si="30"/>
        <v>The Source</v>
      </c>
      <c r="C369" t="str">
        <f t="shared" si="31"/>
        <v>43.25047</v>
      </c>
      <c r="D369" t="str">
        <f t="shared" si="32"/>
        <v>-79.8117174358974</v>
      </c>
      <c r="E369" t="str">
        <f t="shared" si="33"/>
        <v>905-545-5343</v>
      </c>
      <c r="F369" t="str">
        <f t="shared" si="34"/>
        <v>L8H 2V4</v>
      </c>
      <c r="G369" t="str">
        <f t="shared" si="35"/>
        <v>[ "The Source", 43.25047, -79.8117174358974, '905-545-5343', 'L8H 2V4'],</v>
      </c>
    </row>
    <row r="370" spans="1:7" x14ac:dyDescent="0.2">
      <c r="A370" t="s">
        <v>377</v>
      </c>
      <c r="B370" t="str">
        <f t="shared" si="30"/>
        <v>Staples</v>
      </c>
      <c r="C370" t="str">
        <f t="shared" si="31"/>
        <v>43.2497988888889</v>
      </c>
      <c r="D370" t="str">
        <f t="shared" si="32"/>
        <v>-79.8086933333333</v>
      </c>
      <c r="E370" t="str">
        <f t="shared" si="33"/>
        <v>--</v>
      </c>
      <c r="F370" t="str">
        <f t="shared" si="34"/>
        <v>L8H 2V4</v>
      </c>
      <c r="G370" t="str">
        <f t="shared" si="35"/>
        <v>[ "Staples", 43.2497988888889, -79.8086933333333, '--', 'L8H 2V4'],</v>
      </c>
    </row>
    <row r="371" spans="1:7" x14ac:dyDescent="0.2">
      <c r="A371" t="s">
        <v>378</v>
      </c>
      <c r="B371" t="str">
        <f t="shared" si="30"/>
        <v>Home Depot</v>
      </c>
      <c r="C371" t="str">
        <f t="shared" si="31"/>
        <v>43.1921532</v>
      </c>
      <c r="D371" t="str">
        <f t="shared" si="32"/>
        <v>-79.8127364</v>
      </c>
      <c r="E371" t="str">
        <f t="shared" si="33"/>
        <v>905-574-4400</v>
      </c>
      <c r="F371" t="str">
        <f t="shared" si="34"/>
        <v>L8J 0B4</v>
      </c>
      <c r="G371" t="str">
        <f t="shared" si="35"/>
        <v>[ "Home Depot", 43.1921532, -79.8127364, '905-574-4400', 'L8J 0B4'],</v>
      </c>
    </row>
    <row r="372" spans="1:7" x14ac:dyDescent="0.2">
      <c r="A372" t="s">
        <v>380</v>
      </c>
      <c r="B372" t="str">
        <f t="shared" si="30"/>
        <v>Staples</v>
      </c>
      <c r="C372" t="str">
        <f t="shared" si="31"/>
        <v>43.1763769718819</v>
      </c>
      <c r="D372" t="str">
        <f t="shared" si="32"/>
        <v>-79.7903986495485</v>
      </c>
      <c r="E372" t="str">
        <f t="shared" si="33"/>
        <v>905-692-7215</v>
      </c>
      <c r="F372" t="str">
        <f t="shared" si="34"/>
        <v>L0R 1P0</v>
      </c>
      <c r="G372" t="str">
        <f t="shared" si="35"/>
        <v>[ "Staples", 43.1763769718819, -79.7903986495485, '905-692-7215', 'L0R 1P0'],</v>
      </c>
    </row>
    <row r="373" spans="1:7" x14ac:dyDescent="0.2">
      <c r="A373" t="s">
        <v>381</v>
      </c>
      <c r="B373" t="str">
        <f t="shared" si="30"/>
        <v>Pharmasave</v>
      </c>
      <c r="C373" t="str">
        <f t="shared" si="31"/>
        <v>43.1995437817332</v>
      </c>
      <c r="D373" t="str">
        <f t="shared" si="32"/>
        <v>-79.7944403927634</v>
      </c>
      <c r="E373" t="str">
        <f t="shared" si="33"/>
        <v>905-578-1111</v>
      </c>
      <c r="F373" t="str">
        <f t="shared" si="34"/>
        <v>L8J 1P8</v>
      </c>
      <c r="G373" t="str">
        <f t="shared" si="35"/>
        <v>[ "Pharmasave", 43.1995437817332, -79.7944403927634, '905-578-1111', 'L8J 1P8'],</v>
      </c>
    </row>
    <row r="374" spans="1:7" x14ac:dyDescent="0.2">
      <c r="A374" t="s">
        <v>382</v>
      </c>
      <c r="B374" t="str">
        <f t="shared" si="30"/>
        <v>Home Depot</v>
      </c>
      <c r="C374" t="str">
        <f t="shared" si="31"/>
        <v>43.1921532</v>
      </c>
      <c r="D374" t="str">
        <f t="shared" si="32"/>
        <v>-79.8127364</v>
      </c>
      <c r="E374" t="str">
        <f t="shared" si="33"/>
        <v>905-574-4400</v>
      </c>
      <c r="F374" t="str">
        <f t="shared" si="34"/>
        <v>L8J 0B4</v>
      </c>
      <c r="G374" t="str">
        <f t="shared" si="35"/>
        <v>[ "Home Depot", 43.1921532, -79.8127364, '905-574-4400', 'L8J 0B4'],</v>
      </c>
    </row>
    <row r="375" spans="1:7" x14ac:dyDescent="0.2">
      <c r="A375" t="s">
        <v>383</v>
      </c>
      <c r="B375" t="str">
        <f t="shared" si="30"/>
        <v>ListenUp! Canada</v>
      </c>
      <c r="C375" t="str">
        <f t="shared" si="31"/>
        <v>43.1944638910939</v>
      </c>
      <c r="D375" t="str">
        <f t="shared" si="32"/>
        <v>-79.5629405753382</v>
      </c>
      <c r="E375" t="str">
        <f t="shared" si="33"/>
        <v>905-309-6116</v>
      </c>
      <c r="F375" t="str">
        <f t="shared" si="34"/>
        <v>L3M 4H1</v>
      </c>
      <c r="G375" t="str">
        <f t="shared" si="35"/>
        <v>[ "ListenUp! Canada", 43.1944638910939, -79.5629405753382, '905-309-6116', 'L3M 4H1'],</v>
      </c>
    </row>
    <row r="376" spans="1:7" x14ac:dyDescent="0.2">
      <c r="A376" t="s">
        <v>384</v>
      </c>
      <c r="B376" t="str">
        <f t="shared" si="30"/>
        <v>Franklin Empire</v>
      </c>
      <c r="C376" t="str">
        <f t="shared" si="31"/>
        <v>43.2331541823488</v>
      </c>
      <c r="D376" t="str">
        <f t="shared" si="32"/>
        <v>-79.7434223326724</v>
      </c>
      <c r="E376" t="str">
        <f t="shared" si="33"/>
        <v>905-578-3330</v>
      </c>
      <c r="F376" t="str">
        <f t="shared" si="34"/>
        <v>L8E 2J8</v>
      </c>
      <c r="G376" t="str">
        <f t="shared" si="35"/>
        <v>[ "Franklin Empire", 43.2331541823488, -79.7434223326724, '905-578-3330', 'L8E 2J8'],</v>
      </c>
    </row>
    <row r="377" spans="1:7" x14ac:dyDescent="0.2">
      <c r="A377" t="s">
        <v>385</v>
      </c>
      <c r="B377" t="str">
        <f t="shared" si="30"/>
        <v>ListenUp! Canada</v>
      </c>
      <c r="C377" t="str">
        <f t="shared" si="31"/>
        <v>43.23425</v>
      </c>
      <c r="D377" t="str">
        <f t="shared" si="32"/>
        <v>-79.76165</v>
      </c>
      <c r="E377" t="str">
        <f t="shared" si="33"/>
        <v>905-662-8275</v>
      </c>
      <c r="F377" t="str">
        <f t="shared" si="34"/>
        <v>L8E 1H9</v>
      </c>
      <c r="G377" t="str">
        <f t="shared" si="35"/>
        <v>[ "ListenUp! Canada", 43.23425, -79.76165, '905-662-8275', 'L8E 1H9'],</v>
      </c>
    </row>
    <row r="378" spans="1:7" x14ac:dyDescent="0.2">
      <c r="A378" t="s">
        <v>386</v>
      </c>
      <c r="B378" t="str">
        <f t="shared" si="30"/>
        <v>Fastenal</v>
      </c>
      <c r="C378" t="str">
        <f t="shared" si="31"/>
        <v>43.2408032222222</v>
      </c>
      <c r="D378" t="str">
        <f t="shared" si="32"/>
        <v>-79.7363474444444</v>
      </c>
      <c r="E378" t="str">
        <f t="shared" si="33"/>
        <v>289-649-0770</v>
      </c>
      <c r="F378" t="str">
        <f t="shared" si="34"/>
        <v>L8E 0C5</v>
      </c>
      <c r="G378" t="str">
        <f t="shared" si="35"/>
        <v>[ "Fastenal", 43.2408032222222, -79.7363474444444, '289-649-0770', 'L8E 0C5'],</v>
      </c>
    </row>
    <row r="379" spans="1:7" x14ac:dyDescent="0.2">
      <c r="A379" t="s">
        <v>387</v>
      </c>
      <c r="B379" t="str">
        <f t="shared" si="30"/>
        <v>Staples Canada</v>
      </c>
      <c r="C379" t="str">
        <f t="shared" si="31"/>
        <v>43.23714</v>
      </c>
      <c r="D379" t="str">
        <f t="shared" si="32"/>
        <v>-79.7616175</v>
      </c>
      <c r="E379" t="str">
        <f t="shared" si="33"/>
        <v>905-578-3573</v>
      </c>
      <c r="F379" t="str">
        <f t="shared" si="34"/>
        <v>L8E 2W7</v>
      </c>
      <c r="G379" t="str">
        <f t="shared" si="35"/>
        <v>[ "Staples Canada", 43.23714, -79.7616175, '905-578-3573', 'L8E 2W7'],</v>
      </c>
    </row>
    <row r="380" spans="1:7" x14ac:dyDescent="0.2">
      <c r="A380" t="s">
        <v>388</v>
      </c>
      <c r="B380" t="str">
        <f t="shared" si="30"/>
        <v>Home Depot</v>
      </c>
      <c r="C380" t="str">
        <f t="shared" si="31"/>
        <v>43.2400266666667</v>
      </c>
      <c r="D380" t="str">
        <f t="shared" si="32"/>
        <v>-79.7591422222222</v>
      </c>
      <c r="E380" t="str">
        <f t="shared" si="33"/>
        <v>905-561-9755</v>
      </c>
      <c r="F380" t="str">
        <f t="shared" si="34"/>
        <v>L8E 2X4</v>
      </c>
      <c r="G380" t="str">
        <f t="shared" si="35"/>
        <v>[ "Home Depot", 43.2400266666667, -79.7591422222222, '905-561-9755', 'L8E 2X4'],</v>
      </c>
    </row>
    <row r="381" spans="1:7" x14ac:dyDescent="0.2">
      <c r="A381" t="s">
        <v>389</v>
      </c>
      <c r="B381" t="str">
        <f t="shared" si="30"/>
        <v>Princess Auto</v>
      </c>
      <c r="C381" t="str">
        <f t="shared" si="31"/>
        <v>43.2443277777778</v>
      </c>
      <c r="D381" t="str">
        <f t="shared" si="32"/>
        <v>-79.7859277777778</v>
      </c>
      <c r="E381" t="str">
        <f t="shared" si="33"/>
        <v>905-561-9400</v>
      </c>
      <c r="F381" t="str">
        <f t="shared" si="34"/>
        <v>L8H 2Y6</v>
      </c>
      <c r="G381" t="str">
        <f t="shared" si="35"/>
        <v>[ "Princess Auto", 43.2443277777778, -79.7859277777778, '905-561-9400', 'L8H 2Y6'],</v>
      </c>
    </row>
    <row r="382" spans="1:7" x14ac:dyDescent="0.2">
      <c r="A382" t="s">
        <v>390</v>
      </c>
      <c r="B382" t="str">
        <f t="shared" si="30"/>
        <v>RONA</v>
      </c>
      <c r="C382" t="str">
        <f t="shared" si="31"/>
        <v>43.18895</v>
      </c>
      <c r="D382" t="str">
        <f t="shared" si="32"/>
        <v>-79.5127447319383</v>
      </c>
      <c r="E382" t="str">
        <f t="shared" si="33"/>
        <v>905-309-1959</v>
      </c>
      <c r="F382" t="str">
        <f t="shared" si="34"/>
        <v>L3M 4E8</v>
      </c>
      <c r="G382" t="str">
        <f t="shared" si="35"/>
        <v>[ "RONA", 43.18895, -79.5127447319383, '905-309-1959', 'L3M 4E8'],</v>
      </c>
    </row>
    <row r="383" spans="1:7" x14ac:dyDescent="0.2">
      <c r="A383" t="s">
        <v>391</v>
      </c>
      <c r="B383" t="str">
        <f t="shared" si="30"/>
        <v>Sears (Canada)</v>
      </c>
      <c r="C383" t="str">
        <f t="shared" si="31"/>
        <v>43.21707</v>
      </c>
      <c r="D383" t="str">
        <f t="shared" si="32"/>
        <v>-79.86449</v>
      </c>
      <c r="E383" t="str">
        <f t="shared" si="33"/>
        <v>905-389-4441</v>
      </c>
      <c r="F383" t="str">
        <f t="shared" si="34"/>
        <v>L9A 4X5</v>
      </c>
      <c r="G383" t="str">
        <f t="shared" si="35"/>
        <v>[ "Sears (Canada)", 43.21707, -79.86449, '905-389-4441', 'L9A 4X5'],</v>
      </c>
    </row>
    <row r="384" spans="1:7" x14ac:dyDescent="0.2">
      <c r="A384" t="s">
        <v>392</v>
      </c>
      <c r="B384" t="str">
        <f t="shared" si="30"/>
        <v>RONA</v>
      </c>
      <c r="C384" t="str">
        <f t="shared" si="31"/>
        <v>43.2532231</v>
      </c>
      <c r="D384" t="str">
        <f t="shared" si="32"/>
        <v>-79.7863211</v>
      </c>
      <c r="E384" t="str">
        <f t="shared" si="33"/>
        <v>905-547-3444</v>
      </c>
      <c r="F384" t="str">
        <f t="shared" si="34"/>
        <v>L8H 5Z1</v>
      </c>
      <c r="G384" t="str">
        <f t="shared" si="35"/>
        <v>[ "RONA", 43.2532231, -79.7863211, '905-547-3444', 'L8H 5Z1'],</v>
      </c>
    </row>
    <row r="385" spans="1:7" x14ac:dyDescent="0.2">
      <c r="A385" t="s">
        <v>393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Staples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43.21863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-79.86401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905-383-7913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L9A 4V8</v>
      </c>
      <c r="G385" t="str">
        <f t="shared" ref="G385:G448" si="41">"[ "&amp;CHAR(34)&amp;B385&amp;CHAR(34)&amp;", "&amp;C385&amp;", "&amp;D385&amp;", '"&amp;E385&amp;"', '"&amp;F385&amp;"'],"</f>
        <v>[ "Staples", 43.21863, -79.86401, '905-383-7913', 'L9A 4V8'],</v>
      </c>
    </row>
    <row r="386" spans="1:7" x14ac:dyDescent="0.2">
      <c r="A386" t="s">
        <v>394</v>
      </c>
      <c r="B386" t="str">
        <f t="shared" si="36"/>
        <v>ListenUp! Canada</v>
      </c>
      <c r="C386" t="str">
        <f t="shared" si="37"/>
        <v>43.22069</v>
      </c>
      <c r="D386" t="str">
        <f t="shared" si="38"/>
        <v>-79.86314</v>
      </c>
      <c r="E386" t="str">
        <f t="shared" si="39"/>
        <v>905-574-9196</v>
      </c>
      <c r="F386" t="str">
        <f t="shared" si="40"/>
        <v>L9A 5H2</v>
      </c>
      <c r="G386" t="str">
        <f t="shared" si="41"/>
        <v>[ "ListenUp! Canada", 43.22069, -79.86314, '905-574-9196', 'L9A 5H2'],</v>
      </c>
    </row>
    <row r="387" spans="1:7" x14ac:dyDescent="0.2">
      <c r="A387" t="s">
        <v>395</v>
      </c>
      <c r="B387" t="str">
        <f t="shared" si="36"/>
        <v>Staples</v>
      </c>
      <c r="C387" t="str">
        <f t="shared" si="37"/>
        <v>43.2497988888889</v>
      </c>
      <c r="D387" t="str">
        <f t="shared" si="38"/>
        <v>-79.8086933333333</v>
      </c>
      <c r="E387" t="str">
        <f t="shared" si="39"/>
        <v>--</v>
      </c>
      <c r="F387" t="str">
        <f t="shared" si="40"/>
        <v>L8H 2V4</v>
      </c>
      <c r="G387" t="str">
        <f t="shared" si="41"/>
        <v>[ "Staples", 43.2497988888889, -79.8086933333333, '--', 'L8H 2V4'],</v>
      </c>
    </row>
    <row r="388" spans="1:7" x14ac:dyDescent="0.2">
      <c r="A388" t="s">
        <v>396</v>
      </c>
      <c r="B388" t="str">
        <f t="shared" si="36"/>
        <v>The Source</v>
      </c>
      <c r="C388" t="str">
        <f t="shared" si="37"/>
        <v>43.25047</v>
      </c>
      <c r="D388" t="str">
        <f t="shared" si="38"/>
        <v>-79.8117174358974</v>
      </c>
      <c r="E388" t="str">
        <f t="shared" si="39"/>
        <v>905-545-5343</v>
      </c>
      <c r="F388" t="str">
        <f t="shared" si="40"/>
        <v>L8H 2V4</v>
      </c>
      <c r="G388" t="str">
        <f t="shared" si="41"/>
        <v>[ "The Source", 43.25047, -79.8117174358974, '905-545-5343', 'L8H 2V4'],</v>
      </c>
    </row>
    <row r="389" spans="1:7" x14ac:dyDescent="0.2">
      <c r="A389" t="s">
        <v>397</v>
      </c>
      <c r="B389" t="str">
        <f t="shared" si="36"/>
        <v>Canadian Tire</v>
      </c>
      <c r="C389" t="str">
        <f t="shared" si="37"/>
        <v>43.25503</v>
      </c>
      <c r="D389" t="str">
        <f t="shared" si="38"/>
        <v>-79.83035</v>
      </c>
      <c r="E389" t="str">
        <f t="shared" si="39"/>
        <v>905-549-1336</v>
      </c>
      <c r="F389" t="str">
        <f t="shared" si="40"/>
        <v>L8L 2V6</v>
      </c>
      <c r="G389" t="str">
        <f t="shared" si="41"/>
        <v>[ "Canadian Tire", 43.25503, -79.83035, '905-549-1336', 'L8L 2V6'],</v>
      </c>
    </row>
    <row r="390" spans="1:7" x14ac:dyDescent="0.2">
      <c r="A390" t="s">
        <v>398</v>
      </c>
      <c r="B390" t="str">
        <f t="shared" si="36"/>
        <v>Envirosystems Inc.</v>
      </c>
      <c r="C390" t="str">
        <f t="shared" si="37"/>
        <v>43.25829</v>
      </c>
      <c r="D390" t="str">
        <f t="shared" si="38"/>
        <v>-79.82995</v>
      </c>
      <c r="E390" t="str">
        <f t="shared" si="39"/>
        <v>905-545-2665</v>
      </c>
      <c r="F390" t="str">
        <f t="shared" si="40"/>
        <v>L8L 6W1</v>
      </c>
      <c r="G390" t="str">
        <f t="shared" si="41"/>
        <v>[ "Envirosystems Inc.", 43.25829, -79.82995, '905-545-2665', 'L8L 6W1'],</v>
      </c>
    </row>
    <row r="391" spans="1:7" x14ac:dyDescent="0.2">
      <c r="A391" t="s">
        <v>399</v>
      </c>
      <c r="B391" t="str">
        <f t="shared" si="36"/>
        <v>ListenUp! Canada</v>
      </c>
      <c r="C391" t="str">
        <f t="shared" si="37"/>
        <v>43.249808</v>
      </c>
      <c r="D391" t="str">
        <f t="shared" si="38"/>
        <v>-79.871143</v>
      </c>
      <c r="E391" t="str">
        <f t="shared" si="39"/>
        <v>905-529-6251</v>
      </c>
      <c r="F391" t="str">
        <f t="shared" si="40"/>
        <v>L8N 1Y2</v>
      </c>
      <c r="G391" t="str">
        <f t="shared" si="41"/>
        <v>[ "ListenUp! Canada", 43.249808, -79.871143, '905-529-6251', 'L8N 1Y2'],</v>
      </c>
    </row>
    <row r="392" spans="1:7" x14ac:dyDescent="0.2">
      <c r="A392" t="s">
        <v>401</v>
      </c>
      <c r="B392" t="str">
        <f t="shared" si="36"/>
        <v>Staples</v>
      </c>
      <c r="C392" t="str">
        <f t="shared" si="37"/>
        <v>43.01479</v>
      </c>
      <c r="D392" t="str">
        <f t="shared" si="38"/>
        <v>-79.24987</v>
      </c>
      <c r="E392" t="str">
        <f t="shared" si="39"/>
        <v>905-714-7607</v>
      </c>
      <c r="F392" t="str">
        <f t="shared" si="40"/>
        <v>L3C 5Z4</v>
      </c>
      <c r="G392" t="str">
        <f t="shared" si="41"/>
        <v>[ "Staples", 43.01479, -79.24987, '905-714-7607', 'L3C 5Z4'],</v>
      </c>
    </row>
    <row r="393" spans="1:7" x14ac:dyDescent="0.2">
      <c r="A393" t="s">
        <v>402</v>
      </c>
      <c r="B393" t="str">
        <f t="shared" si="36"/>
        <v>The Source</v>
      </c>
      <c r="C393" t="str">
        <f t="shared" si="37"/>
        <v>43.01479</v>
      </c>
      <c r="D393" t="str">
        <f t="shared" si="38"/>
        <v>-79.24987</v>
      </c>
      <c r="E393" t="str">
        <f t="shared" si="39"/>
        <v>905-735-0887</v>
      </c>
      <c r="F393" t="str">
        <f t="shared" si="40"/>
        <v>L3C 5Z4</v>
      </c>
      <c r="G393" t="str">
        <f t="shared" si="41"/>
        <v>[ "The Source", 43.01479, -79.24987, '905-735-0887', 'L3C 5Z4'],</v>
      </c>
    </row>
    <row r="394" spans="1:7" x14ac:dyDescent="0.2">
      <c r="A394" t="s">
        <v>403</v>
      </c>
      <c r="B394" t="str">
        <f t="shared" si="36"/>
        <v>Best Buy</v>
      </c>
      <c r="C394" t="str">
        <f t="shared" si="37"/>
        <v>43.11939</v>
      </c>
      <c r="D394" t="str">
        <f t="shared" si="38"/>
        <v>-79.26929</v>
      </c>
      <c r="E394" t="str">
        <f t="shared" si="39"/>
        <v>905-378-0333</v>
      </c>
      <c r="F394" t="str">
        <f t="shared" si="40"/>
        <v>L2S 0C7</v>
      </c>
      <c r="G394" t="str">
        <f t="shared" si="41"/>
        <v>[ "Best Buy", 43.11939, -79.26929, '905-378-0333', 'L2S 0C7'],</v>
      </c>
    </row>
    <row r="395" spans="1:7" x14ac:dyDescent="0.2">
      <c r="A395" t="s">
        <v>404</v>
      </c>
      <c r="B395" t="str">
        <f t="shared" si="36"/>
        <v>Ontario Public Service</v>
      </c>
      <c r="C395" t="str">
        <f t="shared" si="37"/>
        <v>42.9940204820926</v>
      </c>
      <c r="D395" t="str">
        <f t="shared" si="38"/>
        <v>-79.249069578359</v>
      </c>
      <c r="E395" t="str">
        <f t="shared" si="39"/>
        <v>905-735-1660</v>
      </c>
      <c r="F395" t="str">
        <f t="shared" si="40"/>
        <v>L3B 5X6</v>
      </c>
      <c r="G395" t="str">
        <f t="shared" si="41"/>
        <v>[ "Ontario Public Service", 42.9940204820926, -79.249069578359, '905-735-1660', 'L3B 5X6'],</v>
      </c>
    </row>
    <row r="396" spans="1:7" x14ac:dyDescent="0.2">
      <c r="A396" t="s">
        <v>405</v>
      </c>
      <c r="B396" t="str">
        <f t="shared" si="36"/>
        <v>ListenUp! Canada</v>
      </c>
      <c r="C396" t="str">
        <f t="shared" si="37"/>
        <v>42.99222</v>
      </c>
      <c r="D396" t="str">
        <f t="shared" si="38"/>
        <v>-79.24764</v>
      </c>
      <c r="E396" t="str">
        <f t="shared" si="39"/>
        <v>905-734-7300</v>
      </c>
      <c r="F396" t="str">
        <f t="shared" si="40"/>
        <v>L3B 3W5</v>
      </c>
      <c r="G396" t="str">
        <f t="shared" si="41"/>
        <v>[ "ListenUp! Canada", 42.99222, -79.24764, '905-734-7300', 'L3B 3W5'],</v>
      </c>
    </row>
    <row r="397" spans="1:7" x14ac:dyDescent="0.2">
      <c r="A397" t="s">
        <v>406</v>
      </c>
      <c r="B397" t="str">
        <f t="shared" si="36"/>
        <v>Rona Welland</v>
      </c>
      <c r="C397" t="str">
        <f t="shared" si="37"/>
        <v>43.0143557171621</v>
      </c>
      <c r="D397" t="str">
        <f t="shared" si="38"/>
        <v>-79.2291830209854</v>
      </c>
      <c r="E397" t="str">
        <f t="shared" si="39"/>
        <v>905-732-0073</v>
      </c>
      <c r="F397" t="str">
        <f t="shared" si="40"/>
        <v>L3B 0A1</v>
      </c>
      <c r="G397" t="str">
        <f t="shared" si="41"/>
        <v>[ "Rona Welland", 43.0143557171621, -79.2291830209854, '905-732-0073', 'L3B 0A1'],</v>
      </c>
    </row>
    <row r="398" spans="1:7" x14ac:dyDescent="0.2">
      <c r="A398" t="s">
        <v>407</v>
      </c>
      <c r="B398" t="str">
        <f t="shared" si="36"/>
        <v>Princess Auto</v>
      </c>
      <c r="C398" t="str">
        <f t="shared" si="37"/>
        <v>43.1557522</v>
      </c>
      <c r="D398" t="str">
        <f t="shared" si="38"/>
        <v>-79.2651518</v>
      </c>
      <c r="E398" t="str">
        <f t="shared" si="39"/>
        <v>289-438-8380</v>
      </c>
      <c r="F398" t="str">
        <f t="shared" si="40"/>
        <v>L2S 0E7</v>
      </c>
      <c r="G398" t="str">
        <f t="shared" si="41"/>
        <v>[ "Princess Auto", 43.1557522, -79.2651518, '289-438-8380', 'L2S 0E7'],</v>
      </c>
    </row>
    <row r="399" spans="1:7" x14ac:dyDescent="0.2">
      <c r="A399" t="s">
        <v>408</v>
      </c>
      <c r="B399" t="str">
        <f t="shared" si="36"/>
        <v>RONA</v>
      </c>
      <c r="C399" t="str">
        <f t="shared" si="37"/>
        <v>43.18895</v>
      </c>
      <c r="D399" t="str">
        <f t="shared" si="38"/>
        <v>-79.5127447319383</v>
      </c>
      <c r="E399" t="str">
        <f t="shared" si="39"/>
        <v>905-309-1959</v>
      </c>
      <c r="F399" t="str">
        <f t="shared" si="40"/>
        <v>L3M 4E8</v>
      </c>
      <c r="G399" t="str">
        <f t="shared" si="41"/>
        <v>[ "RONA", 43.18895, -79.5127447319383, '905-309-1959', 'L3M 4E8'],</v>
      </c>
    </row>
    <row r="400" spans="1:7" x14ac:dyDescent="0.2">
      <c r="A400" t="s">
        <v>409</v>
      </c>
      <c r="B400" t="str">
        <f t="shared" si="36"/>
        <v>Pharmasave</v>
      </c>
      <c r="C400" t="str">
        <f t="shared" si="37"/>
        <v>43.1245186956522</v>
      </c>
      <c r="D400" t="str">
        <f t="shared" si="38"/>
        <v>-79.2006786956522</v>
      </c>
      <c r="E400" t="str">
        <f t="shared" si="39"/>
        <v>905-227-2511</v>
      </c>
      <c r="F400" t="str">
        <f t="shared" si="40"/>
        <v>L2V 3Y7</v>
      </c>
      <c r="G400" t="str">
        <f t="shared" si="41"/>
        <v>[ "Pharmasave", 43.1245186956522, -79.2006786956522, '905-227-2511', 'L2V 3Y7'],</v>
      </c>
    </row>
    <row r="401" spans="1:7" x14ac:dyDescent="0.2">
      <c r="A401" t="s">
        <v>410</v>
      </c>
      <c r="B401" t="str">
        <f t="shared" si="36"/>
        <v>Staples</v>
      </c>
      <c r="C401" t="str">
        <f t="shared" si="37"/>
        <v>43.1792340662616</v>
      </c>
      <c r="D401" t="str">
        <f t="shared" si="38"/>
        <v>-79.2488582576566</v>
      </c>
      <c r="E401" t="str">
        <f t="shared" si="39"/>
        <v>905-937-4292</v>
      </c>
      <c r="F401" t="str">
        <f t="shared" si="40"/>
        <v>L2N 7R6</v>
      </c>
      <c r="G401" t="str">
        <f t="shared" si="41"/>
        <v>[ "Staples", 43.1792340662616, -79.2488582576566, '905-937-4292', 'L2N 7R6'],</v>
      </c>
    </row>
    <row r="402" spans="1:7" x14ac:dyDescent="0.2">
      <c r="A402" t="s">
        <v>411</v>
      </c>
      <c r="B402" t="str">
        <f t="shared" si="36"/>
        <v>Home Depot</v>
      </c>
      <c r="C402" t="str">
        <f t="shared" si="37"/>
        <v>43.1793789783435</v>
      </c>
      <c r="D402" t="str">
        <f t="shared" si="38"/>
        <v>-79.2478539630517</v>
      </c>
      <c r="E402" t="str">
        <f t="shared" si="39"/>
        <v>905-937-5900</v>
      </c>
      <c r="F402" t="str">
        <f t="shared" si="40"/>
        <v>L2N 7R6</v>
      </c>
      <c r="G402" t="str">
        <f t="shared" si="41"/>
        <v>[ "Home Depot", 43.1793789783435, -79.2478539630517, '905-937-5900', 'L2N 7R6'],</v>
      </c>
    </row>
    <row r="403" spans="1:7" x14ac:dyDescent="0.2">
      <c r="A403" t="s">
        <v>412</v>
      </c>
      <c r="B403" t="str">
        <f t="shared" si="36"/>
        <v>ListenUp! Canada</v>
      </c>
      <c r="C403" t="str">
        <f t="shared" si="37"/>
        <v>43.1944638910939</v>
      </c>
      <c r="D403" t="str">
        <f t="shared" si="38"/>
        <v>-79.5629405753382</v>
      </c>
      <c r="E403" t="str">
        <f t="shared" si="39"/>
        <v>905-309-6116</v>
      </c>
      <c r="F403" t="str">
        <f t="shared" si="40"/>
        <v>L3M 4H1</v>
      </c>
      <c r="G403" t="str">
        <f t="shared" si="41"/>
        <v>[ "ListenUp! Canada", 43.1944638910939, -79.5629405753382, '905-309-6116', 'L3M 4H1'],</v>
      </c>
    </row>
    <row r="404" spans="1:7" x14ac:dyDescent="0.2">
      <c r="A404" t="s">
        <v>413</v>
      </c>
      <c r="B404" t="str">
        <f t="shared" si="36"/>
        <v>RONA</v>
      </c>
      <c r="C404" t="str">
        <f t="shared" si="37"/>
        <v>43.16581</v>
      </c>
      <c r="D404" t="str">
        <f t="shared" si="38"/>
        <v>-79.20202</v>
      </c>
      <c r="E404" t="str">
        <f t="shared" si="39"/>
        <v>905-684-9264</v>
      </c>
      <c r="F404" t="str">
        <f t="shared" si="40"/>
        <v>L2M 7X2</v>
      </c>
      <c r="G404" t="str">
        <f t="shared" si="41"/>
        <v>[ "RONA", 43.16581, -79.20202, '905-684-9264', 'L2M 7X2'],</v>
      </c>
    </row>
    <row r="405" spans="1:7" x14ac:dyDescent="0.2">
      <c r="A405" t="s">
        <v>415</v>
      </c>
      <c r="B405" t="str">
        <f t="shared" si="36"/>
        <v>Town of Grand Island</v>
      </c>
      <c r="C405" t="str">
        <f t="shared" si="37"/>
        <v>43.02266</v>
      </c>
      <c r="D405" t="str">
        <f t="shared" si="38"/>
        <v>-78.96575</v>
      </c>
      <c r="E405" t="str">
        <f t="shared" si="39"/>
        <v>716-773-9600</v>
      </c>
      <c r="F405" t="str">
        <f t="shared" si="40"/>
        <v>14072</v>
      </c>
      <c r="G405" t="str">
        <f t="shared" si="41"/>
        <v>[ "Town of Grand Island", 43.02266, -78.96575, '716-773-9600', '14072'],</v>
      </c>
    </row>
    <row r="406" spans="1:7" x14ac:dyDescent="0.2">
      <c r="A406" t="s">
        <v>416</v>
      </c>
      <c r="B406" t="str">
        <f t="shared" si="36"/>
        <v>Beatties Basics</v>
      </c>
      <c r="C406" t="str">
        <f t="shared" si="37"/>
        <v>42.9054554117228</v>
      </c>
      <c r="D406" t="str">
        <f t="shared" si="38"/>
        <v>-78.9321407083533</v>
      </c>
      <c r="E406" t="str">
        <f t="shared" si="39"/>
        <v>905-871-7030</v>
      </c>
      <c r="F406" t="str">
        <f t="shared" si="40"/>
        <v>L2A 1N2</v>
      </c>
      <c r="G406" t="str">
        <f t="shared" si="41"/>
        <v>[ "Beatties Basics", 42.9054554117228, -78.9321407083533, '905-871-7030', 'L2A 1N2'],</v>
      </c>
    </row>
    <row r="407" spans="1:7" x14ac:dyDescent="0.2">
      <c r="A407" t="s">
        <v>417</v>
      </c>
      <c r="B407" t="str">
        <f t="shared" si="36"/>
        <v>ListenUp! Canada</v>
      </c>
      <c r="C407" t="str">
        <f t="shared" si="37"/>
        <v>42.90567</v>
      </c>
      <c r="D407" t="str">
        <f t="shared" si="38"/>
        <v>-78.91845</v>
      </c>
      <c r="E407" t="str">
        <f t="shared" si="39"/>
        <v>905-991-0647</v>
      </c>
      <c r="F407" t="str">
        <f t="shared" si="40"/>
        <v>L2A 1M4</v>
      </c>
      <c r="G407" t="str">
        <f t="shared" si="41"/>
        <v>[ "ListenUp! Canada", 42.90567, -78.91845, '905-991-0647', 'L2A 1M4'],</v>
      </c>
    </row>
    <row r="408" spans="1:7" x14ac:dyDescent="0.2">
      <c r="A408" t="s">
        <v>418</v>
      </c>
      <c r="B408" t="str">
        <f t="shared" si="36"/>
        <v>Just Accessories</v>
      </c>
      <c r="C408" t="str">
        <f t="shared" si="37"/>
        <v>43.0703930009034</v>
      </c>
      <c r="D408" t="str">
        <f t="shared" si="38"/>
        <v>-79.1146269448938</v>
      </c>
      <c r="E408" t="str">
        <f t="shared" si="39"/>
        <v>905-358-5878</v>
      </c>
      <c r="F408" t="str">
        <f t="shared" si="40"/>
        <v>L2G 3H2</v>
      </c>
      <c r="G408" t="str">
        <f t="shared" si="41"/>
        <v>[ "Just Accessories", 43.0703930009034, -79.1146269448938, '905-358-5878', 'L2G 3H2'],</v>
      </c>
    </row>
    <row r="409" spans="1:7" x14ac:dyDescent="0.2">
      <c r="A409" t="s">
        <v>419</v>
      </c>
      <c r="B409" t="str">
        <f t="shared" si="36"/>
        <v>The Home Depot</v>
      </c>
      <c r="C409" t="str">
        <f t="shared" si="37"/>
        <v>42.9543446666667</v>
      </c>
      <c r="D409" t="str">
        <f t="shared" si="38"/>
        <v>-78.8783137142857</v>
      </c>
      <c r="E409" t="str">
        <f t="shared" si="39"/>
        <v>716-871-8800</v>
      </c>
      <c r="F409" t="str">
        <f t="shared" si="40"/>
        <v>14207</v>
      </c>
      <c r="G409" t="str">
        <f t="shared" si="41"/>
        <v>[ "The Home Depot", 42.9543446666667, -78.8783137142857, '716-871-8800', '14207'],</v>
      </c>
    </row>
    <row r="410" spans="1:7" x14ac:dyDescent="0.2">
      <c r="A410" t="s">
        <v>420</v>
      </c>
      <c r="B410" t="str">
        <f t="shared" si="36"/>
        <v>Valu Home Centers</v>
      </c>
      <c r="C410" t="str">
        <f t="shared" si="37"/>
        <v>42.9474754545455</v>
      </c>
      <c r="D410" t="str">
        <f t="shared" si="38"/>
        <v>-78.8782163636364</v>
      </c>
      <c r="E410" t="str">
        <f t="shared" si="39"/>
        <v>--</v>
      </c>
      <c r="F410" t="str">
        <f t="shared" si="40"/>
        <v>14207</v>
      </c>
      <c r="G410" t="str">
        <f t="shared" si="41"/>
        <v>[ "Valu Home Centers", 42.9474754545455, -78.8782163636364, '--', '14207'],</v>
      </c>
    </row>
    <row r="411" spans="1:7" x14ac:dyDescent="0.2">
      <c r="A411" t="s">
        <v>421</v>
      </c>
      <c r="B411" t="str">
        <f t="shared" si="36"/>
        <v>Valu Home Centers</v>
      </c>
      <c r="C411" t="str">
        <f t="shared" si="37"/>
        <v>43.0004266666667</v>
      </c>
      <c r="D411" t="str">
        <f t="shared" si="38"/>
        <v>-78.8751380952381</v>
      </c>
      <c r="E411" t="str">
        <f t="shared" si="39"/>
        <v>716-694-8155</v>
      </c>
      <c r="F411" t="str">
        <f t="shared" si="40"/>
        <v>14150</v>
      </c>
      <c r="G411" t="str">
        <f t="shared" si="41"/>
        <v>[ "Valu Home Centers", 43.0004266666667, -78.8751380952381, '716-694-8155', '14150'],</v>
      </c>
    </row>
    <row r="412" spans="1:7" x14ac:dyDescent="0.2">
      <c r="A412" t="s">
        <v>422</v>
      </c>
      <c r="B412" t="str">
        <f t="shared" si="36"/>
        <v>The Home Depot</v>
      </c>
      <c r="C412" t="str">
        <f t="shared" si="37"/>
        <v>43.0882292307692</v>
      </c>
      <c r="D412" t="str">
        <f t="shared" si="38"/>
        <v>-78.9914680769231</v>
      </c>
      <c r="E412" t="str">
        <f t="shared" si="39"/>
        <v>716-236-0761</v>
      </c>
      <c r="F412" t="str">
        <f t="shared" si="40"/>
        <v>14304</v>
      </c>
      <c r="G412" t="str">
        <f t="shared" si="41"/>
        <v>[ "The Home Depot", 43.0882292307692, -78.9914680769231, '716-236-0761', '14304'],</v>
      </c>
    </row>
    <row r="413" spans="1:7" x14ac:dyDescent="0.2">
      <c r="A413" t="s">
        <v>423</v>
      </c>
      <c r="B413" t="str">
        <f t="shared" si="36"/>
        <v>RadioShack</v>
      </c>
      <c r="C413" t="str">
        <f t="shared" si="37"/>
        <v>42.9423522222222</v>
      </c>
      <c r="D413" t="str">
        <f t="shared" si="38"/>
        <v>-78.8678733333333</v>
      </c>
      <c r="E413" t="str">
        <f t="shared" si="39"/>
        <v>716-874-5064</v>
      </c>
      <c r="F413" t="str">
        <f t="shared" si="40"/>
        <v>14216</v>
      </c>
      <c r="G413" t="str">
        <f t="shared" si="41"/>
        <v>[ "RadioShack", 42.9423522222222, -78.8678733333333, '716-874-5064', '14216'],</v>
      </c>
    </row>
    <row r="414" spans="1:7" x14ac:dyDescent="0.2">
      <c r="A414" t="s">
        <v>424</v>
      </c>
      <c r="B414" t="str">
        <f t="shared" si="36"/>
        <v>RadioShack</v>
      </c>
      <c r="C414" t="str">
        <f t="shared" si="37"/>
        <v>43.0879566895736</v>
      </c>
      <c r="D414" t="str">
        <f t="shared" si="38"/>
        <v>-78.9805609232238</v>
      </c>
      <c r="E414" t="str">
        <f t="shared" si="39"/>
        <v>716-283-5648</v>
      </c>
      <c r="F414" t="str">
        <f t="shared" si="40"/>
        <v>14304</v>
      </c>
      <c r="G414" t="str">
        <f t="shared" si="41"/>
        <v>[ "RadioShack", 43.0879566895736, -78.9805609232238, '716-283-5648', '14304'],</v>
      </c>
    </row>
    <row r="415" spans="1:7" x14ac:dyDescent="0.2">
      <c r="A415" t="s">
        <v>425</v>
      </c>
      <c r="B415" t="str">
        <f t="shared" si="36"/>
        <v>Dewalt Factory Service Center</v>
      </c>
      <c r="C415" t="str">
        <f t="shared" si="37"/>
        <v>42.92228</v>
      </c>
      <c r="D415" t="str">
        <f t="shared" si="38"/>
        <v>-78.8663458064516</v>
      </c>
      <c r="E415" t="str">
        <f t="shared" si="39"/>
        <v>716-884-6220</v>
      </c>
      <c r="F415" t="str">
        <f t="shared" si="40"/>
        <v>14209</v>
      </c>
      <c r="G415" t="str">
        <f t="shared" si="41"/>
        <v>[ "Dewalt Factory Service Center", 42.92228, -78.8663458064516, '716-884-6220', '14209'],</v>
      </c>
    </row>
    <row r="416" spans="1:7" x14ac:dyDescent="0.2">
      <c r="A416" t="s">
        <v>426</v>
      </c>
      <c r="B416" t="str">
        <f t="shared" si="36"/>
        <v>RadioShack</v>
      </c>
      <c r="C416" t="str">
        <f t="shared" si="37"/>
        <v>43.0941245569268</v>
      </c>
      <c r="D416" t="str">
        <f t="shared" si="38"/>
        <v>-78.9719036349523</v>
      </c>
      <c r="E416" t="str">
        <f t="shared" si="39"/>
        <v>716-297-3333</v>
      </c>
      <c r="F416" t="str">
        <f t="shared" si="40"/>
        <v>14304</v>
      </c>
      <c r="G416" t="str">
        <f t="shared" si="41"/>
        <v>[ "RadioShack", 43.0941245569268, -78.9719036349523, '716-297-3333', '14304'],</v>
      </c>
    </row>
    <row r="417" spans="1:7" x14ac:dyDescent="0.2">
      <c r="A417" t="s">
        <v>427</v>
      </c>
      <c r="B417" t="str">
        <f t="shared" si="36"/>
        <v>Rona Welland</v>
      </c>
      <c r="C417" t="str">
        <f t="shared" si="37"/>
        <v>43.0143557171621</v>
      </c>
      <c r="D417" t="str">
        <f t="shared" si="38"/>
        <v>-79.2291830209854</v>
      </c>
      <c r="E417" t="str">
        <f t="shared" si="39"/>
        <v>905-732-0073</v>
      </c>
      <c r="F417" t="str">
        <f t="shared" si="40"/>
        <v>L3B 0A1</v>
      </c>
      <c r="G417" t="str">
        <f t="shared" si="41"/>
        <v>[ "Rona Welland", 43.0143557171621, -79.2291830209854, '905-732-0073', 'L3B 0A1'],</v>
      </c>
    </row>
    <row r="418" spans="1:7" x14ac:dyDescent="0.2">
      <c r="A418" t="s">
        <v>428</v>
      </c>
      <c r="B418" t="str">
        <f t="shared" si="36"/>
        <v>Staples</v>
      </c>
      <c r="C418" t="str">
        <f t="shared" si="37"/>
        <v>43.1041398492462</v>
      </c>
      <c r="D418" t="str">
        <f t="shared" si="38"/>
        <v>-79.1139305527638</v>
      </c>
      <c r="E418" t="str">
        <f t="shared" si="39"/>
        <v>905-358-0650</v>
      </c>
      <c r="F418" t="str">
        <f t="shared" si="40"/>
        <v>L2E 7K5</v>
      </c>
      <c r="G418" t="str">
        <f t="shared" si="41"/>
        <v>[ "Staples", 43.1041398492462, -79.1139305527638, '905-358-0650', 'L2E 7K5'],</v>
      </c>
    </row>
    <row r="419" spans="1:7" x14ac:dyDescent="0.2">
      <c r="A419" t="s">
        <v>429</v>
      </c>
      <c r="B419" t="str">
        <f t="shared" si="36"/>
        <v>Home Depot</v>
      </c>
      <c r="C419" t="str">
        <f t="shared" si="37"/>
        <v>43.1041398492462</v>
      </c>
      <c r="D419" t="str">
        <f t="shared" si="38"/>
        <v>-79.1139305527638</v>
      </c>
      <c r="E419" t="str">
        <f t="shared" si="39"/>
        <v>905-371-7470</v>
      </c>
      <c r="F419" t="str">
        <f t="shared" si="40"/>
        <v>L2E 7K5</v>
      </c>
      <c r="G419" t="str">
        <f t="shared" si="41"/>
        <v>[ "Home Depot", 43.1041398492462, -79.1139305527638, '905-371-7470', 'L2E 7K5'],</v>
      </c>
    </row>
    <row r="420" spans="1:7" x14ac:dyDescent="0.2">
      <c r="A420" t="s">
        <v>430</v>
      </c>
      <c r="B420" t="str">
        <f t="shared" si="36"/>
        <v>ListenUp! Canada</v>
      </c>
      <c r="C420" t="str">
        <f t="shared" si="37"/>
        <v>42.99222</v>
      </c>
      <c r="D420" t="str">
        <f t="shared" si="38"/>
        <v>-79.24764</v>
      </c>
      <c r="E420" t="str">
        <f t="shared" si="39"/>
        <v>905-734-7300</v>
      </c>
      <c r="F420" t="str">
        <f t="shared" si="40"/>
        <v>L3B 3W5</v>
      </c>
      <c r="G420" t="str">
        <f t="shared" si="41"/>
        <v>[ "ListenUp! Canada", 42.99222, -79.24764, '905-734-7300', 'L3B 3W5'],</v>
      </c>
    </row>
    <row r="421" spans="1:7" x14ac:dyDescent="0.2">
      <c r="A421" t="s">
        <v>431</v>
      </c>
      <c r="B421" t="str">
        <f t="shared" si="36"/>
        <v>Ontario Public Service</v>
      </c>
      <c r="C421" t="str">
        <f t="shared" si="37"/>
        <v>42.9940204820926</v>
      </c>
      <c r="D421" t="str">
        <f t="shared" si="38"/>
        <v>-79.249069578359</v>
      </c>
      <c r="E421" t="str">
        <f t="shared" si="39"/>
        <v>905-735-1660</v>
      </c>
      <c r="F421" t="str">
        <f t="shared" si="40"/>
        <v>L3B 5X6</v>
      </c>
      <c r="G421" t="str">
        <f t="shared" si="41"/>
        <v>[ "Ontario Public Service", 42.9940204820926, -79.249069578359, '905-735-1660', 'L3B 5X6'],</v>
      </c>
    </row>
    <row r="422" spans="1:7" x14ac:dyDescent="0.2">
      <c r="A422" t="s">
        <v>432</v>
      </c>
      <c r="B422" t="str">
        <f t="shared" si="36"/>
        <v>RadioShack</v>
      </c>
      <c r="C422" t="str">
        <f t="shared" si="37"/>
        <v>43.0510285714286</v>
      </c>
      <c r="D422" t="str">
        <f t="shared" si="38"/>
        <v>-78.87809</v>
      </c>
      <c r="E422" t="str">
        <f t="shared" si="39"/>
        <v>716-693-0500</v>
      </c>
      <c r="F422" t="str">
        <f t="shared" si="40"/>
        <v>14120</v>
      </c>
      <c r="G422" t="str">
        <f t="shared" si="41"/>
        <v>[ "RadioShack", 43.0510285714286, -78.87809, '716-693-0500', '14120'],</v>
      </c>
    </row>
    <row r="423" spans="1:7" x14ac:dyDescent="0.2">
      <c r="A423" t="s">
        <v>433</v>
      </c>
      <c r="B423" t="str">
        <f t="shared" si="36"/>
        <v>Drake Lawn &amp; Garden Inc.</v>
      </c>
      <c r="C423" t="str">
        <f t="shared" si="37"/>
        <v>43.09407</v>
      </c>
      <c r="D423" t="str">
        <f t="shared" si="38"/>
        <v>-78.93922</v>
      </c>
      <c r="E423" t="str">
        <f t="shared" si="39"/>
        <v>716-731-1330</v>
      </c>
      <c r="F423" t="str">
        <f t="shared" si="40"/>
        <v>14304</v>
      </c>
      <c r="G423" t="str">
        <f t="shared" si="41"/>
        <v>[ "Drake Lawn &amp; Garden Inc.", 43.09407, -78.93922, '716-731-1330', '14304'],</v>
      </c>
    </row>
    <row r="424" spans="1:7" x14ac:dyDescent="0.2">
      <c r="A424" t="s">
        <v>434</v>
      </c>
      <c r="B424" t="str">
        <f t="shared" si="36"/>
        <v>Valu Home Centers</v>
      </c>
      <c r="C424" t="str">
        <f t="shared" si="37"/>
        <v>43.10931</v>
      </c>
      <c r="D424" t="str">
        <f t="shared" si="38"/>
        <v>-78.9843</v>
      </c>
      <c r="E424" t="str">
        <f t="shared" si="39"/>
        <v>--</v>
      </c>
      <c r="F424" t="str">
        <f t="shared" si="40"/>
        <v>14304</v>
      </c>
      <c r="G424" t="str">
        <f t="shared" si="41"/>
        <v>[ "Valu Home Centers", 43.10931, -78.9843, '--', '14304'],</v>
      </c>
    </row>
    <row r="425" spans="1:7" x14ac:dyDescent="0.2">
      <c r="A425" t="s">
        <v>435</v>
      </c>
      <c r="B425" t="str">
        <f t="shared" si="36"/>
        <v>Valu Home Centers</v>
      </c>
      <c r="C425" t="str">
        <f t="shared" si="37"/>
        <v>42.958335</v>
      </c>
      <c r="D425" t="str">
        <f t="shared" si="38"/>
        <v>-78.83363</v>
      </c>
      <c r="E425" t="str">
        <f t="shared" si="39"/>
        <v>716-835-0677</v>
      </c>
      <c r="F425" t="str">
        <f t="shared" si="40"/>
        <v>14223</v>
      </c>
      <c r="G425" t="str">
        <f t="shared" si="41"/>
        <v>[ "Valu Home Centers", 42.958335, -78.83363, '716-835-0677', '14223'],</v>
      </c>
    </row>
    <row r="426" spans="1:7" x14ac:dyDescent="0.2">
      <c r="A426" t="s">
        <v>436</v>
      </c>
      <c r="B426" t="str">
        <f t="shared" si="36"/>
        <v>Staples</v>
      </c>
      <c r="C426" t="str">
        <f t="shared" si="37"/>
        <v>43.01479</v>
      </c>
      <c r="D426" t="str">
        <f t="shared" si="38"/>
        <v>-79.24987</v>
      </c>
      <c r="E426" t="str">
        <f t="shared" si="39"/>
        <v>905-714-7607</v>
      </c>
      <c r="F426" t="str">
        <f t="shared" si="40"/>
        <v>L3C 5Z4</v>
      </c>
      <c r="G426" t="str">
        <f t="shared" si="41"/>
        <v>[ "Staples", 43.01479, -79.24987, '905-714-7607', 'L3C 5Z4'],</v>
      </c>
    </row>
    <row r="427" spans="1:7" x14ac:dyDescent="0.2">
      <c r="A427" t="s">
        <v>437</v>
      </c>
      <c r="B427" t="str">
        <f t="shared" si="36"/>
        <v>The Source</v>
      </c>
      <c r="C427" t="str">
        <f t="shared" si="37"/>
        <v>43.01479</v>
      </c>
      <c r="D427" t="str">
        <f t="shared" si="38"/>
        <v>-79.24987</v>
      </c>
      <c r="E427" t="str">
        <f t="shared" si="39"/>
        <v>905-735-0887</v>
      </c>
      <c r="F427" t="str">
        <f t="shared" si="40"/>
        <v>L3C 5Z4</v>
      </c>
      <c r="G427" t="str">
        <f t="shared" si="41"/>
        <v>[ "The Source", 43.01479, -79.24987, '905-735-0887', 'L3C 5Z4'],</v>
      </c>
    </row>
    <row r="428" spans="1:7" x14ac:dyDescent="0.2">
      <c r="A428" t="s">
        <v>438</v>
      </c>
      <c r="B428" t="str">
        <f t="shared" si="36"/>
        <v>ListenUp! Canada</v>
      </c>
      <c r="C428" t="str">
        <f t="shared" si="37"/>
        <v>43.1142502173913</v>
      </c>
      <c r="D428" t="str">
        <f t="shared" si="38"/>
        <v>-79.111777173913</v>
      </c>
      <c r="E428" t="str">
        <f t="shared" si="39"/>
        <v>905-374-2792</v>
      </c>
      <c r="F428" t="str">
        <f t="shared" si="40"/>
        <v>L2E 6N1</v>
      </c>
      <c r="G428" t="str">
        <f t="shared" si="41"/>
        <v>[ "ListenUp! Canada", 43.1142502173913, -79.111777173913, '905-374-2792', 'L2E 6N1'],</v>
      </c>
    </row>
    <row r="429" spans="1:7" x14ac:dyDescent="0.2">
      <c r="A429" t="s">
        <v>439</v>
      </c>
      <c r="B429" t="str">
        <f t="shared" si="36"/>
        <v>Dollar General</v>
      </c>
      <c r="C429" t="str">
        <f t="shared" si="37"/>
        <v>42.91461</v>
      </c>
      <c r="D429" t="str">
        <f t="shared" si="38"/>
        <v>-78.83779</v>
      </c>
      <c r="E429" t="str">
        <f t="shared" si="39"/>
        <v>--</v>
      </c>
      <c r="F429" t="str">
        <f t="shared" si="40"/>
        <v>14211</v>
      </c>
      <c r="G429" t="str">
        <f t="shared" si="41"/>
        <v>[ "Dollar General", 42.91461, -78.83779, '--', '14211'],</v>
      </c>
    </row>
    <row r="430" spans="1:7" x14ac:dyDescent="0.2">
      <c r="A430" t="s">
        <v>440</v>
      </c>
      <c r="B430" t="str">
        <f t="shared" si="36"/>
        <v>Valu Home Centers</v>
      </c>
      <c r="C430" t="str">
        <f t="shared" si="37"/>
        <v>43.0601114705882</v>
      </c>
      <c r="D430" t="str">
        <f t="shared" si="38"/>
        <v>-78.8657948529412</v>
      </c>
      <c r="E430" t="str">
        <f t="shared" si="39"/>
        <v>--</v>
      </c>
      <c r="F430" t="str">
        <f t="shared" si="40"/>
        <v>14120</v>
      </c>
      <c r="G430" t="str">
        <f t="shared" si="41"/>
        <v>[ "Valu Home Centers", 43.0601114705882, -78.8657948529412, '--', '14120'],</v>
      </c>
    </row>
    <row r="431" spans="1:7" x14ac:dyDescent="0.2">
      <c r="A431" t="s">
        <v>441</v>
      </c>
      <c r="B431" t="str">
        <f t="shared" si="36"/>
        <v>Kenilworth Electronics Co.</v>
      </c>
      <c r="C431" t="str">
        <f t="shared" si="37"/>
        <v>42.9773606896552</v>
      </c>
      <c r="D431" t="str">
        <f t="shared" si="38"/>
        <v>-78.8231268965517</v>
      </c>
      <c r="E431" t="str">
        <f t="shared" si="39"/>
        <v>716-837-6666</v>
      </c>
      <c r="F431" t="str">
        <f t="shared" si="40"/>
        <v>14223</v>
      </c>
      <c r="G431" t="str">
        <f t="shared" si="41"/>
        <v>[ "Kenilworth Electronics Co.", 42.9773606896552, -78.8231268965517, '716-837-6666', '14223'],</v>
      </c>
    </row>
    <row r="432" spans="1:7" x14ac:dyDescent="0.2">
      <c r="A432" t="s">
        <v>442</v>
      </c>
      <c r="B432" t="str">
        <f t="shared" si="36"/>
        <v>CPR of WNY Tonawanda</v>
      </c>
      <c r="C432" t="str">
        <f t="shared" si="37"/>
        <v>42.98816</v>
      </c>
      <c r="D432" t="str">
        <f t="shared" si="38"/>
        <v>-78.82275</v>
      </c>
      <c r="E432" t="str">
        <f t="shared" si="39"/>
        <v>716-832-4277</v>
      </c>
      <c r="F432" t="str">
        <f t="shared" si="40"/>
        <v>14150</v>
      </c>
      <c r="G432" t="str">
        <f t="shared" si="41"/>
        <v>[ "CPR of WNY Tonawanda", 42.98816, -78.82275, '716-832-4277', '14150'],</v>
      </c>
    </row>
    <row r="433" spans="1:7" x14ac:dyDescent="0.2">
      <c r="A433" t="s">
        <v>443</v>
      </c>
      <c r="B433" t="str">
        <f t="shared" si="36"/>
        <v>Sears</v>
      </c>
      <c r="C433" t="str">
        <f t="shared" si="37"/>
        <v>42.989312</v>
      </c>
      <c r="D433" t="str">
        <f t="shared" si="38"/>
        <v>-78.822522</v>
      </c>
      <c r="E433" t="str">
        <f t="shared" si="39"/>
        <v>716-446-5100</v>
      </c>
      <c r="F433" t="str">
        <f t="shared" si="40"/>
        <v>14226</v>
      </c>
      <c r="G433" t="str">
        <f t="shared" si="41"/>
        <v>[ "Sears", 42.989312, -78.822522, '716-446-5100', '14226'],</v>
      </c>
    </row>
    <row r="434" spans="1:7" x14ac:dyDescent="0.2">
      <c r="A434" t="s">
        <v>444</v>
      </c>
      <c r="B434" t="str">
        <f t="shared" si="36"/>
        <v>RadioShack</v>
      </c>
      <c r="C434" t="str">
        <f t="shared" si="37"/>
        <v>42.95801</v>
      </c>
      <c r="D434" t="str">
        <f t="shared" si="38"/>
        <v>-78.81771</v>
      </c>
      <c r="E434" t="str">
        <f t="shared" si="39"/>
        <v>716-832-8311</v>
      </c>
      <c r="F434" t="str">
        <f t="shared" si="40"/>
        <v>14226</v>
      </c>
      <c r="G434" t="str">
        <f t="shared" si="41"/>
        <v>[ "RadioShack", 42.95801, -78.81771, '716-832-8311', '14226'],</v>
      </c>
    </row>
    <row r="435" spans="1:7" x14ac:dyDescent="0.2">
      <c r="A435" t="s">
        <v>445</v>
      </c>
      <c r="B435" t="str">
        <f t="shared" si="36"/>
        <v>Barnes &amp; Noble</v>
      </c>
      <c r="C435" t="str">
        <f t="shared" si="37"/>
        <v>42.9976371111111</v>
      </c>
      <c r="D435" t="str">
        <f t="shared" si="38"/>
        <v>-78.8223682222222</v>
      </c>
      <c r="E435" t="str">
        <f t="shared" si="39"/>
        <v>716-837-7209</v>
      </c>
      <c r="F435" t="str">
        <f t="shared" si="40"/>
        <v>14228</v>
      </c>
      <c r="G435" t="str">
        <f t="shared" si="41"/>
        <v>[ "Barnes &amp; Noble", 42.9976371111111, -78.8223682222222, '716-837-7209', '14228'],</v>
      </c>
    </row>
    <row r="436" spans="1:7" x14ac:dyDescent="0.2">
      <c r="A436" t="s">
        <v>446</v>
      </c>
      <c r="B436" t="str">
        <f t="shared" si="36"/>
        <v>Lowes</v>
      </c>
      <c r="C436" t="str">
        <f t="shared" si="37"/>
        <v>43.0004893628919</v>
      </c>
      <c r="D436" t="str">
        <f t="shared" si="38"/>
        <v>-78.8223262699096</v>
      </c>
      <c r="E436" t="str">
        <f t="shared" si="39"/>
        <v>716-831-5990</v>
      </c>
      <c r="F436" t="str">
        <f t="shared" si="40"/>
        <v>14228</v>
      </c>
      <c r="G436" t="str">
        <f t="shared" si="41"/>
        <v>[ "Lowes", 43.0004893628919, -78.8223262699096, '716-831-5990', '14228'],</v>
      </c>
    </row>
    <row r="437" spans="1:7" x14ac:dyDescent="0.2">
      <c r="A437" t="s">
        <v>447</v>
      </c>
      <c r="B437" t="str">
        <f t="shared" si="36"/>
        <v>Wegmans</v>
      </c>
      <c r="C437" t="str">
        <f t="shared" si="37"/>
        <v>42.9886017391304</v>
      </c>
      <c r="D437" t="str">
        <f t="shared" si="38"/>
        <v>-78.8172191304348</v>
      </c>
      <c r="E437" t="str">
        <f t="shared" si="39"/>
        <v>716-831-6300</v>
      </c>
      <c r="F437" t="str">
        <f t="shared" si="40"/>
        <v>14226</v>
      </c>
      <c r="G437" t="str">
        <f t="shared" si="41"/>
        <v>[ "Wegmans", 42.9886017391304, -78.8172191304348, '716-831-6300', '14226'],</v>
      </c>
    </row>
    <row r="438" spans="1:7" x14ac:dyDescent="0.2">
      <c r="A438" t="s">
        <v>448</v>
      </c>
      <c r="B438" t="str">
        <f t="shared" si="36"/>
        <v>The Home Depot</v>
      </c>
      <c r="C438" t="str">
        <f t="shared" si="37"/>
        <v>43.010624</v>
      </c>
      <c r="D438" t="str">
        <f t="shared" si="38"/>
        <v>-78.822318</v>
      </c>
      <c r="E438" t="str">
        <f t="shared" si="39"/>
        <v>716-639-9600</v>
      </c>
      <c r="F438" t="str">
        <f t="shared" si="40"/>
        <v>14228</v>
      </c>
      <c r="G438" t="str">
        <f t="shared" si="41"/>
        <v>[ "The Home Depot", 43.010624, -78.822318, '716-639-9600', '14228'],</v>
      </c>
    </row>
    <row r="439" spans="1:7" x14ac:dyDescent="0.2">
      <c r="A439" t="s">
        <v>449</v>
      </c>
      <c r="B439" t="str">
        <f t="shared" si="36"/>
        <v>The Battery Commercial Battery Company</v>
      </c>
      <c r="C439" t="str">
        <f t="shared" si="37"/>
        <v>43.0110638888889</v>
      </c>
      <c r="D439" t="str">
        <f t="shared" si="38"/>
        <v>-78.8223138888889</v>
      </c>
      <c r="E439" t="str">
        <f t="shared" si="39"/>
        <v>716-743-1554</v>
      </c>
      <c r="F439" t="str">
        <f t="shared" si="40"/>
        <v>14150</v>
      </c>
      <c r="G439" t="str">
        <f t="shared" si="41"/>
        <v>[ "The Battery Commercial Battery Company", 43.0110638888889, -78.8223138888889, '716-743-1554', '14150'],</v>
      </c>
    </row>
    <row r="440" spans="1:7" x14ac:dyDescent="0.2">
      <c r="A440" t="s">
        <v>450</v>
      </c>
      <c r="B440" t="str">
        <f t="shared" si="36"/>
        <v>Valu Home Centers</v>
      </c>
      <c r="C440" t="str">
        <f t="shared" si="37"/>
        <v>42.9801228571429</v>
      </c>
      <c r="D440" t="str">
        <f t="shared" si="38"/>
        <v>-78.8123042857143</v>
      </c>
      <c r="E440" t="str">
        <f t="shared" si="39"/>
        <v>716-832-3331</v>
      </c>
      <c r="F440" t="str">
        <f t="shared" si="40"/>
        <v>14226</v>
      </c>
      <c r="G440" t="str">
        <f t="shared" si="41"/>
        <v>[ "Valu Home Centers", 42.9801228571429, -78.8123042857143, '716-832-3331', '14226'],</v>
      </c>
    </row>
    <row r="441" spans="1:7" x14ac:dyDescent="0.2">
      <c r="A441" t="s">
        <v>451</v>
      </c>
      <c r="B441" t="str">
        <f t="shared" si="36"/>
        <v>Hilti</v>
      </c>
      <c r="C441" t="str">
        <f t="shared" si="37"/>
        <v>42.97735</v>
      </c>
      <c r="D441" t="str">
        <f t="shared" si="38"/>
        <v>-78.78386</v>
      </c>
      <c r="E441" t="str">
        <f t="shared" si="39"/>
        <v>716-839-3989</v>
      </c>
      <c r="F441" t="str">
        <f t="shared" si="40"/>
        <v>14226</v>
      </c>
      <c r="G441" t="str">
        <f t="shared" si="41"/>
        <v>[ "Hilti", 42.97735, -78.78386, '716-839-3989', '14226'],</v>
      </c>
    </row>
    <row r="442" spans="1:7" x14ac:dyDescent="0.2">
      <c r="A442" t="s">
        <v>452</v>
      </c>
      <c r="B442" t="str">
        <f t="shared" si="36"/>
        <v>Pharmasave</v>
      </c>
      <c r="C442" t="str">
        <f t="shared" si="37"/>
        <v>43.1245186956522</v>
      </c>
      <c r="D442" t="str">
        <f t="shared" si="38"/>
        <v>-79.2006786956522</v>
      </c>
      <c r="E442" t="str">
        <f t="shared" si="39"/>
        <v>905-227-2511</v>
      </c>
      <c r="F442" t="str">
        <f t="shared" si="40"/>
        <v>L2V 3Y7</v>
      </c>
      <c r="G442" t="str">
        <f t="shared" si="41"/>
        <v>[ "Pharmasave", 43.1245186956522, -79.2006786956522, '905-227-2511', 'L2V 3Y7'],</v>
      </c>
    </row>
    <row r="443" spans="1:7" x14ac:dyDescent="0.2">
      <c r="A443" t="s">
        <v>453</v>
      </c>
      <c r="B443" t="str">
        <f t="shared" si="36"/>
        <v>The Home Depot</v>
      </c>
      <c r="C443" t="str">
        <f t="shared" si="37"/>
        <v>42.9050804209813</v>
      </c>
      <c r="D443" t="str">
        <f t="shared" si="38"/>
        <v>-78.7805894293704</v>
      </c>
      <c r="E443" t="str">
        <f t="shared" si="39"/>
        <v>716-895-6680</v>
      </c>
      <c r="F443" t="str">
        <f t="shared" si="40"/>
        <v>14225</v>
      </c>
      <c r="G443" t="str">
        <f t="shared" si="41"/>
        <v>[ "The Home Depot", 42.9050804209813, -78.7805894293704, '716-895-6680', '14225'],</v>
      </c>
    </row>
    <row r="444" spans="1:7" x14ac:dyDescent="0.2">
      <c r="A444" t="s">
        <v>454</v>
      </c>
      <c r="B444" t="str">
        <f t="shared" si="36"/>
        <v>Saia Communications</v>
      </c>
      <c r="C444" t="str">
        <f t="shared" si="37"/>
        <v>42.8880854545455</v>
      </c>
      <c r="D444" t="str">
        <f t="shared" si="38"/>
        <v>-78.7807954545455</v>
      </c>
      <c r="E444" t="str">
        <f t="shared" si="39"/>
        <v>716-892-2900</v>
      </c>
      <c r="F444" t="str">
        <f t="shared" si="40"/>
        <v>14206</v>
      </c>
      <c r="G444" t="str">
        <f t="shared" si="41"/>
        <v>[ "Saia Communications", 42.8880854545455, -78.7807954545455, '716-892-2900', '14206'],</v>
      </c>
    </row>
    <row r="445" spans="1:7" x14ac:dyDescent="0.2">
      <c r="A445" t="s">
        <v>455</v>
      </c>
      <c r="B445" t="str">
        <f t="shared" si="36"/>
        <v>Hectors Hardware</v>
      </c>
      <c r="C445" t="str">
        <f t="shared" si="37"/>
        <v>42.991042962963</v>
      </c>
      <c r="D445" t="str">
        <f t="shared" si="38"/>
        <v>-78.7550407407407</v>
      </c>
      <c r="E445" t="str">
        <f t="shared" si="39"/>
        <v>716-688-4488</v>
      </c>
      <c r="F445" t="str">
        <f t="shared" si="40"/>
        <v>14221</v>
      </c>
      <c r="G445" t="str">
        <f t="shared" si="41"/>
        <v>[ "Hectors Hardware", 42.991042962963, -78.7550407407407, '716-688-4488', '14221'],</v>
      </c>
    </row>
    <row r="446" spans="1:7" x14ac:dyDescent="0.2">
      <c r="A446" t="s">
        <v>456</v>
      </c>
      <c r="B446" t="str">
        <f t="shared" si="36"/>
        <v>Sears</v>
      </c>
      <c r="C446" t="str">
        <f t="shared" si="37"/>
        <v>42.9088948979592</v>
      </c>
      <c r="D446" t="str">
        <f t="shared" si="38"/>
        <v>-78.7619793877551</v>
      </c>
      <c r="E446" t="str">
        <f t="shared" si="39"/>
        <v>716-686-6276</v>
      </c>
      <c r="F446" t="str">
        <f t="shared" si="40"/>
        <v>14225</v>
      </c>
      <c r="G446" t="str">
        <f t="shared" si="41"/>
        <v>[ "Sears", 42.9088948979592, -78.7619793877551, '716-686-6276', '14225'],</v>
      </c>
    </row>
    <row r="447" spans="1:7" x14ac:dyDescent="0.2">
      <c r="A447" t="s">
        <v>457</v>
      </c>
      <c r="B447" t="str">
        <f t="shared" si="36"/>
        <v>CVS Pharmacy</v>
      </c>
      <c r="C447" t="str">
        <f t="shared" si="37"/>
        <v>43.14327</v>
      </c>
      <c r="D447" t="str">
        <f t="shared" si="38"/>
        <v>-78.88343</v>
      </c>
      <c r="E447" t="str">
        <f t="shared" si="39"/>
        <v>0--</v>
      </c>
      <c r="F447" t="str">
        <f t="shared" si="40"/>
        <v>14132</v>
      </c>
      <c r="G447" t="str">
        <f t="shared" si="41"/>
        <v>[ "CVS Pharmacy", 43.14327, -78.88343, '0--', '14132'],</v>
      </c>
    </row>
    <row r="448" spans="1:7" x14ac:dyDescent="0.2">
      <c r="A448" t="s">
        <v>458</v>
      </c>
      <c r="B448" t="str">
        <f t="shared" si="36"/>
        <v>Best Buy</v>
      </c>
      <c r="C448" t="str">
        <f t="shared" si="37"/>
        <v>42.90886</v>
      </c>
      <c r="D448" t="str">
        <f t="shared" si="38"/>
        <v>-78.76198</v>
      </c>
      <c r="E448" t="str">
        <f t="shared" si="39"/>
        <v>716-681-5406</v>
      </c>
      <c r="F448" t="str">
        <f t="shared" si="40"/>
        <v>14225</v>
      </c>
      <c r="G448" t="str">
        <f t="shared" si="41"/>
        <v>[ "Best Buy", 42.90886, -78.76198, '716-681-5406', '14225'],</v>
      </c>
    </row>
    <row r="449" spans="1:7" x14ac:dyDescent="0.2">
      <c r="A449" t="s">
        <v>459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Ontario Public Service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42.9940204820926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-79.249069578359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905-735-1660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L3B 5X6</v>
      </c>
      <c r="G449" t="str">
        <f t="shared" ref="G449:G512" si="47">"[ "&amp;CHAR(34)&amp;B449&amp;CHAR(34)&amp;", "&amp;C449&amp;", "&amp;D449&amp;", '"&amp;E449&amp;"', '"&amp;F449&amp;"'],"</f>
        <v>[ "Ontario Public Service", 42.9940204820926, -79.249069578359, '905-735-1660', 'L3B 5X6'],</v>
      </c>
    </row>
    <row r="450" spans="1:7" x14ac:dyDescent="0.2">
      <c r="A450" t="s">
        <v>460</v>
      </c>
      <c r="B450" t="str">
        <f t="shared" si="42"/>
        <v>ListenUp! Canada</v>
      </c>
      <c r="C450" t="str">
        <f t="shared" si="43"/>
        <v>42.99222</v>
      </c>
      <c r="D450" t="str">
        <f t="shared" si="44"/>
        <v>-79.24764</v>
      </c>
      <c r="E450" t="str">
        <f t="shared" si="45"/>
        <v>905-734-7300</v>
      </c>
      <c r="F450" t="str">
        <f t="shared" si="46"/>
        <v>L3B 3W5</v>
      </c>
      <c r="G450" t="str">
        <f t="shared" si="47"/>
        <v>[ "ListenUp! Canada", 42.99222, -79.24764, '905-734-7300', 'L3B 3W5'],</v>
      </c>
    </row>
    <row r="451" spans="1:7" x14ac:dyDescent="0.2">
      <c r="A451" t="s">
        <v>461</v>
      </c>
      <c r="B451" t="str">
        <f t="shared" si="42"/>
        <v>The Source</v>
      </c>
      <c r="C451" t="str">
        <f t="shared" si="43"/>
        <v>43.01479</v>
      </c>
      <c r="D451" t="str">
        <f t="shared" si="44"/>
        <v>-79.24987</v>
      </c>
      <c r="E451" t="str">
        <f t="shared" si="45"/>
        <v>905-735-0887</v>
      </c>
      <c r="F451" t="str">
        <f t="shared" si="46"/>
        <v>L3C 5Z4</v>
      </c>
      <c r="G451" t="str">
        <f t="shared" si="47"/>
        <v>[ "The Source", 43.01479, -79.24987, '905-735-0887', 'L3C 5Z4'],</v>
      </c>
    </row>
    <row r="452" spans="1:7" x14ac:dyDescent="0.2">
      <c r="A452" t="s">
        <v>462</v>
      </c>
      <c r="B452" t="str">
        <f t="shared" si="42"/>
        <v>Staples</v>
      </c>
      <c r="C452" t="str">
        <f t="shared" si="43"/>
        <v>43.01479</v>
      </c>
      <c r="D452" t="str">
        <f t="shared" si="44"/>
        <v>-79.24987</v>
      </c>
      <c r="E452" t="str">
        <f t="shared" si="45"/>
        <v>905-714-7607</v>
      </c>
      <c r="F452" t="str">
        <f t="shared" si="46"/>
        <v>L3C 5Z4</v>
      </c>
      <c r="G452" t="str">
        <f t="shared" si="47"/>
        <v>[ "Staples", 43.01479, -79.24987, '905-714-7607', 'L3C 5Z4'],</v>
      </c>
    </row>
    <row r="453" spans="1:7" x14ac:dyDescent="0.2">
      <c r="A453" t="s">
        <v>463</v>
      </c>
      <c r="B453" t="str">
        <f t="shared" si="42"/>
        <v>Rona Welland</v>
      </c>
      <c r="C453" t="str">
        <f t="shared" si="43"/>
        <v>43.0143557171621</v>
      </c>
      <c r="D453" t="str">
        <f t="shared" si="44"/>
        <v>-79.2291830209854</v>
      </c>
      <c r="E453" t="str">
        <f t="shared" si="45"/>
        <v>905-732-0073</v>
      </c>
      <c r="F453" t="str">
        <f t="shared" si="46"/>
        <v>L3B 0A1</v>
      </c>
      <c r="G453" t="str">
        <f t="shared" si="47"/>
        <v>[ "Rona Welland", 43.0143557171621, -79.2291830209854, '905-732-0073', 'L3B 0A1'],</v>
      </c>
    </row>
    <row r="454" spans="1:7" x14ac:dyDescent="0.2">
      <c r="A454" t="s">
        <v>464</v>
      </c>
      <c r="B454" t="str">
        <f t="shared" si="42"/>
        <v>Staples</v>
      </c>
      <c r="C454" t="str">
        <f t="shared" si="43"/>
        <v>43.1763769718819</v>
      </c>
      <c r="D454" t="str">
        <f t="shared" si="44"/>
        <v>-79.7903986495485</v>
      </c>
      <c r="E454" t="str">
        <f t="shared" si="45"/>
        <v>905-692-7215</v>
      </c>
      <c r="F454" t="str">
        <f t="shared" si="46"/>
        <v>L0R 1P0</v>
      </c>
      <c r="G454" t="str">
        <f t="shared" si="47"/>
        <v>[ "Staples", 43.1763769718819, -79.7903986495485, '905-692-7215', 'L0R 1P0'],</v>
      </c>
    </row>
    <row r="455" spans="1:7" x14ac:dyDescent="0.2">
      <c r="A455" t="s">
        <v>465</v>
      </c>
      <c r="B455" t="str">
        <f t="shared" si="42"/>
        <v>Sayer Home Hardware Ltd.</v>
      </c>
      <c r="C455" t="str">
        <f t="shared" si="43"/>
        <v>42.7846446666667</v>
      </c>
      <c r="D455" t="str">
        <f t="shared" si="44"/>
        <v>-80.2006908888889</v>
      </c>
      <c r="E455" t="str">
        <f t="shared" si="45"/>
        <v>905-768-3431</v>
      </c>
      <c r="F455" t="str">
        <f t="shared" si="46"/>
        <v>N0A 1H0</v>
      </c>
      <c r="G455" t="str">
        <f t="shared" si="47"/>
        <v>[ "Sayer Home Hardware Ltd.", 42.7846446666667, -80.2006908888889, '905-768-3431', 'N0A 1H0'],</v>
      </c>
    </row>
    <row r="456" spans="1:7" x14ac:dyDescent="0.2">
      <c r="A456" t="s">
        <v>466</v>
      </c>
      <c r="B456" t="str">
        <f t="shared" si="42"/>
        <v>The Source</v>
      </c>
      <c r="C456" t="str">
        <f t="shared" si="43"/>
        <v>42.836844</v>
      </c>
      <c r="D456" t="str">
        <f t="shared" si="44"/>
        <v>-80.303794</v>
      </c>
      <c r="E456" t="str">
        <f t="shared" si="45"/>
        <v>519-426-4385</v>
      </c>
      <c r="F456" t="str">
        <f t="shared" si="46"/>
        <v>N3Y 2V9</v>
      </c>
      <c r="G456" t="str">
        <f t="shared" si="47"/>
        <v>[ "The Source", 42.836844, -80.303794, '519-426-4385', 'N3Y 2V9'],</v>
      </c>
    </row>
    <row r="457" spans="1:7" x14ac:dyDescent="0.2">
      <c r="A457" t="s">
        <v>467</v>
      </c>
      <c r="B457" t="str">
        <f t="shared" si="42"/>
        <v>ListenUp! Canada</v>
      </c>
      <c r="C457" t="str">
        <f t="shared" si="43"/>
        <v>42.83526</v>
      </c>
      <c r="D457" t="str">
        <f t="shared" si="44"/>
        <v>-80.31054</v>
      </c>
      <c r="E457" t="str">
        <f t="shared" si="45"/>
        <v>519-428-1964</v>
      </c>
      <c r="F457" t="str">
        <f t="shared" si="46"/>
        <v>N3Y 1S8</v>
      </c>
      <c r="G457" t="str">
        <f t="shared" si="47"/>
        <v>[ "ListenUp! Canada", 42.83526, -80.31054, '519-428-1964', 'N3Y 1S8'],</v>
      </c>
    </row>
    <row r="458" spans="1:7" x14ac:dyDescent="0.2">
      <c r="A458" t="s">
        <v>468</v>
      </c>
      <c r="B458" t="str">
        <f t="shared" si="42"/>
        <v>Ministry of Agriculture Food and Rural Affairs</v>
      </c>
      <c r="C458" t="str">
        <f t="shared" si="43"/>
        <v>42.8402495</v>
      </c>
      <c r="D458" t="str">
        <f t="shared" si="44"/>
        <v>-80.3057285</v>
      </c>
      <c r="E458" t="str">
        <f t="shared" si="45"/>
        <v>519-426-7123</v>
      </c>
      <c r="F458" t="str">
        <f t="shared" si="46"/>
        <v>N3Y 4N5</v>
      </c>
      <c r="G458" t="str">
        <f t="shared" si="47"/>
        <v>[ "Ministry of Agriculture Food and Rural Affairs", 42.8402495, -80.3057285, '519-426-7123', 'N3Y 4N5'],</v>
      </c>
    </row>
    <row r="459" spans="1:7" x14ac:dyDescent="0.2">
      <c r="A459" t="s">
        <v>469</v>
      </c>
      <c r="B459" t="str">
        <f t="shared" si="42"/>
        <v>Staples</v>
      </c>
      <c r="C459" t="str">
        <f t="shared" si="43"/>
        <v>42.8461</v>
      </c>
      <c r="D459" t="str">
        <f t="shared" si="44"/>
        <v>-80.30788</v>
      </c>
      <c r="E459" t="str">
        <f t="shared" si="45"/>
        <v>519-426-4060</v>
      </c>
      <c r="F459" t="str">
        <f t="shared" si="46"/>
        <v>N3Y 2M7</v>
      </c>
      <c r="G459" t="str">
        <f t="shared" si="47"/>
        <v>[ "Staples", 42.8461, -80.30788, '519-426-4060', 'N3Y 2M7'],</v>
      </c>
    </row>
    <row r="460" spans="1:7" x14ac:dyDescent="0.2">
      <c r="A460" t="s">
        <v>470</v>
      </c>
      <c r="B460" t="str">
        <f t="shared" si="42"/>
        <v>RONA</v>
      </c>
      <c r="C460" t="str">
        <f t="shared" si="43"/>
        <v>42.852505519481</v>
      </c>
      <c r="D460" t="str">
        <f t="shared" si="44"/>
        <v>-80.3089040584248</v>
      </c>
      <c r="E460" t="str">
        <f t="shared" si="45"/>
        <v>519-426-2740</v>
      </c>
      <c r="F460" t="str">
        <f t="shared" si="46"/>
        <v>N3Y 4N5</v>
      </c>
      <c r="G460" t="str">
        <f t="shared" si="47"/>
        <v>[ "RONA", 42.852505519481, -80.3089040584248, '519-426-2740', 'N3Y 4N5'],</v>
      </c>
    </row>
    <row r="461" spans="1:7" x14ac:dyDescent="0.2">
      <c r="A461" t="s">
        <v>472</v>
      </c>
      <c r="B461" t="str">
        <f t="shared" si="42"/>
        <v>The Source</v>
      </c>
      <c r="C461" t="str">
        <f t="shared" si="43"/>
        <v>42.86217</v>
      </c>
      <c r="D461" t="str">
        <f t="shared" si="44"/>
        <v>-80.72937</v>
      </c>
      <c r="E461" t="str">
        <f t="shared" si="45"/>
        <v>519-842-7916</v>
      </c>
      <c r="F461" t="str">
        <f t="shared" si="46"/>
        <v>N4G 5A7</v>
      </c>
      <c r="G461" t="str">
        <f t="shared" si="47"/>
        <v>[ "The Source", 42.86217, -80.72937, '519-842-7916', 'N4G 5A7'],</v>
      </c>
    </row>
    <row r="462" spans="1:7" x14ac:dyDescent="0.2">
      <c r="A462" t="s">
        <v>473</v>
      </c>
      <c r="B462" t="str">
        <f t="shared" si="42"/>
        <v>Staples</v>
      </c>
      <c r="C462" t="str">
        <f t="shared" si="43"/>
        <v>42.86217</v>
      </c>
      <c r="D462" t="str">
        <f t="shared" si="44"/>
        <v>-80.72937</v>
      </c>
      <c r="E462" t="str">
        <f t="shared" si="45"/>
        <v>519-688-2196</v>
      </c>
      <c r="F462" t="str">
        <f t="shared" si="46"/>
        <v>N4G 5A7</v>
      </c>
      <c r="G462" t="str">
        <f t="shared" si="47"/>
        <v>[ "Staples", 42.86217, -80.72937, '519-688-2196', 'N4G 5A7'],</v>
      </c>
    </row>
    <row r="463" spans="1:7" x14ac:dyDescent="0.2">
      <c r="A463" t="s">
        <v>475</v>
      </c>
      <c r="B463" t="str">
        <f t="shared" si="42"/>
        <v>Home Essentials</v>
      </c>
      <c r="C463" t="str">
        <f t="shared" si="43"/>
        <v>43.355283</v>
      </c>
      <c r="D463" t="str">
        <f t="shared" si="44"/>
        <v>-80.31844</v>
      </c>
      <c r="E463" t="str">
        <f t="shared" si="45"/>
        <v>519-622-6046</v>
      </c>
      <c r="F463" t="str">
        <f t="shared" si="46"/>
        <v>N1S 2L8</v>
      </c>
      <c r="G463" t="str">
        <f t="shared" si="47"/>
        <v>[ "Home Essentials", 43.355283, -80.31844, '519-622-6046', 'N1S 2L8'],</v>
      </c>
    </row>
    <row r="464" spans="1:7" x14ac:dyDescent="0.2">
      <c r="A464" t="s">
        <v>476</v>
      </c>
      <c r="B464" t="str">
        <f t="shared" si="42"/>
        <v>The Source</v>
      </c>
      <c r="C464" t="str">
        <f t="shared" si="43"/>
        <v>43.35466</v>
      </c>
      <c r="D464" t="str">
        <f t="shared" si="44"/>
        <v>-80.28745</v>
      </c>
      <c r="E464" t="str">
        <f t="shared" si="45"/>
        <v>519-623-5210</v>
      </c>
      <c r="F464" t="str">
        <f t="shared" si="46"/>
        <v>N1R 8N8</v>
      </c>
      <c r="G464" t="str">
        <f t="shared" si="47"/>
        <v>[ "The Source", 43.35466, -80.28745, '519-623-5210', 'N1R 8N8'],</v>
      </c>
    </row>
    <row r="465" spans="1:7" x14ac:dyDescent="0.2">
      <c r="A465" t="s">
        <v>477</v>
      </c>
      <c r="B465" t="str">
        <f t="shared" si="42"/>
        <v>ListenUp! Canada</v>
      </c>
      <c r="C465" t="str">
        <f t="shared" si="43"/>
        <v>43.37387</v>
      </c>
      <c r="D465" t="str">
        <f t="shared" si="44"/>
        <v>-80.31864</v>
      </c>
      <c r="E465" t="str">
        <f t="shared" si="45"/>
        <v>519-624-9092</v>
      </c>
      <c r="F465" t="str">
        <f t="shared" si="46"/>
        <v>N1R 8L4</v>
      </c>
      <c r="G465" t="str">
        <f t="shared" si="47"/>
        <v>[ "ListenUp! Canada", 43.37387, -80.31864, '519-624-9092', 'N1R 8L4'],</v>
      </c>
    </row>
    <row r="466" spans="1:7" x14ac:dyDescent="0.2">
      <c r="A466" t="s">
        <v>478</v>
      </c>
      <c r="B466" t="str">
        <f t="shared" si="42"/>
        <v>Princess Auto</v>
      </c>
      <c r="C466" t="str">
        <f t="shared" si="43"/>
        <v>43.37967</v>
      </c>
      <c r="D466" t="str">
        <f t="shared" si="44"/>
        <v>-80.40888</v>
      </c>
      <c r="E466" t="str">
        <f t="shared" si="45"/>
        <v>519-743-0742</v>
      </c>
      <c r="F466" t="str">
        <f t="shared" si="46"/>
        <v>N2P 2N4</v>
      </c>
      <c r="G466" t="str">
        <f t="shared" si="47"/>
        <v>[ "Princess Auto", 43.37967, -80.40888, '519-743-0742', 'N2P 2N4'],</v>
      </c>
    </row>
    <row r="467" spans="1:7" x14ac:dyDescent="0.2">
      <c r="A467" t="s">
        <v>479</v>
      </c>
      <c r="B467" t="str">
        <f t="shared" si="42"/>
        <v>Best Buy</v>
      </c>
      <c r="C467" t="str">
        <f t="shared" si="43"/>
        <v>43.39061</v>
      </c>
      <c r="D467" t="str">
        <f t="shared" si="44"/>
        <v>-80.32256</v>
      </c>
      <c r="E467" t="str">
        <f t="shared" si="45"/>
        <v>--</v>
      </c>
      <c r="F467" t="str">
        <f t="shared" si="46"/>
        <v>N1R 6B3</v>
      </c>
      <c r="G467" t="str">
        <f t="shared" si="47"/>
        <v>[ "Best Buy", 43.39061, -80.32256, '--', 'N1R 6B3'],</v>
      </c>
    </row>
    <row r="468" spans="1:7" x14ac:dyDescent="0.2">
      <c r="A468" t="s">
        <v>480</v>
      </c>
      <c r="B468" t="str">
        <f t="shared" si="42"/>
        <v>The Source</v>
      </c>
      <c r="C468" t="str">
        <f t="shared" si="43"/>
        <v>43.1733746666667</v>
      </c>
      <c r="D468" t="str">
        <f t="shared" si="44"/>
        <v>-80.242096</v>
      </c>
      <c r="E468" t="str">
        <f t="shared" si="45"/>
        <v>519-759-8462</v>
      </c>
      <c r="F468" t="str">
        <f t="shared" si="46"/>
        <v>N3R 6B8</v>
      </c>
      <c r="G468" t="str">
        <f t="shared" si="47"/>
        <v>[ "The Source", 43.1733746666667, -80.242096, '519-759-8462', 'N3R 6B8'],</v>
      </c>
    </row>
    <row r="469" spans="1:7" x14ac:dyDescent="0.2">
      <c r="A469" t="s">
        <v>481</v>
      </c>
      <c r="B469" t="str">
        <f t="shared" si="42"/>
        <v>Staples</v>
      </c>
      <c r="C469" t="str">
        <f t="shared" si="43"/>
        <v>43.1693666109149</v>
      </c>
      <c r="D469" t="str">
        <f t="shared" si="44"/>
        <v>-80.2479792495133</v>
      </c>
      <c r="E469" t="str">
        <f t="shared" si="45"/>
        <v>519-752-3367</v>
      </c>
      <c r="F469" t="str">
        <f t="shared" si="46"/>
        <v>N3R 7C5</v>
      </c>
      <c r="G469" t="str">
        <f t="shared" si="47"/>
        <v>[ "Staples", 43.1693666109149, -80.2479792495133, '519-752-3367', 'N3R 7C5'],</v>
      </c>
    </row>
    <row r="470" spans="1:7" x14ac:dyDescent="0.2">
      <c r="A470" t="s">
        <v>482</v>
      </c>
      <c r="B470" t="str">
        <f t="shared" si="42"/>
        <v>Home Depot</v>
      </c>
      <c r="C470" t="str">
        <f t="shared" si="43"/>
        <v>43.1630392918477</v>
      </c>
      <c r="D470" t="str">
        <f t="shared" si="44"/>
        <v>-80.2414100444489</v>
      </c>
      <c r="E470" t="str">
        <f t="shared" si="45"/>
        <v>519-757-3534</v>
      </c>
      <c r="F470" t="str">
        <f t="shared" si="46"/>
        <v>N3R 7J4</v>
      </c>
      <c r="G470" t="str">
        <f t="shared" si="47"/>
        <v>[ "Home Depot", 43.1630392918477, -80.2414100444489, '519-757-3534', 'N3R 7J4'],</v>
      </c>
    </row>
    <row r="471" spans="1:7" x14ac:dyDescent="0.2">
      <c r="A471" t="s">
        <v>483</v>
      </c>
      <c r="B471" t="str">
        <f t="shared" si="42"/>
        <v>Lowes</v>
      </c>
      <c r="C471" t="str">
        <f t="shared" si="43"/>
        <v>43.155372</v>
      </c>
      <c r="D471" t="str">
        <f t="shared" si="44"/>
        <v>-80.237796</v>
      </c>
      <c r="E471" t="str">
        <f t="shared" si="45"/>
        <v>519-720-2060</v>
      </c>
      <c r="F471" t="str">
        <f t="shared" si="46"/>
        <v>N3S 7R4</v>
      </c>
      <c r="G471" t="str">
        <f t="shared" si="47"/>
        <v>[ "Lowes", 43.155372, -80.237796, '519-720-2060', 'N3S 7R4'],</v>
      </c>
    </row>
    <row r="472" spans="1:7" x14ac:dyDescent="0.2">
      <c r="A472" t="s">
        <v>484</v>
      </c>
      <c r="B472" t="str">
        <f t="shared" si="42"/>
        <v>Princess Auto</v>
      </c>
      <c r="C472" t="str">
        <f t="shared" si="43"/>
        <v>43.155558</v>
      </c>
      <c r="D472" t="str">
        <f t="shared" si="44"/>
        <v>-80.236674</v>
      </c>
      <c r="E472" t="str">
        <f t="shared" si="45"/>
        <v>226-227-9440</v>
      </c>
      <c r="F472" t="str">
        <f t="shared" si="46"/>
        <v>N3S 7R4</v>
      </c>
      <c r="G472" t="str">
        <f t="shared" si="47"/>
        <v>[ "Princess Auto", 43.155558, -80.236674, '226-227-9440', 'N3S 7R4'],</v>
      </c>
    </row>
    <row r="473" spans="1:7" x14ac:dyDescent="0.2">
      <c r="A473" t="s">
        <v>485</v>
      </c>
      <c r="B473" t="str">
        <f t="shared" si="42"/>
        <v>Home Depot</v>
      </c>
      <c r="C473" t="str">
        <f t="shared" si="43"/>
        <v>43.4083843478261</v>
      </c>
      <c r="D473" t="str">
        <f t="shared" si="44"/>
        <v>-80.3258882608696</v>
      </c>
      <c r="E473" t="str">
        <f t="shared" si="45"/>
        <v>519-624-2700</v>
      </c>
      <c r="F473" t="str">
        <f t="shared" si="46"/>
        <v>N1R 8E2</v>
      </c>
      <c r="G473" t="str">
        <f t="shared" si="47"/>
        <v>[ "Home Depot", 43.4083843478261, -80.3258882608696, '519-624-2700', 'N1R 8E2'],</v>
      </c>
    </row>
    <row r="474" spans="1:7" x14ac:dyDescent="0.2">
      <c r="A474" t="s">
        <v>486</v>
      </c>
      <c r="B474" t="str">
        <f t="shared" si="42"/>
        <v>Staples</v>
      </c>
      <c r="C474" t="str">
        <f t="shared" si="43"/>
        <v>43.40852</v>
      </c>
      <c r="D474" t="str">
        <f t="shared" si="44"/>
        <v>-80.32515</v>
      </c>
      <c r="E474" t="str">
        <f t="shared" si="45"/>
        <v>519-622-5280</v>
      </c>
      <c r="F474" t="str">
        <f t="shared" si="46"/>
        <v>N1R 8K5</v>
      </c>
      <c r="G474" t="str">
        <f t="shared" si="47"/>
        <v>[ "Staples", 43.40852, -80.32515, '519-622-5280', 'N1R 8K5'],</v>
      </c>
    </row>
    <row r="475" spans="1:7" x14ac:dyDescent="0.2">
      <c r="A475" t="s">
        <v>487</v>
      </c>
      <c r="B475" t="str">
        <f t="shared" si="42"/>
        <v>Home Depot</v>
      </c>
      <c r="C475" t="str">
        <f t="shared" si="43"/>
        <v>43.40717</v>
      </c>
      <c r="D475" t="str">
        <f t="shared" si="44"/>
        <v>-80.38879</v>
      </c>
      <c r="E475" t="str">
        <f t="shared" si="45"/>
        <v>519-650-3900</v>
      </c>
      <c r="F475" t="str">
        <f t="shared" si="46"/>
        <v>N2P 2J4</v>
      </c>
      <c r="G475" t="str">
        <f t="shared" si="47"/>
        <v>[ "Home Depot", 43.40717, -80.38879, '519-650-3900', 'N2P 2J4'],</v>
      </c>
    </row>
    <row r="476" spans="1:7" x14ac:dyDescent="0.2">
      <c r="A476" t="s">
        <v>488</v>
      </c>
      <c r="B476" t="str">
        <f t="shared" si="42"/>
        <v>RONA</v>
      </c>
      <c r="C476" t="str">
        <f t="shared" si="43"/>
        <v>43.4093093872598</v>
      </c>
      <c r="D476" t="str">
        <f t="shared" si="44"/>
        <v>-80.3206893040419</v>
      </c>
      <c r="E476" t="str">
        <f t="shared" si="45"/>
        <v>519-623-5666</v>
      </c>
      <c r="F476" t="str">
        <f t="shared" si="46"/>
        <v>N1R 8K5</v>
      </c>
      <c r="G476" t="str">
        <f t="shared" si="47"/>
        <v>[ "RONA", 43.4093093872598, -80.3206893040419, '519-623-5666', 'N1R 8K5'],</v>
      </c>
    </row>
    <row r="477" spans="1:7" x14ac:dyDescent="0.2">
      <c r="A477" t="s">
        <v>489</v>
      </c>
      <c r="B477" t="str">
        <f t="shared" si="42"/>
        <v>Franklin Empire</v>
      </c>
      <c r="C477" t="str">
        <f t="shared" si="43"/>
        <v>43.4135169155933</v>
      </c>
      <c r="D477" t="str">
        <f t="shared" si="44"/>
        <v>-80.3784116489889</v>
      </c>
      <c r="E477" t="str">
        <f t="shared" si="45"/>
        <v>519-650-1182</v>
      </c>
      <c r="F477" t="str">
        <f t="shared" si="46"/>
        <v>N3H 4R7</v>
      </c>
      <c r="G477" t="str">
        <f t="shared" si="47"/>
        <v>[ "Franklin Empire", 43.4135169155933, -80.3784116489889, '519-650-1182', 'N3H 4R7'],</v>
      </c>
    </row>
    <row r="478" spans="1:7" x14ac:dyDescent="0.2">
      <c r="A478" t="s">
        <v>490</v>
      </c>
      <c r="B478" t="str">
        <f t="shared" si="42"/>
        <v>ListenUp! Canada</v>
      </c>
      <c r="C478" t="str">
        <f t="shared" si="43"/>
        <v>43.1474446153846</v>
      </c>
      <c r="D478" t="str">
        <f t="shared" si="44"/>
        <v>-80.2361169230769</v>
      </c>
      <c r="E478" t="str">
        <f t="shared" si="45"/>
        <v>519-753-4182</v>
      </c>
      <c r="F478" t="str">
        <f t="shared" si="46"/>
        <v>N3R 4X8</v>
      </c>
      <c r="G478" t="str">
        <f t="shared" si="47"/>
        <v>[ "ListenUp! Canada", 43.1474446153846, -80.2361169230769, '519-753-4182', 'N3R 4X8'],</v>
      </c>
    </row>
    <row r="479" spans="1:7" x14ac:dyDescent="0.2">
      <c r="A479" t="s">
        <v>491</v>
      </c>
      <c r="B479" t="str">
        <f t="shared" si="42"/>
        <v>Sears (Canada)</v>
      </c>
      <c r="C479" t="str">
        <f t="shared" si="43"/>
        <v>43.42337</v>
      </c>
      <c r="D479" t="str">
        <f t="shared" si="44"/>
        <v>-80.4358</v>
      </c>
      <c r="E479" t="str">
        <f t="shared" si="45"/>
        <v>519-894-2300</v>
      </c>
      <c r="F479" t="str">
        <f t="shared" si="46"/>
        <v>N2C 1W9</v>
      </c>
      <c r="G479" t="str">
        <f t="shared" si="47"/>
        <v>[ "Sears (Canada)", 43.42337, -80.4358, '519-894-2300', 'N2C 1W9'],</v>
      </c>
    </row>
    <row r="480" spans="1:7" x14ac:dyDescent="0.2">
      <c r="A480" t="s">
        <v>492</v>
      </c>
      <c r="B480" t="str">
        <f t="shared" si="42"/>
        <v>The Source</v>
      </c>
      <c r="C480" t="str">
        <f t="shared" si="43"/>
        <v>43.42442</v>
      </c>
      <c r="D480" t="str">
        <f t="shared" si="44"/>
        <v>-80.44121</v>
      </c>
      <c r="E480" t="str">
        <f t="shared" si="45"/>
        <v>519-893-2916</v>
      </c>
      <c r="F480" t="str">
        <f t="shared" si="46"/>
        <v>N2C 1X1</v>
      </c>
      <c r="G480" t="str">
        <f t="shared" si="47"/>
        <v>[ "The Source", 43.42442, -80.44121, '519-893-2916', 'N2C 1X1'],</v>
      </c>
    </row>
    <row r="481" spans="1:7" x14ac:dyDescent="0.2">
      <c r="A481" t="s">
        <v>493</v>
      </c>
      <c r="B481" t="str">
        <f t="shared" si="42"/>
        <v>Best Buy</v>
      </c>
      <c r="C481" t="str">
        <f t="shared" si="43"/>
        <v>43.42442</v>
      </c>
      <c r="D481" t="str">
        <f t="shared" si="44"/>
        <v>-80.44121</v>
      </c>
      <c r="E481" t="str">
        <f t="shared" si="45"/>
        <v>--</v>
      </c>
      <c r="F481" t="str">
        <f t="shared" si="46"/>
        <v>N2C 1X1</v>
      </c>
      <c r="G481" t="str">
        <f t="shared" si="47"/>
        <v>[ "Best Buy", 43.42442, -80.44121, '--', 'N2C 1X1'],</v>
      </c>
    </row>
    <row r="482" spans="1:7" x14ac:dyDescent="0.2">
      <c r="A482" t="s">
        <v>494</v>
      </c>
      <c r="B482" t="str">
        <f t="shared" si="42"/>
        <v>MRC Systems Inc.</v>
      </c>
      <c r="C482" t="str">
        <f t="shared" si="43"/>
        <v>43.4234743216091</v>
      </c>
      <c r="D482" t="str">
        <f t="shared" si="44"/>
        <v>-80.4780417587932</v>
      </c>
      <c r="E482" t="str">
        <f t="shared" si="45"/>
        <v>519-749-1763</v>
      </c>
      <c r="F482" t="str">
        <f t="shared" si="46"/>
        <v>N2E 2M7</v>
      </c>
      <c r="G482" t="str">
        <f t="shared" si="47"/>
        <v>[ "MRC Systems Inc.", 43.4234743216091, -80.4780417587932, '519-749-1763', 'N2E 2M7'],</v>
      </c>
    </row>
    <row r="483" spans="1:7" x14ac:dyDescent="0.2">
      <c r="A483" t="s">
        <v>495</v>
      </c>
      <c r="B483" t="str">
        <f t="shared" si="42"/>
        <v>Staples</v>
      </c>
      <c r="C483" t="str">
        <f t="shared" si="43"/>
        <v>43.4243164273263</v>
      </c>
      <c r="D483" t="str">
        <f t="shared" si="44"/>
        <v>-80.4892616533735</v>
      </c>
      <c r="E483" t="str">
        <f t="shared" si="45"/>
        <v>519-571-7420</v>
      </c>
      <c r="F483" t="str">
        <f t="shared" si="46"/>
        <v>N2E 3W7</v>
      </c>
      <c r="G483" t="str">
        <f t="shared" si="47"/>
        <v>[ "Staples", 43.4243164273263, -80.4892616533735, '519-571-7420', 'N2E 3W7'],</v>
      </c>
    </row>
    <row r="484" spans="1:7" x14ac:dyDescent="0.2">
      <c r="A484" t="s">
        <v>496</v>
      </c>
      <c r="B484" t="str">
        <f t="shared" si="42"/>
        <v>Batteries Expert</v>
      </c>
      <c r="C484" t="str">
        <f t="shared" si="43"/>
        <v>43.4316403871121</v>
      </c>
      <c r="D484" t="str">
        <f t="shared" si="44"/>
        <v>-80.4788023226726</v>
      </c>
      <c r="E484" t="str">
        <f t="shared" si="45"/>
        <v>519-578-0938</v>
      </c>
      <c r="F484" t="str">
        <f t="shared" si="46"/>
        <v>N2M 3M4</v>
      </c>
      <c r="G484" t="str">
        <f t="shared" si="47"/>
        <v>[ "Batteries Expert", 43.4316403871121, -80.4788023226726, '519-578-0938', 'N2M 3M4'],</v>
      </c>
    </row>
    <row r="485" spans="1:7" x14ac:dyDescent="0.2">
      <c r="A485" t="s">
        <v>497</v>
      </c>
      <c r="B485" t="str">
        <f t="shared" si="42"/>
        <v>Home Depot</v>
      </c>
      <c r="C485" t="str">
        <f t="shared" si="43"/>
        <v>43.4142537565135</v>
      </c>
      <c r="D485" t="str">
        <f t="shared" si="44"/>
        <v>-80.5141950333888</v>
      </c>
      <c r="E485" t="str">
        <f t="shared" si="45"/>
        <v>519-569-4300</v>
      </c>
      <c r="F485" t="str">
        <f t="shared" si="46"/>
        <v>N2E 4E2</v>
      </c>
      <c r="G485" t="str">
        <f t="shared" si="47"/>
        <v>[ "Home Depot", 43.4142537565135, -80.5141950333888, '519-569-4300', 'N2E 4E2'],</v>
      </c>
    </row>
    <row r="486" spans="1:7" x14ac:dyDescent="0.2">
      <c r="A486" t="s">
        <v>499</v>
      </c>
      <c r="B486" t="str">
        <f t="shared" si="42"/>
        <v>The Source</v>
      </c>
      <c r="C486" t="str">
        <f t="shared" si="43"/>
        <v>43.6381556155065</v>
      </c>
      <c r="D486" t="str">
        <f t="shared" si="44"/>
        <v>-80.027431468731</v>
      </c>
      <c r="E486" t="str">
        <f t="shared" si="45"/>
        <v>519-853-1066</v>
      </c>
      <c r="F486" t="str">
        <f t="shared" si="46"/>
        <v>L7J 2Y5</v>
      </c>
      <c r="G486" t="str">
        <f t="shared" si="47"/>
        <v>[ "The Source", 43.6381556155065, -80.027431468731, '519-853-1066', 'L7J 2Y5'],</v>
      </c>
    </row>
    <row r="487" spans="1:7" x14ac:dyDescent="0.2">
      <c r="A487" t="s">
        <v>500</v>
      </c>
      <c r="B487" t="str">
        <f t="shared" si="42"/>
        <v>City of Guelph HHW Depot</v>
      </c>
      <c r="C487" t="str">
        <f t="shared" si="43"/>
        <v>43.5547519800794</v>
      </c>
      <c r="D487" t="str">
        <f t="shared" si="44"/>
        <v>-80.1998674375443</v>
      </c>
      <c r="E487" t="str">
        <f t="shared" si="45"/>
        <v>519-767-0598</v>
      </c>
      <c r="F487" t="str">
        <f t="shared" si="46"/>
        <v>N1L 1P4</v>
      </c>
      <c r="G487" t="str">
        <f t="shared" si="47"/>
        <v>[ "City of Guelph HHW Depot", 43.5547519800794, -80.1998674375443, '519-767-0598', 'N1L 1P4'],</v>
      </c>
    </row>
    <row r="488" spans="1:7" x14ac:dyDescent="0.2">
      <c r="A488" t="s">
        <v>501</v>
      </c>
      <c r="B488" t="str">
        <f t="shared" si="42"/>
        <v>Deker Electric Ltd</v>
      </c>
      <c r="C488" t="str">
        <f t="shared" si="43"/>
        <v>43.65154</v>
      </c>
      <c r="D488" t="str">
        <f t="shared" si="44"/>
        <v>-79.92861</v>
      </c>
      <c r="E488" t="str">
        <f t="shared" si="45"/>
        <v>905-702-0515</v>
      </c>
      <c r="F488" t="str">
        <f t="shared" si="46"/>
        <v>L7G 4B5</v>
      </c>
      <c r="G488" t="str">
        <f t="shared" si="47"/>
        <v>[ "Deker Electric Ltd", 43.65154, -79.92861, '905-702-0515', 'L7G 4B5'],</v>
      </c>
    </row>
    <row r="489" spans="1:7" x14ac:dyDescent="0.2">
      <c r="A489" t="s">
        <v>502</v>
      </c>
      <c r="B489" t="str">
        <f t="shared" si="42"/>
        <v>The UPS Store</v>
      </c>
      <c r="C489" t="str">
        <f t="shared" si="43"/>
        <v>43.6505627272727</v>
      </c>
      <c r="D489" t="str">
        <f t="shared" si="44"/>
        <v>-79.9088590909091</v>
      </c>
      <c r="E489" t="str">
        <f t="shared" si="45"/>
        <v>905-873-2781</v>
      </c>
      <c r="F489" t="str">
        <f t="shared" si="46"/>
        <v>L7G 5X7</v>
      </c>
      <c r="G489" t="str">
        <f t="shared" si="47"/>
        <v>[ "The UPS Store", 43.6505627272727, -79.9088590909091, '905-873-2781', 'L7G 5X7'],</v>
      </c>
    </row>
    <row r="490" spans="1:7" x14ac:dyDescent="0.2">
      <c r="A490" t="s">
        <v>503</v>
      </c>
      <c r="B490" t="str">
        <f t="shared" si="42"/>
        <v>The Source</v>
      </c>
      <c r="C490" t="str">
        <f t="shared" si="43"/>
        <v>43.6498857142857</v>
      </c>
      <c r="D490" t="str">
        <f t="shared" si="44"/>
        <v>-79.8959142857143</v>
      </c>
      <c r="E490" t="str">
        <f t="shared" si="45"/>
        <v>905-877-8693</v>
      </c>
      <c r="F490" t="str">
        <f t="shared" si="46"/>
        <v>L7G 4B1</v>
      </c>
      <c r="G490" t="str">
        <f t="shared" si="47"/>
        <v>[ "The Source", 43.6498857142857, -79.8959142857143, '905-877-8693', 'L7G 4B1'],</v>
      </c>
    </row>
    <row r="491" spans="1:7" x14ac:dyDescent="0.2">
      <c r="A491" t="s">
        <v>504</v>
      </c>
      <c r="B491" t="str">
        <f t="shared" si="42"/>
        <v>ListenUp! Canada</v>
      </c>
      <c r="C491" t="str">
        <f t="shared" si="43"/>
        <v>43.5605428595857</v>
      </c>
      <c r="D491" t="str">
        <f t="shared" si="44"/>
        <v>-80.2712401819304</v>
      </c>
      <c r="E491" t="str">
        <f t="shared" si="45"/>
        <v>519-767-5500</v>
      </c>
      <c r="F491" t="str">
        <f t="shared" si="46"/>
        <v>N1H 3Z1</v>
      </c>
      <c r="G491" t="str">
        <f t="shared" si="47"/>
        <v>[ "ListenUp! Canada", 43.5605428595857, -80.2712401819304, '519-767-5500', 'N1H 3Z1'],</v>
      </c>
    </row>
    <row r="492" spans="1:7" x14ac:dyDescent="0.2">
      <c r="A492" t="s">
        <v>505</v>
      </c>
      <c r="B492" t="str">
        <f t="shared" si="42"/>
        <v>Staples</v>
      </c>
      <c r="C492" t="str">
        <f t="shared" si="43"/>
        <v>43.5659664168708</v>
      </c>
      <c r="D492" t="str">
        <f t="shared" si="44"/>
        <v>-80.2761626391892</v>
      </c>
      <c r="E492" t="str">
        <f t="shared" si="45"/>
        <v>519-822-2344</v>
      </c>
      <c r="F492" t="str">
        <f t="shared" si="46"/>
        <v>N1H 1G7</v>
      </c>
      <c r="G492" t="str">
        <f t="shared" si="47"/>
        <v>[ "Staples", 43.5659664168708, -80.2761626391892, '519-822-2344', 'N1H 1G7'],</v>
      </c>
    </row>
    <row r="493" spans="1:7" x14ac:dyDescent="0.2">
      <c r="A493" t="s">
        <v>506</v>
      </c>
      <c r="B493" t="str">
        <f t="shared" si="42"/>
        <v>ListenUp! Canada</v>
      </c>
      <c r="C493" t="str">
        <f t="shared" si="43"/>
        <v>43.6495412602003</v>
      </c>
      <c r="D493" t="str">
        <f t="shared" si="44"/>
        <v>-79.8896765710905</v>
      </c>
      <c r="E493" t="str">
        <f t="shared" si="45"/>
        <v>905-702-1945</v>
      </c>
      <c r="F493" t="str">
        <f t="shared" si="46"/>
        <v>L7G 4B5</v>
      </c>
      <c r="G493" t="str">
        <f t="shared" si="47"/>
        <v>[ "ListenUp! Canada", 43.6495412602003, -79.8896765710905, '905-702-1945', 'L7G 4B5'],</v>
      </c>
    </row>
    <row r="494" spans="1:7" x14ac:dyDescent="0.2">
      <c r="A494" t="s">
        <v>507</v>
      </c>
      <c r="B494" t="str">
        <f t="shared" si="42"/>
        <v>Canadian Tire</v>
      </c>
      <c r="C494" t="str">
        <f t="shared" si="43"/>
        <v>43.6493977405453</v>
      </c>
      <c r="D494" t="str">
        <f t="shared" si="44"/>
        <v>-79.8871084649661</v>
      </c>
      <c r="E494" t="str">
        <f t="shared" si="45"/>
        <v>905-877-5289</v>
      </c>
      <c r="F494" t="str">
        <f t="shared" si="46"/>
        <v>L7G 4B3</v>
      </c>
      <c r="G494" t="str">
        <f t="shared" si="47"/>
        <v>[ "Canadian Tire", 43.6493977405453, -79.8871084649661, '905-877-5289', 'L7G 4B3'],</v>
      </c>
    </row>
    <row r="495" spans="1:7" x14ac:dyDescent="0.2">
      <c r="A495" t="s">
        <v>508</v>
      </c>
      <c r="B495" t="str">
        <f t="shared" si="42"/>
        <v>Home Depot</v>
      </c>
      <c r="C495" t="str">
        <f t="shared" si="43"/>
        <v>43.56155</v>
      </c>
      <c r="D495" t="str">
        <f t="shared" si="44"/>
        <v>-80.2822</v>
      </c>
      <c r="E495" t="str">
        <f t="shared" si="45"/>
        <v>519-780-3400</v>
      </c>
      <c r="F495" t="str">
        <f t="shared" si="46"/>
        <v>N1H 1G8</v>
      </c>
      <c r="G495" t="str">
        <f t="shared" si="47"/>
        <v>[ "Home Depot", 43.56155, -80.2822, '519-780-3400', 'N1H 1G8'],</v>
      </c>
    </row>
    <row r="496" spans="1:7" x14ac:dyDescent="0.2">
      <c r="A496" t="s">
        <v>509</v>
      </c>
      <c r="B496" t="str">
        <f t="shared" si="42"/>
        <v>Staples</v>
      </c>
      <c r="C496" t="str">
        <f t="shared" si="43"/>
        <v>43.51797</v>
      </c>
      <c r="D496" t="str">
        <f t="shared" si="44"/>
        <v>-80.23639</v>
      </c>
      <c r="E496" t="str">
        <f t="shared" si="45"/>
        <v>519-763-4205</v>
      </c>
      <c r="F496" t="str">
        <f t="shared" si="46"/>
        <v>N1G 4V9</v>
      </c>
      <c r="G496" t="str">
        <f t="shared" si="47"/>
        <v>[ "Staples", 43.51797, -80.23639, '519-763-4205', 'N1G 4V9'],</v>
      </c>
    </row>
    <row r="497" spans="1:7" x14ac:dyDescent="0.2">
      <c r="A497" t="s">
        <v>510</v>
      </c>
      <c r="B497" t="str">
        <f t="shared" si="42"/>
        <v>The Source</v>
      </c>
      <c r="C497" t="str">
        <f t="shared" si="43"/>
        <v>43.5168533333333</v>
      </c>
      <c r="D497" t="str">
        <f t="shared" si="44"/>
        <v>-80.2378733333333</v>
      </c>
      <c r="E497" t="str">
        <f t="shared" si="45"/>
        <v>519-822-9929</v>
      </c>
      <c r="F497" t="str">
        <f t="shared" si="46"/>
        <v>N1G 2X6</v>
      </c>
      <c r="G497" t="str">
        <f t="shared" si="47"/>
        <v>[ "The Source", 43.5168533333333, -80.2378733333333, '519-822-9929', 'N1G 2X6'],</v>
      </c>
    </row>
    <row r="498" spans="1:7" x14ac:dyDescent="0.2">
      <c r="A498" t="s">
        <v>511</v>
      </c>
      <c r="B498" t="str">
        <f t="shared" si="42"/>
        <v>Canadian Tire</v>
      </c>
      <c r="C498" t="str">
        <f t="shared" si="43"/>
        <v>43.5415727</v>
      </c>
      <c r="D498" t="str">
        <f t="shared" si="44"/>
        <v>-79.8715343</v>
      </c>
      <c r="E498" t="str">
        <f t="shared" si="45"/>
        <v>905-878-2349</v>
      </c>
      <c r="F498" t="str">
        <f t="shared" si="46"/>
        <v>L9T 6R1</v>
      </c>
      <c r="G498" t="str">
        <f t="shared" si="47"/>
        <v>[ "Canadian Tire", 43.5415727, -79.8715343, '905-878-2349', 'L9T 6R1'],</v>
      </c>
    </row>
    <row r="499" spans="1:7" x14ac:dyDescent="0.2">
      <c r="A499" t="s">
        <v>512</v>
      </c>
      <c r="B499" t="str">
        <f t="shared" si="42"/>
        <v>Staples</v>
      </c>
      <c r="C499" t="str">
        <f t="shared" si="43"/>
        <v>43.5417045</v>
      </c>
      <c r="D499" t="str">
        <f t="shared" si="44"/>
        <v>-79.8713099</v>
      </c>
      <c r="E499" t="str">
        <f t="shared" si="45"/>
        <v>905-878-2434</v>
      </c>
      <c r="F499" t="str">
        <f t="shared" si="46"/>
        <v>L9T 6R1</v>
      </c>
      <c r="G499" t="str">
        <f t="shared" si="47"/>
        <v>[ "Staples", 43.5417045, -79.8713099, '905-878-2434', 'L9T 6R1'],</v>
      </c>
    </row>
    <row r="500" spans="1:7" x14ac:dyDescent="0.2">
      <c r="A500" t="s">
        <v>513</v>
      </c>
      <c r="B500" t="str">
        <f t="shared" si="42"/>
        <v>Home Depot</v>
      </c>
      <c r="C500" t="str">
        <f t="shared" si="43"/>
        <v>43.53572</v>
      </c>
      <c r="D500" t="str">
        <f t="shared" si="44"/>
        <v>-79.87415</v>
      </c>
      <c r="E500" t="str">
        <f t="shared" si="45"/>
        <v>905-864-1200</v>
      </c>
      <c r="F500" t="str">
        <f t="shared" si="46"/>
        <v>L9T 0A5</v>
      </c>
      <c r="G500" t="str">
        <f t="shared" si="47"/>
        <v>[ "Home Depot", 43.53572, -79.87415, '905-864-1200', 'L9T 0A5'],</v>
      </c>
    </row>
    <row r="501" spans="1:7" x14ac:dyDescent="0.2">
      <c r="A501" t="s">
        <v>514</v>
      </c>
      <c r="B501" t="str">
        <f t="shared" si="42"/>
        <v>Canadian Tire</v>
      </c>
      <c r="C501" t="str">
        <f t="shared" si="43"/>
        <v>43.6914476674055</v>
      </c>
      <c r="D501" t="str">
        <f t="shared" si="44"/>
        <v>-80.3603031196803</v>
      </c>
      <c r="E501" t="str">
        <f t="shared" si="45"/>
        <v>519-843-3680</v>
      </c>
      <c r="F501" t="str">
        <f t="shared" si="46"/>
        <v>N1M 3N7</v>
      </c>
      <c r="G501" t="str">
        <f t="shared" si="47"/>
        <v>[ "Canadian Tire", 43.6914476674055, -80.3603031196803, '519-843-3680', 'N1M 3N7'],</v>
      </c>
    </row>
    <row r="502" spans="1:7" x14ac:dyDescent="0.2">
      <c r="A502" t="s">
        <v>515</v>
      </c>
      <c r="B502" t="str">
        <f t="shared" si="42"/>
        <v>The Source</v>
      </c>
      <c r="C502" t="str">
        <f t="shared" si="43"/>
        <v>43.6945291057203</v>
      </c>
      <c r="D502" t="str">
        <f t="shared" si="44"/>
        <v>-80.3645413918637</v>
      </c>
      <c r="E502" t="str">
        <f t="shared" si="45"/>
        <v>519-843-2982</v>
      </c>
      <c r="F502" t="str">
        <f t="shared" si="46"/>
        <v>N1M 3N7</v>
      </c>
      <c r="G502" t="str">
        <f t="shared" si="47"/>
        <v>[ "The Source", 43.6945291057203, -80.3645413918637, '519-843-2982', 'N1M 3N7'],</v>
      </c>
    </row>
    <row r="503" spans="1:7" x14ac:dyDescent="0.2">
      <c r="A503" t="s">
        <v>516</v>
      </c>
      <c r="B503" t="str">
        <f t="shared" si="42"/>
        <v>Home Depot</v>
      </c>
      <c r="C503" t="str">
        <f t="shared" si="43"/>
        <v>43.6573580898888</v>
      </c>
      <c r="D503" t="str">
        <f t="shared" si="44"/>
        <v>-79.8165908828266</v>
      </c>
      <c r="E503" t="str">
        <f t="shared" si="45"/>
        <v>905-457-1800</v>
      </c>
      <c r="F503" t="str">
        <f t="shared" si="46"/>
        <v>L6X 0Z8</v>
      </c>
      <c r="G503" t="str">
        <f t="shared" si="47"/>
        <v>[ "Home Depot", 43.6573580898888, -79.8165908828266, '905-457-1800', 'L6X 0Z8'],</v>
      </c>
    </row>
    <row r="504" spans="1:7" x14ac:dyDescent="0.2">
      <c r="A504" t="s">
        <v>518</v>
      </c>
      <c r="B504" t="str">
        <f t="shared" si="42"/>
        <v>Home Depot</v>
      </c>
      <c r="C504" t="str">
        <f t="shared" si="43"/>
        <v>43.11613</v>
      </c>
      <c r="D504" t="str">
        <f t="shared" si="44"/>
        <v>-80.72925</v>
      </c>
      <c r="E504" t="str">
        <f t="shared" si="45"/>
        <v>519-421-5500</v>
      </c>
      <c r="F504" t="str">
        <f t="shared" si="46"/>
        <v>N4V 1B9</v>
      </c>
      <c r="G504" t="str">
        <f t="shared" si="47"/>
        <v>[ "Home Depot", 43.11613, -80.72925, '519-421-5500', 'N4V 1B9'],</v>
      </c>
    </row>
    <row r="505" spans="1:7" x14ac:dyDescent="0.2">
      <c r="A505" t="s">
        <v>519</v>
      </c>
      <c r="B505" t="str">
        <f t="shared" si="42"/>
        <v>K.C.s Repair Centre</v>
      </c>
      <c r="C505" t="str">
        <f t="shared" si="43"/>
        <v>43.2072454545455</v>
      </c>
      <c r="D505" t="str">
        <f t="shared" si="44"/>
        <v>-80.6978127272727</v>
      </c>
      <c r="E505" t="str">
        <f t="shared" si="45"/>
        <v>519-469-3351</v>
      </c>
      <c r="F505" t="str">
        <f t="shared" si="46"/>
        <v>N0J 1M0</v>
      </c>
      <c r="G505" t="str">
        <f t="shared" si="47"/>
        <v>[ "K.C.s Repair Centre", 43.2072454545455, -80.6978127272727, '519-469-3351', 'N0J 1M0'],</v>
      </c>
    </row>
    <row r="506" spans="1:7" x14ac:dyDescent="0.2">
      <c r="A506" t="s">
        <v>520</v>
      </c>
      <c r="B506" t="str">
        <f t="shared" si="42"/>
        <v>Staples</v>
      </c>
      <c r="C506" t="str">
        <f t="shared" si="43"/>
        <v>43.1158086046512</v>
      </c>
      <c r="D506" t="str">
        <f t="shared" si="44"/>
        <v>-80.7378265116279</v>
      </c>
      <c r="E506" t="str">
        <f t="shared" si="45"/>
        <v>519-421-3202</v>
      </c>
      <c r="F506" t="str">
        <f t="shared" si="46"/>
        <v>N4S 9A2</v>
      </c>
      <c r="G506" t="str">
        <f t="shared" si="47"/>
        <v>[ "Staples", 43.1158086046512, -80.7378265116279, '519-421-3202', 'N4S 9A2'],</v>
      </c>
    </row>
    <row r="507" spans="1:7" x14ac:dyDescent="0.2">
      <c r="A507" t="s">
        <v>521</v>
      </c>
      <c r="B507" t="str">
        <f t="shared" si="42"/>
        <v>The Source</v>
      </c>
      <c r="C507" t="str">
        <f t="shared" si="43"/>
        <v>43.1162686666667</v>
      </c>
      <c r="D507" t="str">
        <f t="shared" si="44"/>
        <v>-80.7379913333333</v>
      </c>
      <c r="E507" t="str">
        <f t="shared" si="45"/>
        <v>519-539-3339</v>
      </c>
      <c r="F507" t="str">
        <f t="shared" si="46"/>
        <v>N4S 9A2</v>
      </c>
      <c r="G507" t="str">
        <f t="shared" si="47"/>
        <v>[ "The Source", 43.1162686666667, -80.7379913333333, '519-539-3339', 'N4S 9A2'],</v>
      </c>
    </row>
    <row r="508" spans="1:7" x14ac:dyDescent="0.2">
      <c r="A508" t="s">
        <v>522</v>
      </c>
      <c r="B508" t="str">
        <f t="shared" si="42"/>
        <v>ListenUp! Canada</v>
      </c>
      <c r="C508" t="str">
        <f t="shared" si="43"/>
        <v>43.13</v>
      </c>
      <c r="D508" t="str">
        <f t="shared" si="44"/>
        <v>-80.7573725</v>
      </c>
      <c r="E508" t="str">
        <f t="shared" si="45"/>
        <v>519-537-8361</v>
      </c>
      <c r="F508" t="str">
        <f t="shared" si="46"/>
        <v>N4S 1C2</v>
      </c>
      <c r="G508" t="str">
        <f t="shared" si="47"/>
        <v>[ "ListenUp! Canada", 43.13, -80.7573725, '519-537-8361', 'N4S 1C2'],</v>
      </c>
    </row>
    <row r="509" spans="1:7" x14ac:dyDescent="0.2">
      <c r="A509" t="s">
        <v>523</v>
      </c>
      <c r="B509" t="str">
        <f t="shared" si="42"/>
        <v>Staples</v>
      </c>
      <c r="C509" t="str">
        <f t="shared" si="43"/>
        <v>43.1693666109149</v>
      </c>
      <c r="D509" t="str">
        <f t="shared" si="44"/>
        <v>-80.2479792495133</v>
      </c>
      <c r="E509" t="str">
        <f t="shared" si="45"/>
        <v>519-752-3367</v>
      </c>
      <c r="F509" t="str">
        <f t="shared" si="46"/>
        <v>N3R 7C5</v>
      </c>
      <c r="G509" t="str">
        <f t="shared" si="47"/>
        <v>[ "Staples", 43.1693666109149, -80.2479792495133, '519-752-3367', 'N3R 7C5'],</v>
      </c>
    </row>
    <row r="510" spans="1:7" x14ac:dyDescent="0.2">
      <c r="A510" t="s">
        <v>524</v>
      </c>
      <c r="B510" t="str">
        <f t="shared" si="42"/>
        <v>Home Depot</v>
      </c>
      <c r="C510" t="str">
        <f t="shared" si="43"/>
        <v>43.1630392918477</v>
      </c>
      <c r="D510" t="str">
        <f t="shared" si="44"/>
        <v>-80.2414100444489</v>
      </c>
      <c r="E510" t="str">
        <f t="shared" si="45"/>
        <v>519-757-3534</v>
      </c>
      <c r="F510" t="str">
        <f t="shared" si="46"/>
        <v>N3R 7J4</v>
      </c>
      <c r="G510" t="str">
        <f t="shared" si="47"/>
        <v>[ "Home Depot", 43.1630392918477, -80.2414100444489, '519-757-3534', 'N3R 7J4'],</v>
      </c>
    </row>
    <row r="511" spans="1:7" x14ac:dyDescent="0.2">
      <c r="A511" t="s">
        <v>525</v>
      </c>
      <c r="B511" t="str">
        <f t="shared" si="42"/>
        <v>ListenUp! Canada</v>
      </c>
      <c r="C511" t="str">
        <f t="shared" si="43"/>
        <v>43.1474446153846</v>
      </c>
      <c r="D511" t="str">
        <f t="shared" si="44"/>
        <v>-80.2361169230769</v>
      </c>
      <c r="E511" t="str">
        <f t="shared" si="45"/>
        <v>519-753-4182</v>
      </c>
      <c r="F511" t="str">
        <f t="shared" si="46"/>
        <v>N3R 4X8</v>
      </c>
      <c r="G511" t="str">
        <f t="shared" si="47"/>
        <v>[ "ListenUp! Canada", 43.1474446153846, -80.2361169230769, '519-753-4182', 'N3R 4X8'],</v>
      </c>
    </row>
    <row r="512" spans="1:7" x14ac:dyDescent="0.2">
      <c r="A512" t="s">
        <v>526</v>
      </c>
      <c r="B512" t="str">
        <f t="shared" si="42"/>
        <v>Lowes</v>
      </c>
      <c r="C512" t="str">
        <f t="shared" si="43"/>
        <v>43.155372</v>
      </c>
      <c r="D512" t="str">
        <f t="shared" si="44"/>
        <v>-80.237796</v>
      </c>
      <c r="E512" t="str">
        <f t="shared" si="45"/>
        <v>519-720-2060</v>
      </c>
      <c r="F512" t="str">
        <f t="shared" si="46"/>
        <v>N3S 7R4</v>
      </c>
      <c r="G512" t="str">
        <f t="shared" si="47"/>
        <v>[ "Lowes", 43.155372, -80.237796, '519-720-2060', 'N3S 7R4'],</v>
      </c>
    </row>
    <row r="513" spans="1:7" x14ac:dyDescent="0.2">
      <c r="A513" t="s">
        <v>527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The Source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43.1733746666667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-80.242096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519-759-8462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N3R 6B8</v>
      </c>
      <c r="G513" t="str">
        <f t="shared" ref="G513:G576" si="53">"[ "&amp;CHAR(34)&amp;B513&amp;CHAR(34)&amp;", "&amp;C513&amp;", "&amp;D513&amp;", '"&amp;E513&amp;"', '"&amp;F513&amp;"'],"</f>
        <v>[ "The Source", 43.1733746666667, -80.242096, '519-759-8462', 'N3R 6B8'],</v>
      </c>
    </row>
    <row r="514" spans="1:7" x14ac:dyDescent="0.2">
      <c r="A514" t="s">
        <v>528</v>
      </c>
      <c r="B514" t="str">
        <f t="shared" si="48"/>
        <v>Princess Auto</v>
      </c>
      <c r="C514" t="str">
        <f t="shared" si="49"/>
        <v>43.155558</v>
      </c>
      <c r="D514" t="str">
        <f t="shared" si="50"/>
        <v>-80.236674</v>
      </c>
      <c r="E514" t="str">
        <f t="shared" si="51"/>
        <v>226-227-9440</v>
      </c>
      <c r="F514" t="str">
        <f t="shared" si="52"/>
        <v>N3S 7R4</v>
      </c>
      <c r="G514" t="str">
        <f t="shared" si="53"/>
        <v>[ "Princess Auto", 43.155558, -80.236674, '226-227-9440', 'N3S 7R4'],</v>
      </c>
    </row>
    <row r="515" spans="1:7" x14ac:dyDescent="0.2">
      <c r="A515" t="s">
        <v>530</v>
      </c>
      <c r="B515" t="str">
        <f t="shared" si="48"/>
        <v>ListenUp Canada</v>
      </c>
      <c r="C515" t="str">
        <f t="shared" si="49"/>
        <v>43.0405984210526</v>
      </c>
      <c r="D515" t="str">
        <f t="shared" si="50"/>
        <v>-80.8850492105263</v>
      </c>
      <c r="E515" t="str">
        <f t="shared" si="51"/>
        <v>519-485-1671</v>
      </c>
      <c r="F515" t="str">
        <f t="shared" si="52"/>
        <v>N5C 4B1</v>
      </c>
      <c r="G515" t="str">
        <f t="shared" si="53"/>
        <v>[ "ListenUp Canada", 43.0405984210526, -80.8850492105263, '519-485-1671', 'N5C 4B1'],</v>
      </c>
    </row>
    <row r="516" spans="1:7" x14ac:dyDescent="0.2">
      <c r="A516" t="s">
        <v>531</v>
      </c>
      <c r="B516" t="str">
        <f t="shared" si="48"/>
        <v>Canadian Tire</v>
      </c>
      <c r="C516" t="str">
        <f t="shared" si="49"/>
        <v>43.0416027272727</v>
      </c>
      <c r="D516" t="str">
        <f t="shared" si="50"/>
        <v>-80.8822027272727</v>
      </c>
      <c r="E516" t="str">
        <f t="shared" si="51"/>
        <v>519-485-3900</v>
      </c>
      <c r="F516" t="str">
        <f t="shared" si="52"/>
        <v>N5C 1S5</v>
      </c>
      <c r="G516" t="str">
        <f t="shared" si="53"/>
        <v>[ "Canadian Tire", 43.0416027272727, -80.8822027272727, '519-485-3900', 'N5C 1S5'],</v>
      </c>
    </row>
    <row r="517" spans="1:7" x14ac:dyDescent="0.2">
      <c r="A517" t="s">
        <v>532</v>
      </c>
      <c r="B517" t="str">
        <f t="shared" si="48"/>
        <v>The Source</v>
      </c>
      <c r="C517" t="str">
        <f t="shared" si="49"/>
        <v>42.86217</v>
      </c>
      <c r="D517" t="str">
        <f t="shared" si="50"/>
        <v>-80.72937</v>
      </c>
      <c r="E517" t="str">
        <f t="shared" si="51"/>
        <v>519-842-7916</v>
      </c>
      <c r="F517" t="str">
        <f t="shared" si="52"/>
        <v>N4G 5A7</v>
      </c>
      <c r="G517" t="str">
        <f t="shared" si="53"/>
        <v>[ "The Source", 42.86217, -80.72937, '519-842-7916', 'N4G 5A7'],</v>
      </c>
    </row>
    <row r="518" spans="1:7" x14ac:dyDescent="0.2">
      <c r="A518" t="s">
        <v>533</v>
      </c>
      <c r="B518" t="str">
        <f t="shared" si="48"/>
        <v>Staples</v>
      </c>
      <c r="C518" t="str">
        <f t="shared" si="49"/>
        <v>42.86217</v>
      </c>
      <c r="D518" t="str">
        <f t="shared" si="50"/>
        <v>-80.72937</v>
      </c>
      <c r="E518" t="str">
        <f t="shared" si="51"/>
        <v>519-688-2196</v>
      </c>
      <c r="F518" t="str">
        <f t="shared" si="52"/>
        <v>N4G 5A7</v>
      </c>
      <c r="G518" t="str">
        <f t="shared" si="53"/>
        <v>[ "Staples", 42.86217, -80.72937, '519-688-2196', 'N4G 5A7'],</v>
      </c>
    </row>
    <row r="519" spans="1:7" x14ac:dyDescent="0.2">
      <c r="A519" t="s">
        <v>534</v>
      </c>
      <c r="B519" t="str">
        <f t="shared" si="48"/>
        <v>Canadian Tire</v>
      </c>
      <c r="C519" t="str">
        <f t="shared" si="49"/>
        <v>43.0062405882353</v>
      </c>
      <c r="D519" t="str">
        <f t="shared" si="50"/>
        <v>-81.1704935294118</v>
      </c>
      <c r="E519" t="str">
        <f t="shared" si="51"/>
        <v>519-451-6260</v>
      </c>
      <c r="F519" t="str">
        <f t="shared" si="52"/>
        <v>N5V 4Y5</v>
      </c>
      <c r="G519" t="str">
        <f t="shared" si="53"/>
        <v>[ "Canadian Tire", 43.0062405882353, -81.1704935294118, '519-451-6260', 'N5V 4Y5'],</v>
      </c>
    </row>
    <row r="520" spans="1:7" x14ac:dyDescent="0.2">
      <c r="A520" t="s">
        <v>535</v>
      </c>
      <c r="B520" t="str">
        <f t="shared" si="48"/>
        <v>The Source</v>
      </c>
      <c r="C520" t="str">
        <f t="shared" si="49"/>
        <v>43.00147</v>
      </c>
      <c r="D520" t="str">
        <f t="shared" si="50"/>
        <v>-81.17418</v>
      </c>
      <c r="E520" t="str">
        <f t="shared" si="51"/>
        <v>519-453-2780</v>
      </c>
      <c r="F520" t="str">
        <f t="shared" si="52"/>
        <v>N5V 1P7</v>
      </c>
      <c r="G520" t="str">
        <f t="shared" si="53"/>
        <v>[ "The Source", 43.00147, -81.17418, '519-453-2780', 'N5V 1P7'],</v>
      </c>
    </row>
    <row r="521" spans="1:7" x14ac:dyDescent="0.2">
      <c r="A521" t="s">
        <v>536</v>
      </c>
      <c r="B521" t="str">
        <f t="shared" si="48"/>
        <v>Staples</v>
      </c>
      <c r="C521" t="str">
        <f t="shared" si="49"/>
        <v>43.00526</v>
      </c>
      <c r="D521" t="str">
        <f t="shared" si="50"/>
        <v>-81.17402</v>
      </c>
      <c r="E521" t="str">
        <f t="shared" si="51"/>
        <v>519-659-3428</v>
      </c>
      <c r="F521" t="str">
        <f t="shared" si="52"/>
        <v>N5V 1P7</v>
      </c>
      <c r="G521" t="str">
        <f t="shared" si="53"/>
        <v>[ "Staples", 43.00526, -81.17402, '519-659-3428', 'N5V 1P7'],</v>
      </c>
    </row>
    <row r="522" spans="1:7" x14ac:dyDescent="0.2">
      <c r="A522" t="s">
        <v>537</v>
      </c>
      <c r="B522" t="str">
        <f t="shared" si="48"/>
        <v>Home Depot</v>
      </c>
      <c r="C522" t="str">
        <f t="shared" si="49"/>
        <v>43.00669</v>
      </c>
      <c r="D522" t="str">
        <f t="shared" si="50"/>
        <v>-81.1768</v>
      </c>
      <c r="E522" t="str">
        <f t="shared" si="51"/>
        <v>519-457-5800</v>
      </c>
      <c r="F522" t="str">
        <f t="shared" si="52"/>
        <v>N5W 6H1</v>
      </c>
      <c r="G522" t="str">
        <f t="shared" si="53"/>
        <v>[ "Home Depot", 43.00669, -81.1768, '519-457-5800', 'N5W 6H1'],</v>
      </c>
    </row>
    <row r="523" spans="1:7" x14ac:dyDescent="0.2">
      <c r="A523" t="s">
        <v>538</v>
      </c>
      <c r="B523" t="str">
        <f t="shared" si="48"/>
        <v>DeWalt Factory Service (Canada)</v>
      </c>
      <c r="C523" t="str">
        <f t="shared" si="49"/>
        <v>42.9615917315216</v>
      </c>
      <c r="D523" t="str">
        <f t="shared" si="50"/>
        <v>-81.2186812885449</v>
      </c>
      <c r="E523" t="str">
        <f t="shared" si="51"/>
        <v>519-649-2407</v>
      </c>
      <c r="F523" t="str">
        <f t="shared" si="52"/>
        <v>N5Z 3L1</v>
      </c>
      <c r="G523" t="str">
        <f t="shared" si="53"/>
        <v>[ "DeWalt Factory Service (Canada)", 42.9615917315216, -81.2186812885449, '519-649-2407', 'N5Z 3L1'],</v>
      </c>
    </row>
    <row r="524" spans="1:7" x14ac:dyDescent="0.2">
      <c r="A524" t="s">
        <v>539</v>
      </c>
      <c r="B524" t="str">
        <f t="shared" si="48"/>
        <v>Mountain Equipment Co-op</v>
      </c>
      <c r="C524" t="str">
        <f t="shared" si="49"/>
        <v>42.927951232845</v>
      </c>
      <c r="D524" t="str">
        <f t="shared" si="50"/>
        <v>-81.2188128202866</v>
      </c>
      <c r="E524" t="str">
        <f t="shared" si="51"/>
        <v>519-668-7734</v>
      </c>
      <c r="F524" t="str">
        <f t="shared" si="52"/>
        <v>N6E 1M3</v>
      </c>
      <c r="G524" t="str">
        <f t="shared" si="53"/>
        <v>[ "Mountain Equipment Co-op", 42.927951232845, -81.2188128202866, '519-668-7734', 'N6E 1M3'],</v>
      </c>
    </row>
    <row r="525" spans="1:7" x14ac:dyDescent="0.2">
      <c r="A525" t="s">
        <v>541</v>
      </c>
      <c r="B525" t="str">
        <f t="shared" si="48"/>
        <v>Princess Auto</v>
      </c>
      <c r="C525" t="str">
        <f t="shared" si="49"/>
        <v>42.9248020437138</v>
      </c>
      <c r="D525" t="str">
        <f t="shared" si="50"/>
        <v>-81.2291344937418</v>
      </c>
      <c r="E525" t="str">
        <f t="shared" si="51"/>
        <v>519-649-7001</v>
      </c>
      <c r="F525" t="str">
        <f t="shared" si="52"/>
        <v>N6E 2Z2</v>
      </c>
      <c r="G525" t="str">
        <f t="shared" si="53"/>
        <v>[ "Princess Auto", 42.9248020437138, -81.2291344937418, '519-649-7001', 'N6E 2Z2'],</v>
      </c>
    </row>
    <row r="526" spans="1:7" x14ac:dyDescent="0.2">
      <c r="A526" t="s">
        <v>542</v>
      </c>
      <c r="B526" t="str">
        <f t="shared" si="48"/>
        <v>Staples</v>
      </c>
      <c r="C526" t="str">
        <f t="shared" si="49"/>
        <v>42.936906337748</v>
      </c>
      <c r="D526" t="str">
        <f t="shared" si="50"/>
        <v>-81.2809181670529</v>
      </c>
      <c r="E526" t="str">
        <f t="shared" si="51"/>
        <v>519-690-2049</v>
      </c>
      <c r="F526" t="str">
        <f t="shared" si="52"/>
        <v>N6L 1A6</v>
      </c>
      <c r="G526" t="str">
        <f t="shared" si="53"/>
        <v>[ "Staples", 42.936906337748, -81.2809181670529, '519-690-2049', 'N6L 1A6'],</v>
      </c>
    </row>
    <row r="527" spans="1:7" x14ac:dyDescent="0.2">
      <c r="A527" t="s">
        <v>543</v>
      </c>
      <c r="B527" t="str">
        <f t="shared" si="48"/>
        <v>Home Depot</v>
      </c>
      <c r="C527" t="str">
        <f t="shared" si="49"/>
        <v>42.9381032981888</v>
      </c>
      <c r="D527" t="str">
        <f t="shared" si="50"/>
        <v>-81.2811966905401</v>
      </c>
      <c r="E527" t="str">
        <f t="shared" si="51"/>
        <v>519-691-1400</v>
      </c>
      <c r="F527" t="str">
        <f t="shared" si="52"/>
        <v>N6L 1R4</v>
      </c>
      <c r="G527" t="str">
        <f t="shared" si="53"/>
        <v>[ "Home Depot", 42.9381032981888, -81.2811966905401, '519-691-1400', 'N6L 1R4'],</v>
      </c>
    </row>
    <row r="528" spans="1:7" x14ac:dyDescent="0.2">
      <c r="A528" t="s">
        <v>544</v>
      </c>
      <c r="B528" t="str">
        <f t="shared" si="48"/>
        <v>FCC</v>
      </c>
      <c r="C528" t="str">
        <f t="shared" si="49"/>
        <v>42.93705</v>
      </c>
      <c r="D528" t="str">
        <f t="shared" si="50"/>
        <v>-81.3083131428571</v>
      </c>
      <c r="E528" t="str">
        <f t="shared" si="51"/>
        <v>519-681-2179</v>
      </c>
      <c r="F528" t="str">
        <f t="shared" si="52"/>
        <v>N6P 0C6</v>
      </c>
      <c r="G528" t="str">
        <f t="shared" si="53"/>
        <v>[ "FCC", 42.93705, -81.3083131428571, '519-681-2179', 'N6P 0C6'],</v>
      </c>
    </row>
    <row r="529" spans="1:7" x14ac:dyDescent="0.2">
      <c r="A529" t="s">
        <v>545</v>
      </c>
      <c r="B529" t="str">
        <f t="shared" si="48"/>
        <v>ListenUp! Canada</v>
      </c>
      <c r="C529" t="str">
        <f t="shared" si="49"/>
        <v>42.93903125</v>
      </c>
      <c r="D529" t="str">
        <f t="shared" si="50"/>
        <v>-81.2812578125</v>
      </c>
      <c r="E529" t="str">
        <f t="shared" si="51"/>
        <v>519-668-6279</v>
      </c>
      <c r="F529" t="str">
        <f t="shared" si="52"/>
        <v>N6J 4G8</v>
      </c>
      <c r="G529" t="str">
        <f t="shared" si="53"/>
        <v>[ "ListenUp! Canada", 42.93903125, -81.2812578125, '519-668-6279', 'N6J 4G8'],</v>
      </c>
    </row>
    <row r="530" spans="1:7" x14ac:dyDescent="0.2">
      <c r="A530" t="s">
        <v>546</v>
      </c>
      <c r="B530" t="str">
        <f t="shared" si="48"/>
        <v>Mountain Equipment Co-op</v>
      </c>
      <c r="C530" t="str">
        <f t="shared" si="49"/>
        <v>42.927951232845</v>
      </c>
      <c r="D530" t="str">
        <f t="shared" si="50"/>
        <v>-81.2188128202866</v>
      </c>
      <c r="E530" t="str">
        <f t="shared" si="51"/>
        <v>519-668-7734</v>
      </c>
      <c r="F530" t="str">
        <f t="shared" si="52"/>
        <v>N6E 1M3</v>
      </c>
      <c r="G530" t="str">
        <f t="shared" si="53"/>
        <v>[ "Mountain Equipment Co-op", 42.927951232845, -81.2188128202866, '519-668-7734', 'N6E 1M3'],</v>
      </c>
    </row>
    <row r="531" spans="1:7" x14ac:dyDescent="0.2">
      <c r="A531" t="s">
        <v>547</v>
      </c>
      <c r="B531" t="str">
        <f t="shared" si="48"/>
        <v>RONA</v>
      </c>
      <c r="C531" t="str">
        <f t="shared" si="49"/>
        <v>42.7859033333333</v>
      </c>
      <c r="D531" t="str">
        <f t="shared" si="50"/>
        <v>-81.1773933333333</v>
      </c>
      <c r="E531" t="str">
        <f t="shared" si="51"/>
        <v>519-631-2250</v>
      </c>
      <c r="F531" t="str">
        <f t="shared" si="52"/>
        <v>N5P 1Y8</v>
      </c>
      <c r="G531" t="str">
        <f t="shared" si="53"/>
        <v>[ "RONA", 42.7859033333333, -81.1773933333333, '519-631-2250', 'N5P 1Y8'],</v>
      </c>
    </row>
    <row r="532" spans="1:7" x14ac:dyDescent="0.2">
      <c r="A532" t="s">
        <v>548</v>
      </c>
      <c r="B532" t="str">
        <f t="shared" si="48"/>
        <v>The Source</v>
      </c>
      <c r="C532" t="str">
        <f t="shared" si="49"/>
        <v>42.9316311111111</v>
      </c>
      <c r="D532" t="str">
        <f t="shared" si="50"/>
        <v>-81.2214222222222</v>
      </c>
      <c r="E532" t="str">
        <f t="shared" si="51"/>
        <v>519-681-5914</v>
      </c>
      <c r="F532" t="str">
        <f t="shared" si="52"/>
        <v>N6E 1V4</v>
      </c>
      <c r="G532" t="str">
        <f t="shared" si="53"/>
        <v>[ "The Source", 42.9316311111111, -81.2214222222222, '519-681-5914', 'N6E 1V4'],</v>
      </c>
    </row>
    <row r="533" spans="1:7" x14ac:dyDescent="0.2">
      <c r="A533" t="s">
        <v>549</v>
      </c>
      <c r="B533" t="str">
        <f t="shared" si="48"/>
        <v>Best Buy</v>
      </c>
      <c r="C533" t="str">
        <f t="shared" si="49"/>
        <v>42.93354</v>
      </c>
      <c r="D533" t="str">
        <f t="shared" si="50"/>
        <v>-81.22307</v>
      </c>
      <c r="E533" t="str">
        <f t="shared" si="51"/>
        <v>519-686-2160</v>
      </c>
      <c r="F533" t="str">
        <f t="shared" si="52"/>
        <v>N6E 1M2</v>
      </c>
      <c r="G533" t="str">
        <f t="shared" si="53"/>
        <v>[ "Best Buy", 42.93354, -81.22307, '519-686-2160', 'N6E 1M2'],</v>
      </c>
    </row>
    <row r="534" spans="1:7" x14ac:dyDescent="0.2">
      <c r="A534" t="s">
        <v>550</v>
      </c>
      <c r="B534" t="str">
        <f t="shared" si="48"/>
        <v>Staples</v>
      </c>
      <c r="C534" t="str">
        <f t="shared" si="49"/>
        <v>42.77878</v>
      </c>
      <c r="D534" t="str">
        <f t="shared" si="50"/>
        <v>-81.1723</v>
      </c>
      <c r="E534" t="str">
        <f t="shared" si="51"/>
        <v>519-631-1810</v>
      </c>
      <c r="F534" t="str">
        <f t="shared" si="52"/>
        <v>N5P 1G4</v>
      </c>
      <c r="G534" t="str">
        <f t="shared" si="53"/>
        <v>[ "Staples", 42.77878, -81.1723, '519-631-1810', 'N5P 1G4'],</v>
      </c>
    </row>
    <row r="535" spans="1:7" x14ac:dyDescent="0.2">
      <c r="A535" t="s">
        <v>551</v>
      </c>
      <c r="B535" t="str">
        <f t="shared" si="48"/>
        <v>The Source</v>
      </c>
      <c r="C535" t="str">
        <f t="shared" si="49"/>
        <v>42.77878</v>
      </c>
      <c r="D535" t="str">
        <f t="shared" si="50"/>
        <v>-81.1723</v>
      </c>
      <c r="E535" t="str">
        <f t="shared" si="51"/>
        <v>519-633-8119</v>
      </c>
      <c r="F535" t="str">
        <f t="shared" si="52"/>
        <v>N5P 1G4</v>
      </c>
      <c r="G535" t="str">
        <f t="shared" si="53"/>
        <v>[ "The Source", 42.77878, -81.1723, '519-633-8119', 'N5P 1G4'],</v>
      </c>
    </row>
    <row r="536" spans="1:7" x14ac:dyDescent="0.2">
      <c r="A536" t="s">
        <v>552</v>
      </c>
      <c r="B536" t="str">
        <f t="shared" si="48"/>
        <v>ListenUp! Canada</v>
      </c>
      <c r="C536" t="str">
        <f t="shared" si="49"/>
        <v>42.7752223</v>
      </c>
      <c r="D536" t="str">
        <f t="shared" si="50"/>
        <v>-81.1751688</v>
      </c>
      <c r="E536" t="str">
        <f t="shared" si="51"/>
        <v>519-633-3330</v>
      </c>
      <c r="F536" t="str">
        <f t="shared" si="52"/>
        <v>N5R 4M5</v>
      </c>
      <c r="G536" t="str">
        <f t="shared" si="53"/>
        <v>[ "ListenUp! Canada", 42.7752223, -81.1751688, '519-633-3330', 'N5R 4M5'],</v>
      </c>
    </row>
    <row r="537" spans="1:7" x14ac:dyDescent="0.2">
      <c r="A537" t="s">
        <v>553</v>
      </c>
      <c r="B537" t="str">
        <f t="shared" si="48"/>
        <v>Staples</v>
      </c>
      <c r="C537" t="str">
        <f t="shared" si="49"/>
        <v>42.96328</v>
      </c>
      <c r="D537" t="str">
        <f t="shared" si="50"/>
        <v>-81.23147</v>
      </c>
      <c r="E537" t="str">
        <f t="shared" si="51"/>
        <v>519-645-7042</v>
      </c>
      <c r="F537" t="str">
        <f t="shared" si="52"/>
        <v>N6C 4P6</v>
      </c>
      <c r="G537" t="str">
        <f t="shared" si="53"/>
        <v>[ "Staples", 42.96328, -81.23147, '519-645-7042', 'N6C 4P6'],</v>
      </c>
    </row>
    <row r="538" spans="1:7" x14ac:dyDescent="0.2">
      <c r="A538" t="s">
        <v>554</v>
      </c>
      <c r="B538" t="str">
        <f t="shared" si="48"/>
        <v>DeWalt Factory Service (Canada)</v>
      </c>
      <c r="C538" t="str">
        <f t="shared" si="49"/>
        <v>42.9615917315216</v>
      </c>
      <c r="D538" t="str">
        <f t="shared" si="50"/>
        <v>-81.2186812885449</v>
      </c>
      <c r="E538" t="str">
        <f t="shared" si="51"/>
        <v>519-649-2407</v>
      </c>
      <c r="F538" t="str">
        <f t="shared" si="52"/>
        <v>N5Z 3L1</v>
      </c>
      <c r="G538" t="str">
        <f t="shared" si="53"/>
        <v>[ "DeWalt Factory Service (Canada)", 42.9615917315216, -81.2186812885449, '519-649-2407', 'N5Z 3L1'],</v>
      </c>
    </row>
    <row r="539" spans="1:7" x14ac:dyDescent="0.2">
      <c r="A539" t="s">
        <v>555</v>
      </c>
      <c r="B539" t="str">
        <f t="shared" si="48"/>
        <v>Pharmasave</v>
      </c>
      <c r="C539" t="str">
        <f t="shared" si="49"/>
        <v>42.9713077777778</v>
      </c>
      <c r="D539" t="str">
        <f t="shared" si="50"/>
        <v>-81.2523133333333</v>
      </c>
      <c r="E539" t="str">
        <f t="shared" si="51"/>
        <v>519-438-6600</v>
      </c>
      <c r="F539" t="str">
        <f t="shared" si="52"/>
        <v>N6C 4Y7</v>
      </c>
      <c r="G539" t="str">
        <f t="shared" si="53"/>
        <v>[ "Pharmasave", 42.9713077777778, -81.2523133333333, '519-438-6600', 'N6C 4Y7'],</v>
      </c>
    </row>
    <row r="540" spans="1:7" x14ac:dyDescent="0.2">
      <c r="A540" t="s">
        <v>556</v>
      </c>
      <c r="B540" t="str">
        <f t="shared" si="48"/>
        <v>Henrys</v>
      </c>
      <c r="C540" t="str">
        <f t="shared" si="49"/>
        <v>42.9724794444444</v>
      </c>
      <c r="D540" t="str">
        <f t="shared" si="50"/>
        <v>-81.2382733333333</v>
      </c>
      <c r="E540" t="str">
        <f t="shared" si="51"/>
        <v>519-686-7481</v>
      </c>
      <c r="F540" t="str">
        <f t="shared" si="52"/>
        <v>N6E 3V8</v>
      </c>
      <c r="G540" t="str">
        <f t="shared" si="53"/>
        <v>[ "Henrys", 42.9724794444444, -81.2382733333333, '519-686-7481', 'N6E 3V8'],</v>
      </c>
    </row>
    <row r="541" spans="1:7" x14ac:dyDescent="0.2">
      <c r="A541" t="s">
        <v>557</v>
      </c>
      <c r="B541" t="str">
        <f t="shared" si="48"/>
        <v>Spectrum Communications</v>
      </c>
      <c r="C541" t="str">
        <f t="shared" si="49"/>
        <v>42.9751614941291</v>
      </c>
      <c r="D541" t="str">
        <f t="shared" si="50"/>
        <v>-81.2403128906191</v>
      </c>
      <c r="E541" t="str">
        <f t="shared" si="51"/>
        <v>519-663-2109</v>
      </c>
      <c r="F541" t="str">
        <f t="shared" si="52"/>
        <v>N6B 2K4</v>
      </c>
      <c r="G541" t="str">
        <f t="shared" si="53"/>
        <v>[ "Spectrum Communications", 42.9751614941291, -81.2403128906191, '519-663-2109', 'N6B 2K4'],</v>
      </c>
    </row>
    <row r="542" spans="1:7" x14ac:dyDescent="0.2">
      <c r="A542" t="s">
        <v>558</v>
      </c>
      <c r="B542" t="str">
        <f t="shared" si="48"/>
        <v>Forest City Communications Ltd.</v>
      </c>
      <c r="C542" t="str">
        <f t="shared" si="49"/>
        <v>42.9751614941291</v>
      </c>
      <c r="D542" t="str">
        <f t="shared" si="50"/>
        <v>-81.2403128906191</v>
      </c>
      <c r="E542" t="str">
        <f t="shared" si="51"/>
        <v>519-686-3046</v>
      </c>
      <c r="F542" t="str">
        <f t="shared" si="52"/>
        <v>N6B 2K4</v>
      </c>
      <c r="G542" t="str">
        <f t="shared" si="53"/>
        <v>[ "Forest City Communications Ltd.", 42.9751614941291, -81.2403128906191, '519-686-3046', 'N6B 2K4'],</v>
      </c>
    </row>
    <row r="543" spans="1:7" x14ac:dyDescent="0.2">
      <c r="A543" t="s">
        <v>559</v>
      </c>
      <c r="B543" t="str">
        <f t="shared" si="48"/>
        <v>The Source</v>
      </c>
      <c r="C543" t="str">
        <f t="shared" si="49"/>
        <v>42.983266</v>
      </c>
      <c r="D543" t="str">
        <f t="shared" si="50"/>
        <v>-81.24441</v>
      </c>
      <c r="E543" t="str">
        <f t="shared" si="51"/>
        <v>519-672-9986</v>
      </c>
      <c r="F543" t="str">
        <f t="shared" si="52"/>
        <v>N6A 3N7</v>
      </c>
      <c r="G543" t="str">
        <f t="shared" si="53"/>
        <v>[ "The Source", 42.983266, -81.24441, '519-672-9986', 'N6A 3N7'],</v>
      </c>
    </row>
    <row r="544" spans="1:7" x14ac:dyDescent="0.2">
      <c r="A544" t="s">
        <v>560</v>
      </c>
      <c r="B544" t="str">
        <f t="shared" si="48"/>
        <v>RONA</v>
      </c>
      <c r="C544" t="str">
        <f t="shared" si="49"/>
        <v>42.9911473069883</v>
      </c>
      <c r="D544" t="str">
        <f t="shared" si="50"/>
        <v>-81.3002761337478</v>
      </c>
      <c r="E544" t="str">
        <f t="shared" si="51"/>
        <v>519-471-6621</v>
      </c>
      <c r="F544" t="str">
        <f t="shared" si="52"/>
        <v>N6H 4L1</v>
      </c>
      <c r="G544" t="str">
        <f t="shared" si="53"/>
        <v>[ "RONA", 42.9911473069883, -81.3002761337478, '519-471-6621', 'N6H 4L1'],</v>
      </c>
    </row>
    <row r="545" spans="1:7" x14ac:dyDescent="0.2">
      <c r="A545" t="s">
        <v>561</v>
      </c>
      <c r="B545" t="str">
        <f t="shared" si="48"/>
        <v>Andersons Electronics Inc</v>
      </c>
      <c r="C545" t="str">
        <f t="shared" si="49"/>
        <v>43.00564</v>
      </c>
      <c r="D545" t="str">
        <f t="shared" si="50"/>
        <v>-81.34093</v>
      </c>
      <c r="E545" t="str">
        <f t="shared" si="51"/>
        <v>519-657-2063</v>
      </c>
      <c r="F545" t="str">
        <f t="shared" si="52"/>
        <v>N6H 5L8</v>
      </c>
      <c r="G545" t="str">
        <f t="shared" si="53"/>
        <v>[ "Andersons Electronics Inc", 43.00564, -81.34093, '519-657-2063', 'N6H 5L8'],</v>
      </c>
    </row>
    <row r="546" spans="1:7" x14ac:dyDescent="0.2">
      <c r="A546" t="s">
        <v>562</v>
      </c>
      <c r="B546" t="str">
        <f t="shared" si="48"/>
        <v>Lowes</v>
      </c>
      <c r="C546" t="str">
        <f t="shared" si="49"/>
        <v>43.01158</v>
      </c>
      <c r="D546" t="str">
        <f t="shared" si="50"/>
        <v>-81.33416</v>
      </c>
      <c r="E546" t="str">
        <f t="shared" si="51"/>
        <v>--</v>
      </c>
      <c r="F546" t="str">
        <f t="shared" si="52"/>
        <v>N6G 0E3</v>
      </c>
      <c r="G546" t="str">
        <f t="shared" si="53"/>
        <v>[ "Lowes", 43.01158, -81.33416, '--', 'N6G 0E3'],</v>
      </c>
    </row>
    <row r="547" spans="1:7" x14ac:dyDescent="0.2">
      <c r="A547" t="s">
        <v>563</v>
      </c>
      <c r="B547" t="str">
        <f t="shared" si="48"/>
        <v>Best Buy</v>
      </c>
      <c r="C547" t="str">
        <f t="shared" si="49"/>
        <v>43.01705</v>
      </c>
      <c r="D547" t="str">
        <f t="shared" si="50"/>
        <v>-81.27336</v>
      </c>
      <c r="E547" t="str">
        <f t="shared" si="51"/>
        <v>--</v>
      </c>
      <c r="F547" t="str">
        <f t="shared" si="52"/>
        <v>N6G 3Y9</v>
      </c>
      <c r="G547" t="str">
        <f t="shared" si="53"/>
        <v>[ "Best Buy", 43.01705, -81.27336, '--', 'N6G 3Y9'],</v>
      </c>
    </row>
    <row r="548" spans="1:7" x14ac:dyDescent="0.2">
      <c r="A548" t="s">
        <v>564</v>
      </c>
      <c r="B548" t="str">
        <f t="shared" si="48"/>
        <v>The Source</v>
      </c>
      <c r="C548" t="str">
        <f t="shared" si="49"/>
        <v>43.00147</v>
      </c>
      <c r="D548" t="str">
        <f t="shared" si="50"/>
        <v>-81.17418</v>
      </c>
      <c r="E548" t="str">
        <f t="shared" si="51"/>
        <v>519-453-2780</v>
      </c>
      <c r="F548" t="str">
        <f t="shared" si="52"/>
        <v>N5V 1P7</v>
      </c>
      <c r="G548" t="str">
        <f t="shared" si="53"/>
        <v>[ "The Source", 43.00147, -81.17418, '519-453-2780', 'N5V 1P7'],</v>
      </c>
    </row>
    <row r="549" spans="1:7" x14ac:dyDescent="0.2">
      <c r="A549" t="s">
        <v>565</v>
      </c>
      <c r="B549" t="str">
        <f t="shared" si="48"/>
        <v>Staples</v>
      </c>
      <c r="C549" t="str">
        <f t="shared" si="49"/>
        <v>43.00526</v>
      </c>
      <c r="D549" t="str">
        <f t="shared" si="50"/>
        <v>-81.17402</v>
      </c>
      <c r="E549" t="str">
        <f t="shared" si="51"/>
        <v>519-659-3428</v>
      </c>
      <c r="F549" t="str">
        <f t="shared" si="52"/>
        <v>N5V 1P7</v>
      </c>
      <c r="G549" t="str">
        <f t="shared" si="53"/>
        <v>[ "Staples", 43.00526, -81.17402, '519-659-3428', 'N5V 1P7'],</v>
      </c>
    </row>
    <row r="550" spans="1:7" x14ac:dyDescent="0.2">
      <c r="A550" t="s">
        <v>566</v>
      </c>
      <c r="B550" t="str">
        <f t="shared" si="48"/>
        <v>Home Depot</v>
      </c>
      <c r="C550" t="str">
        <f t="shared" si="49"/>
        <v>43.00669</v>
      </c>
      <c r="D550" t="str">
        <f t="shared" si="50"/>
        <v>-81.1768</v>
      </c>
      <c r="E550" t="str">
        <f t="shared" si="51"/>
        <v>519-457-5800</v>
      </c>
      <c r="F550" t="str">
        <f t="shared" si="52"/>
        <v>N5W 6H1</v>
      </c>
      <c r="G550" t="str">
        <f t="shared" si="53"/>
        <v>[ "Home Depot", 43.00669, -81.1768, '519-457-5800', 'N5W 6H1'],</v>
      </c>
    </row>
    <row r="551" spans="1:7" x14ac:dyDescent="0.2">
      <c r="A551" t="s">
        <v>567</v>
      </c>
      <c r="B551" t="str">
        <f t="shared" si="48"/>
        <v>The Source</v>
      </c>
      <c r="C551" t="str">
        <f t="shared" si="49"/>
        <v>43.02498</v>
      </c>
      <c r="D551" t="str">
        <f t="shared" si="50"/>
        <v>-81.28175</v>
      </c>
      <c r="E551" t="str">
        <f t="shared" si="51"/>
        <v>519-660-1984</v>
      </c>
      <c r="F551" t="str">
        <f t="shared" si="52"/>
        <v>N6G 3Y9</v>
      </c>
      <c r="G551" t="str">
        <f t="shared" si="53"/>
        <v>[ "The Source", 43.02498, -81.28175, '519-660-1984', 'N6G 3Y9'],</v>
      </c>
    </row>
    <row r="552" spans="1:7" x14ac:dyDescent="0.2">
      <c r="A552" t="s">
        <v>568</v>
      </c>
      <c r="B552" t="str">
        <f t="shared" si="48"/>
        <v>ListenUp! Canada</v>
      </c>
      <c r="C552" t="str">
        <f t="shared" si="49"/>
        <v>43.0254633333333</v>
      </c>
      <c r="D552" t="str">
        <f t="shared" si="50"/>
        <v>-81.2820055555556</v>
      </c>
      <c r="E552" t="str">
        <f t="shared" si="51"/>
        <v>519-667-0303</v>
      </c>
      <c r="F552" t="str">
        <f t="shared" si="52"/>
        <v>N6G 2N3</v>
      </c>
      <c r="G552" t="str">
        <f t="shared" si="53"/>
        <v>[ "ListenUp! Canada", 43.0254633333333, -81.2820055555556, '519-667-0303', 'N6G 2N3'],</v>
      </c>
    </row>
    <row r="553" spans="1:7" x14ac:dyDescent="0.2">
      <c r="A553" t="s">
        <v>569</v>
      </c>
      <c r="B553" t="str">
        <f t="shared" si="48"/>
        <v>Canadian Tire</v>
      </c>
      <c r="C553" t="str">
        <f t="shared" si="49"/>
        <v>43.0062405882353</v>
      </c>
      <c r="D553" t="str">
        <f t="shared" si="50"/>
        <v>-81.1704935294118</v>
      </c>
      <c r="E553" t="str">
        <f t="shared" si="51"/>
        <v>519-451-6260</v>
      </c>
      <c r="F553" t="str">
        <f t="shared" si="52"/>
        <v>N5V 4Y5</v>
      </c>
      <c r="G553" t="str">
        <f t="shared" si="53"/>
        <v>[ "Canadian Tire", 43.0062405882353, -81.1704935294118, '519-451-6260', 'N5V 4Y5'],</v>
      </c>
    </row>
    <row r="554" spans="1:7" x14ac:dyDescent="0.2">
      <c r="A554" t="s">
        <v>570</v>
      </c>
      <c r="B554" t="str">
        <f t="shared" si="48"/>
        <v>Staples</v>
      </c>
      <c r="C554" t="str">
        <f t="shared" si="49"/>
        <v>43.0277044897959</v>
      </c>
      <c r="D554" t="str">
        <f t="shared" si="50"/>
        <v>-81.2831842857143</v>
      </c>
      <c r="E554" t="str">
        <f t="shared" si="51"/>
        <v>519-661-0888</v>
      </c>
      <c r="F554" t="str">
        <f t="shared" si="52"/>
        <v>N5X 3Y2</v>
      </c>
      <c r="G554" t="str">
        <f t="shared" si="53"/>
        <v>[ "Staples", 43.0277044897959, -81.2831842857143, '519-661-0888', 'N5X 3Y2'],</v>
      </c>
    </row>
    <row r="555" spans="1:7" x14ac:dyDescent="0.2">
      <c r="A555" t="s">
        <v>571</v>
      </c>
      <c r="B555" t="str">
        <f t="shared" si="48"/>
        <v>Home Depot</v>
      </c>
      <c r="C555" t="str">
        <f t="shared" si="49"/>
        <v>43.034694137931</v>
      </c>
      <c r="D555" t="str">
        <f t="shared" si="50"/>
        <v>-81.2553737931034</v>
      </c>
      <c r="E555" t="str">
        <f t="shared" si="51"/>
        <v>519-850-5900</v>
      </c>
      <c r="F555" t="str">
        <f t="shared" si="52"/>
        <v>N5X 1L1</v>
      </c>
      <c r="G555" t="str">
        <f t="shared" si="53"/>
        <v>[ "Home Depot", 43.034694137931, -81.2553737931034, '519-850-5900', 'N5X 1L1'],</v>
      </c>
    </row>
    <row r="556" spans="1:7" x14ac:dyDescent="0.2">
      <c r="A556" t="s">
        <v>572</v>
      </c>
      <c r="B556" t="str">
        <f t="shared" si="48"/>
        <v>Best Buy</v>
      </c>
      <c r="C556" t="str">
        <f t="shared" si="49"/>
        <v>43.03662</v>
      </c>
      <c r="D556" t="str">
        <f t="shared" si="50"/>
        <v>-81.28786</v>
      </c>
      <c r="E556" t="str">
        <f t="shared" si="51"/>
        <v>519-963-8494</v>
      </c>
      <c r="F556" t="str">
        <f t="shared" si="52"/>
        <v>N5X 3Y2</v>
      </c>
      <c r="G556" t="str">
        <f t="shared" si="53"/>
        <v>[ "Best Buy", 43.03662, -81.28786, '519-963-8494', 'N5X 3Y2'],</v>
      </c>
    </row>
    <row r="557" spans="1:7" x14ac:dyDescent="0.2">
      <c r="A557" t="s">
        <v>573</v>
      </c>
      <c r="B557" t="str">
        <f t="shared" si="48"/>
        <v>Municipality of Dutton/Dunwich</v>
      </c>
      <c r="C557" t="str">
        <f t="shared" si="49"/>
        <v>42.66374</v>
      </c>
      <c r="D557" t="str">
        <f t="shared" si="50"/>
        <v>-81.50269</v>
      </c>
      <c r="E557" t="str">
        <f t="shared" si="51"/>
        <v>519-762-2204</v>
      </c>
      <c r="F557" t="str">
        <f t="shared" si="52"/>
        <v>N0L 1J0</v>
      </c>
      <c r="G557" t="str">
        <f t="shared" si="53"/>
        <v>[ "Municipality of Dutton/Dunwich", 42.66374, -81.50269, '519-762-2204', 'N0L 1J0'],</v>
      </c>
    </row>
    <row r="558" spans="1:7" x14ac:dyDescent="0.2">
      <c r="A558" t="s">
        <v>574</v>
      </c>
      <c r="B558" t="str">
        <f t="shared" si="48"/>
        <v>Dutton Dunwich Community Centre</v>
      </c>
      <c r="C558" t="str">
        <f t="shared" si="49"/>
        <v>42.66185</v>
      </c>
      <c r="D558" t="str">
        <f t="shared" si="50"/>
        <v>-81.50551</v>
      </c>
      <c r="E558" t="str">
        <f t="shared" si="51"/>
        <v>519-762-2204</v>
      </c>
      <c r="F558" t="str">
        <f t="shared" si="52"/>
        <v>N0L 1J0</v>
      </c>
      <c r="G558" t="str">
        <f t="shared" si="53"/>
        <v>[ "Dutton Dunwich Community Centre", 42.66185, -81.50551, '519-762-2204', 'N0L 1J0'],</v>
      </c>
    </row>
    <row r="559" spans="1:7" x14ac:dyDescent="0.2">
      <c r="A559" t="s">
        <v>575</v>
      </c>
      <c r="B559" t="str">
        <f t="shared" si="48"/>
        <v>John Kenneth Galbraith Reference Library</v>
      </c>
      <c r="C559" t="str">
        <f t="shared" si="49"/>
        <v>42.6617606666667</v>
      </c>
      <c r="D559" t="str">
        <f t="shared" si="50"/>
        <v>-81.5026606666667</v>
      </c>
      <c r="E559" t="str">
        <f t="shared" si="51"/>
        <v>519-762-2204</v>
      </c>
      <c r="F559" t="str">
        <f t="shared" si="52"/>
        <v>N0L 1J0</v>
      </c>
      <c r="G559" t="str">
        <f t="shared" si="53"/>
        <v>[ "John Kenneth Galbraith Reference Library", 42.6617606666667, -81.5026606666667, '519-762-2204', 'N0L 1J0'],</v>
      </c>
    </row>
    <row r="560" spans="1:7" x14ac:dyDescent="0.2">
      <c r="A560" t="s">
        <v>576</v>
      </c>
      <c r="B560" t="str">
        <f t="shared" si="48"/>
        <v>Mcnaughton Home Hardware Building Centre</v>
      </c>
      <c r="C560" t="str">
        <f t="shared" si="49"/>
        <v>42.6814763636364</v>
      </c>
      <c r="D560" t="str">
        <f t="shared" si="50"/>
        <v>-81.7933845454545</v>
      </c>
      <c r="E560" t="str">
        <f t="shared" si="51"/>
        <v>519-693-4449</v>
      </c>
      <c r="F560" t="str">
        <f t="shared" si="52"/>
        <v>N0L 1Z0</v>
      </c>
      <c r="G560" t="str">
        <f t="shared" si="53"/>
        <v>[ "Mcnaughton Home Hardware Building Centre", 42.6814763636364, -81.7933845454545, '519-693-4449', 'N0L 1Z0'],</v>
      </c>
    </row>
    <row r="561" spans="1:7" x14ac:dyDescent="0.2">
      <c r="A561" t="s">
        <v>577</v>
      </c>
      <c r="B561" t="str">
        <f t="shared" si="48"/>
        <v>Newbury Community Services</v>
      </c>
      <c r="C561" t="str">
        <f t="shared" si="49"/>
        <v>42.6846520044148</v>
      </c>
      <c r="D561" t="str">
        <f t="shared" si="50"/>
        <v>-81.7995860132445</v>
      </c>
      <c r="E561" t="str">
        <f t="shared" si="51"/>
        <v>519-693-4941</v>
      </c>
      <c r="F561" t="str">
        <f t="shared" si="52"/>
        <v>N0L 1Z0</v>
      </c>
      <c r="G561" t="str">
        <f t="shared" si="53"/>
        <v>[ "Newbury Community Services", 42.6846520044148, -81.7995860132445, '519-693-4941', 'N0L 1Z0'],</v>
      </c>
    </row>
    <row r="562" spans="1:7" x14ac:dyDescent="0.2">
      <c r="A562" t="s">
        <v>578</v>
      </c>
      <c r="B562" t="str">
        <f t="shared" si="48"/>
        <v>Staples</v>
      </c>
      <c r="C562" t="str">
        <f t="shared" si="49"/>
        <v>42.9470654794521</v>
      </c>
      <c r="D562" t="str">
        <f t="shared" si="50"/>
        <v>-81.6128139726027</v>
      </c>
      <c r="E562" t="str">
        <f t="shared" si="51"/>
        <v>519-245-5665</v>
      </c>
      <c r="F562" t="str">
        <f t="shared" si="52"/>
        <v>N7G 2P5</v>
      </c>
      <c r="G562" t="str">
        <f t="shared" si="53"/>
        <v>[ "Staples", 42.9470654794521, -81.6128139726027, '519-245-5665', 'N7G 2P5'],</v>
      </c>
    </row>
    <row r="563" spans="1:7" x14ac:dyDescent="0.2">
      <c r="A563" t="s">
        <v>579</v>
      </c>
      <c r="B563" t="str">
        <f t="shared" si="48"/>
        <v>Spectrum Communications</v>
      </c>
      <c r="C563" t="str">
        <f t="shared" si="49"/>
        <v>42.960192</v>
      </c>
      <c r="D563" t="str">
        <f t="shared" si="50"/>
        <v>-82.357514</v>
      </c>
      <c r="E563" t="str">
        <f t="shared" si="51"/>
        <v>519-332-4224</v>
      </c>
      <c r="F563" t="str">
        <f t="shared" si="52"/>
        <v>N7S 5P1</v>
      </c>
      <c r="G563" t="str">
        <f t="shared" si="53"/>
        <v>[ "Spectrum Communications", 42.960192, -82.357514, '519-332-4224', 'N7S 5P1'],</v>
      </c>
    </row>
    <row r="564" spans="1:7" x14ac:dyDescent="0.2">
      <c r="A564" t="s">
        <v>580</v>
      </c>
      <c r="B564" t="str">
        <f t="shared" si="48"/>
        <v>Gregs Electronics</v>
      </c>
      <c r="C564" t="str">
        <f t="shared" si="49"/>
        <v>42.8141918309859</v>
      </c>
      <c r="D564" t="str">
        <f t="shared" si="50"/>
        <v>-81.9824474647887</v>
      </c>
      <c r="E564" t="str">
        <f t="shared" si="51"/>
        <v>519-844-2442</v>
      </c>
      <c r="F564" t="str">
        <f t="shared" si="52"/>
        <v>N0N 1K0</v>
      </c>
      <c r="G564" t="str">
        <f t="shared" si="53"/>
        <v>[ "Gregs Electronics", 42.8141918309859, -81.9824474647887, '519-844-2442', 'N0N 1K0'],</v>
      </c>
    </row>
    <row r="565" spans="1:7" x14ac:dyDescent="0.2">
      <c r="A565" t="s">
        <v>581</v>
      </c>
      <c r="B565" t="str">
        <f t="shared" si="48"/>
        <v>Lambton County Administration Building</v>
      </c>
      <c r="C565" t="str">
        <f t="shared" si="49"/>
        <v>42.9590421810257</v>
      </c>
      <c r="D565" t="str">
        <f t="shared" si="50"/>
        <v>-82.1184700008745</v>
      </c>
      <c r="E565" t="str">
        <f t="shared" si="51"/>
        <v>519-845-0801</v>
      </c>
      <c r="F565" t="str">
        <f t="shared" si="52"/>
        <v>N0N 1T0</v>
      </c>
      <c r="G565" t="str">
        <f t="shared" si="53"/>
        <v>[ "Lambton County Administration Building", 42.9590421810257, -82.1184700008745, '519-845-0801', 'N0N 1T0'],</v>
      </c>
    </row>
    <row r="566" spans="1:7" x14ac:dyDescent="0.2">
      <c r="A566" t="s">
        <v>582</v>
      </c>
      <c r="B566" t="str">
        <f t="shared" si="48"/>
        <v>Staples</v>
      </c>
      <c r="C566" t="str">
        <f t="shared" si="49"/>
        <v>42.98041</v>
      </c>
      <c r="D566" t="str">
        <f t="shared" si="50"/>
        <v>-82.35197</v>
      </c>
      <c r="E566" t="str">
        <f t="shared" si="51"/>
        <v>519-542-4461</v>
      </c>
      <c r="F566" t="str">
        <f t="shared" si="52"/>
        <v>N7S 1P6</v>
      </c>
      <c r="G566" t="str">
        <f t="shared" si="53"/>
        <v>[ "Staples", 42.98041, -82.35197, '519-542-4461', 'N7S 1P6'],</v>
      </c>
    </row>
    <row r="567" spans="1:7" x14ac:dyDescent="0.2">
      <c r="A567" t="s">
        <v>583</v>
      </c>
      <c r="B567" t="str">
        <f t="shared" si="48"/>
        <v>Staples Canada</v>
      </c>
      <c r="C567" t="str">
        <f t="shared" si="49"/>
        <v>42.98041</v>
      </c>
      <c r="D567" t="str">
        <f t="shared" si="50"/>
        <v>-82.35197</v>
      </c>
      <c r="E567" t="str">
        <f t="shared" si="51"/>
        <v>519-542-3639</v>
      </c>
      <c r="F567" t="str">
        <f t="shared" si="52"/>
        <v>N7S 1P6</v>
      </c>
      <c r="G567" t="str">
        <f t="shared" si="53"/>
        <v>[ "Staples Canada", 42.98041, -82.35197, '519-542-3639', 'N7S 1P6'],</v>
      </c>
    </row>
    <row r="568" spans="1:7" x14ac:dyDescent="0.2">
      <c r="A568" t="s">
        <v>584</v>
      </c>
      <c r="B568" t="str">
        <f t="shared" si="48"/>
        <v>The Source</v>
      </c>
      <c r="C568" t="str">
        <f t="shared" si="49"/>
        <v>42.9803011111111</v>
      </c>
      <c r="D568" t="str">
        <f t="shared" si="50"/>
        <v>-82.3531288888889</v>
      </c>
      <c r="E568" t="str">
        <f t="shared" si="51"/>
        <v>519-541-9543</v>
      </c>
      <c r="F568" t="str">
        <f t="shared" si="52"/>
        <v>N7S 1P8</v>
      </c>
      <c r="G568" t="str">
        <f t="shared" si="53"/>
        <v>[ "The Source", 42.9803011111111, -82.3531288888889, '519-541-9543', 'N7S 1P8'],</v>
      </c>
    </row>
    <row r="569" spans="1:7" x14ac:dyDescent="0.2">
      <c r="A569" t="s">
        <v>585</v>
      </c>
      <c r="B569" t="str">
        <f t="shared" si="48"/>
        <v>Sears (Canada)</v>
      </c>
      <c r="C569" t="str">
        <f t="shared" si="49"/>
        <v>42.9803011111111</v>
      </c>
      <c r="D569" t="str">
        <f t="shared" si="50"/>
        <v>-82.3531288888889</v>
      </c>
      <c r="E569" t="str">
        <f t="shared" si="51"/>
        <v>519-542-2121</v>
      </c>
      <c r="F569" t="str">
        <f t="shared" si="52"/>
        <v>N7S 6L7</v>
      </c>
      <c r="G569" t="str">
        <f t="shared" si="53"/>
        <v>[ "Sears (Canada)", 42.9803011111111, -82.3531288888889, '519-542-2121', 'N7S 6L7'],</v>
      </c>
    </row>
    <row r="570" spans="1:7" x14ac:dyDescent="0.2">
      <c r="A570" t="s">
        <v>586</v>
      </c>
      <c r="B570" t="str">
        <f t="shared" si="48"/>
        <v>The Source</v>
      </c>
      <c r="C570" t="str">
        <f t="shared" si="49"/>
        <v>42.4152357142857</v>
      </c>
      <c r="D570" t="str">
        <f t="shared" si="50"/>
        <v>-82.2002357142857</v>
      </c>
      <c r="E570" t="str">
        <f t="shared" si="51"/>
        <v>519-351-4001</v>
      </c>
      <c r="F570" t="str">
        <f t="shared" si="52"/>
        <v>N7L 3K5</v>
      </c>
      <c r="G570" t="str">
        <f t="shared" si="53"/>
        <v>[ "The Source", 42.4152357142857, -82.2002357142857, '519-351-4001', 'N7L 3K5'],</v>
      </c>
    </row>
    <row r="571" spans="1:7" x14ac:dyDescent="0.2">
      <c r="A571" t="s">
        <v>587</v>
      </c>
      <c r="B571" t="str">
        <f t="shared" si="48"/>
        <v>ListenUp! Canada</v>
      </c>
      <c r="C571" t="str">
        <f t="shared" si="49"/>
        <v>42.4068083</v>
      </c>
      <c r="D571" t="str">
        <f t="shared" si="50"/>
        <v>-82.1923201</v>
      </c>
      <c r="E571" t="str">
        <f t="shared" si="51"/>
        <v>519-351-1810</v>
      </c>
      <c r="F571" t="str">
        <f t="shared" si="52"/>
        <v>N7L 1B5</v>
      </c>
      <c r="G571" t="str">
        <f t="shared" si="53"/>
        <v>[ "ListenUp! Canada", 42.4068083, -82.1923201, '519-351-1810', 'N7L 1B5'],</v>
      </c>
    </row>
    <row r="572" spans="1:7" x14ac:dyDescent="0.2">
      <c r="A572" t="s">
        <v>588</v>
      </c>
      <c r="B572" t="str">
        <f t="shared" si="48"/>
        <v>Staples</v>
      </c>
      <c r="C572" t="str">
        <f t="shared" si="49"/>
        <v>42.4294472916667</v>
      </c>
      <c r="D572" t="str">
        <f t="shared" si="50"/>
        <v>-82.2177283333333</v>
      </c>
      <c r="E572" t="str">
        <f t="shared" si="51"/>
        <v>519-360-1344</v>
      </c>
      <c r="F572" t="str">
        <f t="shared" si="52"/>
        <v>N7L 0E8</v>
      </c>
      <c r="G572" t="str">
        <f t="shared" si="53"/>
        <v>[ "Staples", 42.4294472916667, -82.2177283333333, '519-360-1344', 'N7L 0E8'],</v>
      </c>
    </row>
    <row r="573" spans="1:7" x14ac:dyDescent="0.2">
      <c r="A573" t="s">
        <v>589</v>
      </c>
      <c r="B573" t="str">
        <f t="shared" si="48"/>
        <v>Home Depot</v>
      </c>
      <c r="C573" t="str">
        <f t="shared" si="49"/>
        <v>42.432877979798</v>
      </c>
      <c r="D573" t="str">
        <f t="shared" si="50"/>
        <v>-82.2240496969697</v>
      </c>
      <c r="E573" t="str">
        <f t="shared" si="51"/>
        <v>519-380-2040</v>
      </c>
      <c r="F573" t="str">
        <f t="shared" si="52"/>
        <v>N7M 5J1</v>
      </c>
      <c r="G573" t="str">
        <f t="shared" si="53"/>
        <v>[ "Home Depot", 42.432877979798, -82.2240496969697, '519-380-2040', 'N7M 5J1'],</v>
      </c>
    </row>
    <row r="574" spans="1:7" x14ac:dyDescent="0.2">
      <c r="A574" t="s">
        <v>590</v>
      </c>
      <c r="B574" t="str">
        <f t="shared" si="48"/>
        <v>Chatham-Kent Home Hardware Bldg Ctr</v>
      </c>
      <c r="C574" t="str">
        <f t="shared" si="49"/>
        <v>42.3907847058824</v>
      </c>
      <c r="D574" t="str">
        <f t="shared" si="50"/>
        <v>-82.2059329411765</v>
      </c>
      <c r="E574" t="str">
        <f t="shared" si="51"/>
        <v>519-354-0700</v>
      </c>
      <c r="F574" t="str">
        <f t="shared" si="52"/>
        <v>N7M 3H1</v>
      </c>
      <c r="G574" t="str">
        <f t="shared" si="53"/>
        <v>[ "Chatham-Kent Home Hardware Bldg Ctr", 42.3907847058824, -82.2059329411765, '519-354-0700', 'N7M 3H1'],</v>
      </c>
    </row>
    <row r="575" spans="1:7" x14ac:dyDescent="0.2">
      <c r="A575" t="s">
        <v>592</v>
      </c>
      <c r="B575" t="str">
        <f t="shared" si="48"/>
        <v>Chatham-Kent Home Hardware Bldg Ctr</v>
      </c>
      <c r="C575" t="str">
        <f t="shared" si="49"/>
        <v>42.3907847058824</v>
      </c>
      <c r="D575" t="str">
        <f t="shared" si="50"/>
        <v>-82.2059329411765</v>
      </c>
      <c r="E575" t="str">
        <f t="shared" si="51"/>
        <v>519-354-0700</v>
      </c>
      <c r="F575" t="str">
        <f t="shared" si="52"/>
        <v>N7M 3H1</v>
      </c>
      <c r="G575" t="str">
        <f t="shared" si="53"/>
        <v>[ "Chatham-Kent Home Hardware Bldg Ctr", 42.3907847058824, -82.2059329411765, '519-354-0700', 'N7M 3H1'],</v>
      </c>
    </row>
    <row r="576" spans="1:7" x14ac:dyDescent="0.2">
      <c r="A576" t="s">
        <v>594</v>
      </c>
      <c r="B576" t="str">
        <f t="shared" si="48"/>
        <v>ListenUp! Canada</v>
      </c>
      <c r="C576" t="str">
        <f t="shared" si="49"/>
        <v>42.0384704540773</v>
      </c>
      <c r="D576" t="str">
        <f t="shared" si="50"/>
        <v>-82.7256786274688</v>
      </c>
      <c r="E576" t="str">
        <f t="shared" si="51"/>
        <v>519-733-3331</v>
      </c>
      <c r="F576" t="str">
        <f t="shared" si="52"/>
        <v>N9Y 1A7</v>
      </c>
      <c r="G576" t="str">
        <f t="shared" si="53"/>
        <v>[ "ListenUp! Canada", 42.0384704540773, -82.7256786274688, '519-733-3331', 'N9Y 1A7'],</v>
      </c>
    </row>
    <row r="577" spans="1:7" x14ac:dyDescent="0.2">
      <c r="A577" t="s">
        <v>595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Ontario Clean Water Agency - Essex East (North) Hub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42.2899317647059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-82.7344741176471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519-727-6256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N0R 1A0</v>
      </c>
      <c r="G577" t="str">
        <f t="shared" ref="G577:G640" si="59">"[ "&amp;CHAR(34)&amp;B577&amp;CHAR(34)&amp;", "&amp;C577&amp;", "&amp;D577&amp;", '"&amp;E577&amp;"', '"&amp;F577&amp;"'],"</f>
        <v>[ "Ontario Clean Water Agency - Essex East (North) Hub", 42.2899317647059, -82.7344741176471, '519-727-6256', 'N0R 1A0'],</v>
      </c>
    </row>
    <row r="578" spans="1:7" x14ac:dyDescent="0.2">
      <c r="A578" t="s">
        <v>596</v>
      </c>
      <c r="B578" t="str">
        <f t="shared" si="54"/>
        <v>RONA</v>
      </c>
      <c r="C578" t="str">
        <f t="shared" si="55"/>
        <v>42.0475540404885</v>
      </c>
      <c r="D578" t="str">
        <f t="shared" si="56"/>
        <v>-82.6224780931071</v>
      </c>
      <c r="E578" t="str">
        <f t="shared" si="57"/>
        <v>519-322-4908</v>
      </c>
      <c r="F578" t="str">
        <f t="shared" si="58"/>
        <v>N8H 4H3</v>
      </c>
      <c r="G578" t="str">
        <f t="shared" si="59"/>
        <v>[ "RONA", 42.0475540404885, -82.6224780931071, '519-322-4908', 'N8H 4H3'],</v>
      </c>
    </row>
    <row r="579" spans="1:7" x14ac:dyDescent="0.2">
      <c r="A579" t="s">
        <v>597</v>
      </c>
      <c r="B579" t="str">
        <f t="shared" si="54"/>
        <v>The Source</v>
      </c>
      <c r="C579" t="str">
        <f t="shared" si="55"/>
        <v>42.0376591564033</v>
      </c>
      <c r="D579" t="str">
        <f t="shared" si="56"/>
        <v>-82.6008447851261</v>
      </c>
      <c r="E579" t="str">
        <f t="shared" si="57"/>
        <v>519-326-5009</v>
      </c>
      <c r="F579" t="str">
        <f t="shared" si="58"/>
        <v>N8H 3C4</v>
      </c>
      <c r="G579" t="str">
        <f t="shared" si="59"/>
        <v>[ "The Source", 42.0376591564033, -82.6008447851261, '519-326-5009', 'N8H 3C4'],</v>
      </c>
    </row>
    <row r="580" spans="1:7" x14ac:dyDescent="0.2">
      <c r="A580" t="s">
        <v>598</v>
      </c>
      <c r="B580" t="str">
        <f t="shared" si="54"/>
        <v>Staples</v>
      </c>
      <c r="C580" t="str">
        <f t="shared" si="55"/>
        <v>42.0337584782609</v>
      </c>
      <c r="D580" t="str">
        <f t="shared" si="56"/>
        <v>-82.5972702173913</v>
      </c>
      <c r="E580" t="str">
        <f t="shared" si="57"/>
        <v>519-324-1370</v>
      </c>
      <c r="F580" t="str">
        <f t="shared" si="58"/>
        <v>N8H 2L2</v>
      </c>
      <c r="G580" t="str">
        <f t="shared" si="59"/>
        <v>[ "Staples", 42.0337584782609, -82.5972702173913, '519-324-1370', 'N8H 2L2'],</v>
      </c>
    </row>
    <row r="581" spans="1:7" x14ac:dyDescent="0.2">
      <c r="A581" t="s">
        <v>599</v>
      </c>
      <c r="B581" t="str">
        <f t="shared" si="54"/>
        <v>The Source</v>
      </c>
      <c r="C581" t="str">
        <f t="shared" si="55"/>
        <v>42.307187272484</v>
      </c>
      <c r="D581" t="str">
        <f t="shared" si="56"/>
        <v>-82.8677227087863</v>
      </c>
      <c r="E581" t="str">
        <f t="shared" si="57"/>
        <v>519-735-6131</v>
      </c>
      <c r="F581" t="str">
        <f t="shared" si="58"/>
        <v>N9K 1C7</v>
      </c>
      <c r="G581" t="str">
        <f t="shared" si="59"/>
        <v>[ "The Source", 42.307187272484, -82.8677227087863, '519-735-6131', 'N9K 1C7'],</v>
      </c>
    </row>
    <row r="582" spans="1:7" x14ac:dyDescent="0.2">
      <c r="A582" t="s">
        <v>600</v>
      </c>
      <c r="B582" t="str">
        <f t="shared" si="54"/>
        <v>ListenUp! Canada</v>
      </c>
      <c r="C582" t="str">
        <f t="shared" si="55"/>
        <v>42.30635875</v>
      </c>
      <c r="D582" t="str">
        <f t="shared" si="56"/>
        <v>-82.8849108333333</v>
      </c>
      <c r="E582" t="str">
        <f t="shared" si="57"/>
        <v>519-735-6966</v>
      </c>
      <c r="F582" t="str">
        <f t="shared" si="58"/>
        <v>N8N 1Y3</v>
      </c>
      <c r="G582" t="str">
        <f t="shared" si="59"/>
        <v>[ "ListenUp! Canada", 42.30635875, -82.8849108333333, '519-735-6966', 'N8N 1Y3'],</v>
      </c>
    </row>
    <row r="583" spans="1:7" x14ac:dyDescent="0.2">
      <c r="A583" t="s">
        <v>601</v>
      </c>
      <c r="B583" t="str">
        <f t="shared" si="54"/>
        <v>Princess Auto</v>
      </c>
      <c r="C583" t="str">
        <f t="shared" si="55"/>
        <v>42.2986560494708</v>
      </c>
      <c r="D583" t="str">
        <f t="shared" si="56"/>
        <v>-82.9251618054316</v>
      </c>
      <c r="E583" t="str">
        <f t="shared" si="57"/>
        <v>519-974-1261</v>
      </c>
      <c r="F583" t="str">
        <f t="shared" si="58"/>
        <v>N8T 0A3</v>
      </c>
      <c r="G583" t="str">
        <f t="shared" si="59"/>
        <v>[ "Princess Auto", 42.2986560494708, -82.9251618054316, '519-974-1261', 'N8T 0A3'],</v>
      </c>
    </row>
    <row r="584" spans="1:7" x14ac:dyDescent="0.2">
      <c r="A584" t="s">
        <v>602</v>
      </c>
      <c r="B584" t="str">
        <f t="shared" si="54"/>
        <v>Staples</v>
      </c>
      <c r="C584" t="str">
        <f t="shared" si="55"/>
        <v>42.2549034080717</v>
      </c>
      <c r="D584" t="str">
        <f t="shared" si="56"/>
        <v>-82.9641382959641</v>
      </c>
      <c r="E584" t="str">
        <f t="shared" si="57"/>
        <v>519-972-5127</v>
      </c>
      <c r="F584" t="str">
        <f t="shared" si="58"/>
        <v>N8W 3T6</v>
      </c>
      <c r="G584" t="str">
        <f t="shared" si="59"/>
        <v>[ "Staples", 42.2549034080717, -82.9641382959641, '519-972-5127', 'N8W 3T6'],</v>
      </c>
    </row>
    <row r="585" spans="1:7" x14ac:dyDescent="0.2">
      <c r="A585" t="s">
        <v>604</v>
      </c>
      <c r="B585" t="str">
        <f t="shared" si="54"/>
        <v>Staples</v>
      </c>
      <c r="C585" t="str">
        <f t="shared" si="55"/>
        <v>42.2549034080717</v>
      </c>
      <c r="D585" t="str">
        <f t="shared" si="56"/>
        <v>-82.9641382959641</v>
      </c>
      <c r="E585" t="str">
        <f t="shared" si="57"/>
        <v>519-972-5127</v>
      </c>
      <c r="F585" t="str">
        <f t="shared" si="58"/>
        <v>N8W 3T6</v>
      </c>
      <c r="G585" t="str">
        <f t="shared" si="59"/>
        <v>[ "Staples", 42.2549034080717, -82.9641382959641, '519-972-5127', 'N8W 3T6'],</v>
      </c>
    </row>
    <row r="586" spans="1:7" x14ac:dyDescent="0.2">
      <c r="A586" t="s">
        <v>605</v>
      </c>
      <c r="B586" t="str">
        <f t="shared" si="54"/>
        <v>Home Depot</v>
      </c>
      <c r="C586" t="str">
        <f t="shared" si="55"/>
        <v>42.2623589795918</v>
      </c>
      <c r="D586" t="str">
        <f t="shared" si="56"/>
        <v>-82.973536122449</v>
      </c>
      <c r="E586" t="str">
        <f t="shared" si="57"/>
        <v>519-967-3700</v>
      </c>
      <c r="F586" t="str">
        <f t="shared" si="58"/>
        <v>N8W 1Z7</v>
      </c>
      <c r="G586" t="str">
        <f t="shared" si="59"/>
        <v>[ "Home Depot", 42.2623589795918, -82.973536122449, '519-967-3700', 'N8W 1Z7'],</v>
      </c>
    </row>
    <row r="587" spans="1:7" x14ac:dyDescent="0.2">
      <c r="A587" t="s">
        <v>606</v>
      </c>
      <c r="B587" t="str">
        <f t="shared" si="54"/>
        <v>Sears (Canada)</v>
      </c>
      <c r="C587" t="str">
        <f t="shared" si="55"/>
        <v>42.2742911889364</v>
      </c>
      <c r="D587" t="str">
        <f t="shared" si="56"/>
        <v>-83.0051525767869</v>
      </c>
      <c r="E587" t="str">
        <f t="shared" si="57"/>
        <v>519-966-2822</v>
      </c>
      <c r="F587" t="str">
        <f t="shared" si="58"/>
        <v>N8X 3Y7</v>
      </c>
      <c r="G587" t="str">
        <f t="shared" si="59"/>
        <v>[ "Sears (Canada)", 42.2742911889364, -83.0051525767869, '519-966-2822', 'N8X 3Y7'],</v>
      </c>
    </row>
    <row r="588" spans="1:7" x14ac:dyDescent="0.2">
      <c r="A588" t="s">
        <v>607</v>
      </c>
      <c r="B588" t="str">
        <f t="shared" si="54"/>
        <v>Franklin Empire</v>
      </c>
      <c r="C588" t="str">
        <f t="shared" si="55"/>
        <v>42.28679</v>
      </c>
      <c r="D588" t="str">
        <f t="shared" si="56"/>
        <v>-82.95502</v>
      </c>
      <c r="E588" t="str">
        <f t="shared" si="57"/>
        <v>519-945-7550</v>
      </c>
      <c r="F588" t="str">
        <f t="shared" si="58"/>
        <v>N8N 2M1</v>
      </c>
      <c r="G588" t="str">
        <f t="shared" si="59"/>
        <v>[ "Franklin Empire", 42.28679, -82.95502, '519-945-7550', 'N8N 2M1'],</v>
      </c>
    </row>
    <row r="589" spans="1:7" x14ac:dyDescent="0.2">
      <c r="A589" t="s">
        <v>608</v>
      </c>
      <c r="B589" t="str">
        <f t="shared" si="54"/>
        <v>The Source</v>
      </c>
      <c r="C589" t="str">
        <f t="shared" si="55"/>
        <v>42.09741</v>
      </c>
      <c r="D589" t="str">
        <f t="shared" si="56"/>
        <v>-83.10814</v>
      </c>
      <c r="E589" t="str">
        <f t="shared" si="57"/>
        <v>519-736-7153</v>
      </c>
      <c r="F589" t="str">
        <f t="shared" si="58"/>
        <v>N9V 3L4</v>
      </c>
      <c r="G589" t="str">
        <f t="shared" si="59"/>
        <v>[ "The Source", 42.09741, -83.10814, '519-736-7153', 'N9V 3L4'],</v>
      </c>
    </row>
    <row r="590" spans="1:7" x14ac:dyDescent="0.2">
      <c r="A590" t="s">
        <v>609</v>
      </c>
      <c r="B590" t="str">
        <f t="shared" si="54"/>
        <v>The Corporation of the Town of Amherstburg</v>
      </c>
      <c r="C590" t="str">
        <f t="shared" si="55"/>
        <v>42.093229349766</v>
      </c>
      <c r="D590" t="str">
        <f t="shared" si="56"/>
        <v>-83.1077009589504</v>
      </c>
      <c r="E590" t="str">
        <f t="shared" si="57"/>
        <v>519-736-3664</v>
      </c>
      <c r="F590" t="str">
        <f t="shared" si="58"/>
        <v>N9V 3R2</v>
      </c>
      <c r="G590" t="str">
        <f t="shared" si="59"/>
        <v>[ "The Corporation of the Town of Amherstburg", 42.093229349766, -83.1077009589504, '519-736-3664', 'N9V 3R2'],</v>
      </c>
    </row>
    <row r="591" spans="1:7" x14ac:dyDescent="0.2">
      <c r="A591" t="s">
        <v>610</v>
      </c>
      <c r="B591" t="str">
        <f t="shared" si="54"/>
        <v>Staples</v>
      </c>
      <c r="C591" t="str">
        <f t="shared" si="55"/>
        <v>42.2851328123105</v>
      </c>
      <c r="D591" t="str">
        <f t="shared" si="56"/>
        <v>-83.0182925347012</v>
      </c>
      <c r="E591" t="str">
        <f t="shared" si="57"/>
        <v>519-966-9495</v>
      </c>
      <c r="F591" t="str">
        <f t="shared" si="58"/>
        <v>N8X 1L7</v>
      </c>
      <c r="G591" t="str">
        <f t="shared" si="59"/>
        <v>[ "Staples", 42.2851328123105, -83.0182925347012, '519-966-9495', 'N8X 1L7'],</v>
      </c>
    </row>
    <row r="592" spans="1:7" x14ac:dyDescent="0.2">
      <c r="A592" t="s">
        <v>611</v>
      </c>
      <c r="B592" t="str">
        <f t="shared" si="54"/>
        <v>Princess Auto</v>
      </c>
      <c r="C592" t="str">
        <f t="shared" si="55"/>
        <v>42.2986560494708</v>
      </c>
      <c r="D592" t="str">
        <f t="shared" si="56"/>
        <v>-82.9251618054316</v>
      </c>
      <c r="E592" t="str">
        <f t="shared" si="57"/>
        <v>519-974-1261</v>
      </c>
      <c r="F592" t="str">
        <f t="shared" si="58"/>
        <v>N8T 0A3</v>
      </c>
      <c r="G592" t="str">
        <f t="shared" si="59"/>
        <v>[ "Princess Auto", 42.2986560494708, -82.9251618054316, '519-974-1261', 'N8T 0A3'],</v>
      </c>
    </row>
    <row r="593" spans="1:7" x14ac:dyDescent="0.2">
      <c r="A593" t="s">
        <v>612</v>
      </c>
      <c r="B593" t="str">
        <f t="shared" si="54"/>
        <v>Kelcom (H.O.)</v>
      </c>
      <c r="C593" t="str">
        <f t="shared" si="55"/>
        <v>42.2793168548387</v>
      </c>
      <c r="D593" t="str">
        <f t="shared" si="56"/>
        <v>-83.0554799193548</v>
      </c>
      <c r="E593" t="str">
        <f t="shared" si="57"/>
        <v>519-250-9100</v>
      </c>
      <c r="F593" t="str">
        <f t="shared" si="58"/>
        <v>N9C 3R5</v>
      </c>
      <c r="G593" t="str">
        <f t="shared" si="59"/>
        <v>[ "Kelcom (H.O.)", 42.2793168548387, -83.0554799193548, '519-250-9100', 'N9C 3R5'],</v>
      </c>
    </row>
    <row r="594" spans="1:7" x14ac:dyDescent="0.2">
      <c r="A594" t="s">
        <v>613</v>
      </c>
      <c r="B594" t="str">
        <f t="shared" si="54"/>
        <v>Batteries and More</v>
      </c>
      <c r="C594" t="str">
        <f t="shared" si="55"/>
        <v>42.3088938718444</v>
      </c>
      <c r="D594" t="str">
        <f t="shared" si="56"/>
        <v>-82.9474942723306</v>
      </c>
      <c r="E594" t="str">
        <f t="shared" si="57"/>
        <v>519-962-7737</v>
      </c>
      <c r="F594" t="str">
        <f t="shared" si="58"/>
        <v>N9A 6J3</v>
      </c>
      <c r="G594" t="str">
        <f t="shared" si="59"/>
        <v>[ "Batteries and More", 42.3088938718444, -82.9474942723306, '519-962-7737', 'N9A 6J3'],</v>
      </c>
    </row>
    <row r="595" spans="1:7" x14ac:dyDescent="0.2">
      <c r="A595" t="s">
        <v>614</v>
      </c>
      <c r="B595" t="str">
        <f t="shared" si="54"/>
        <v>Appliance Medic</v>
      </c>
      <c r="C595" t="str">
        <f t="shared" si="55"/>
        <v>42.29867</v>
      </c>
      <c r="D595" t="str">
        <f t="shared" si="56"/>
        <v>-83.01356</v>
      </c>
      <c r="E595" t="str">
        <f t="shared" si="57"/>
        <v>519-252-1500</v>
      </c>
      <c r="F595" t="str">
        <f t="shared" si="58"/>
        <v>N8X 2S2</v>
      </c>
      <c r="G595" t="str">
        <f t="shared" si="59"/>
        <v>[ "Appliance Medic", 42.29867, -83.01356, '519-252-1500', 'N8X 2S2'],</v>
      </c>
    </row>
    <row r="596" spans="1:7" x14ac:dyDescent="0.2">
      <c r="A596" t="s">
        <v>615</v>
      </c>
      <c r="B596" t="str">
        <f t="shared" si="54"/>
        <v>ListenUp! Canada</v>
      </c>
      <c r="C596" t="str">
        <f t="shared" si="55"/>
        <v>42.2982581203008</v>
      </c>
      <c r="D596" t="str">
        <f t="shared" si="56"/>
        <v>-83.0157816541353</v>
      </c>
      <c r="E596" t="str">
        <f t="shared" si="57"/>
        <v>519-256-6868</v>
      </c>
      <c r="F596" t="str">
        <f t="shared" si="58"/>
        <v>N8X 4X9</v>
      </c>
      <c r="G596" t="str">
        <f t="shared" si="59"/>
        <v>[ "ListenUp! Canada", 42.2982581203008, -83.0157816541353, '519-256-6868', 'N8X 4X9'],</v>
      </c>
    </row>
    <row r="597" spans="1:7" x14ac:dyDescent="0.2">
      <c r="A597" t="s">
        <v>616</v>
      </c>
      <c r="B597" t="str">
        <f t="shared" si="54"/>
        <v>ListenUp! Canada</v>
      </c>
      <c r="C597" t="str">
        <f t="shared" si="55"/>
        <v>42.30635875</v>
      </c>
      <c r="D597" t="str">
        <f t="shared" si="56"/>
        <v>-82.8849108333333</v>
      </c>
      <c r="E597" t="str">
        <f t="shared" si="57"/>
        <v>519-735-6966</v>
      </c>
      <c r="F597" t="str">
        <f t="shared" si="58"/>
        <v>N8N 1Y3</v>
      </c>
      <c r="G597" t="str">
        <f t="shared" si="59"/>
        <v>[ "ListenUp! Canada", 42.30635875, -82.8849108333333, '519-735-6966', 'N8N 1Y3'],</v>
      </c>
    </row>
    <row r="598" spans="1:7" x14ac:dyDescent="0.2">
      <c r="A598" t="s">
        <v>617</v>
      </c>
      <c r="B598" t="str">
        <f t="shared" si="54"/>
        <v>Home Depot</v>
      </c>
      <c r="C598" t="str">
        <f t="shared" si="55"/>
        <v>42.3115110344828</v>
      </c>
      <c r="D598" t="str">
        <f t="shared" si="56"/>
        <v>-82.9461636781609</v>
      </c>
      <c r="E598" t="str">
        <f t="shared" si="57"/>
        <v>519-974-5420</v>
      </c>
      <c r="F598" t="str">
        <f t="shared" si="58"/>
        <v>N8T 1E6</v>
      </c>
      <c r="G598" t="str">
        <f t="shared" si="59"/>
        <v>[ "Home Depot", 42.3115110344828, -82.9461636781609, '519-974-5420', 'N8T 1E6'],</v>
      </c>
    </row>
    <row r="599" spans="1:7" x14ac:dyDescent="0.2">
      <c r="A599" t="s">
        <v>618</v>
      </c>
      <c r="B599" t="str">
        <f t="shared" si="54"/>
        <v>Staples</v>
      </c>
      <c r="C599" t="str">
        <f t="shared" si="55"/>
        <v>42.31242</v>
      </c>
      <c r="D599" t="str">
        <f t="shared" si="56"/>
        <v>-82.94135</v>
      </c>
      <c r="E599" t="str">
        <f t="shared" si="57"/>
        <v>519-948-1283</v>
      </c>
      <c r="F599" t="str">
        <f t="shared" si="58"/>
        <v>N8T 1E6</v>
      </c>
      <c r="G599" t="str">
        <f t="shared" si="59"/>
        <v>[ "Staples", 42.31242, -82.94135, '519-948-1283', 'N8T 1E6'],</v>
      </c>
    </row>
    <row r="600" spans="1:7" x14ac:dyDescent="0.2">
      <c r="A600" t="s">
        <v>619</v>
      </c>
      <c r="B600" t="str">
        <f t="shared" si="54"/>
        <v>The Source</v>
      </c>
      <c r="C600" t="str">
        <f t="shared" si="55"/>
        <v>42.307187272484</v>
      </c>
      <c r="D600" t="str">
        <f t="shared" si="56"/>
        <v>-82.8677227087863</v>
      </c>
      <c r="E600" t="str">
        <f t="shared" si="57"/>
        <v>519-735-6131</v>
      </c>
      <c r="F600" t="str">
        <f t="shared" si="58"/>
        <v>N9K 1C7</v>
      </c>
      <c r="G600" t="str">
        <f t="shared" si="59"/>
        <v>[ "The Source", 42.307187272484, -82.8677227087863, '519-735-6131', 'N9K 1C7'],</v>
      </c>
    </row>
    <row r="601" spans="1:7" x14ac:dyDescent="0.2">
      <c r="A601" t="s">
        <v>620</v>
      </c>
      <c r="B601" t="str">
        <f t="shared" si="54"/>
        <v>Lowes</v>
      </c>
      <c r="C601" t="str">
        <f t="shared" si="55"/>
        <v>42.1883091835448</v>
      </c>
      <c r="D601" t="str">
        <f t="shared" si="56"/>
        <v>-83.1925567531649</v>
      </c>
      <c r="E601" t="str">
        <f t="shared" si="57"/>
        <v>734-284-6843</v>
      </c>
      <c r="F601" t="str">
        <f t="shared" si="58"/>
        <v>48195</v>
      </c>
      <c r="G601" t="str">
        <f t="shared" si="59"/>
        <v>[ "Lowes", 42.1883091835448, -83.1925567531649, '734-284-6843', '48195'],</v>
      </c>
    </row>
    <row r="602" spans="1:7" x14ac:dyDescent="0.2">
      <c r="A602" t="s">
        <v>621</v>
      </c>
      <c r="B602" t="str">
        <f t="shared" si="54"/>
        <v>Grainger</v>
      </c>
      <c r="C602" t="str">
        <f t="shared" si="55"/>
        <v>42.32707</v>
      </c>
      <c r="D602" t="str">
        <f t="shared" si="56"/>
        <v>-83.05858</v>
      </c>
      <c r="E602" t="str">
        <f t="shared" si="57"/>
        <v>313-965-3500</v>
      </c>
      <c r="F602" t="str">
        <f t="shared" si="58"/>
        <v>48226</v>
      </c>
      <c r="G602" t="str">
        <f t="shared" si="59"/>
        <v>[ "Grainger", 42.32707, -83.05858, '313-965-3500', '48226'],</v>
      </c>
    </row>
    <row r="603" spans="1:7" x14ac:dyDescent="0.2">
      <c r="A603" t="s">
        <v>622</v>
      </c>
      <c r="B603" t="str">
        <f t="shared" si="54"/>
        <v>ListenUp! Canada</v>
      </c>
      <c r="C603" t="str">
        <f t="shared" si="55"/>
        <v>42.0384704540773</v>
      </c>
      <c r="D603" t="str">
        <f t="shared" si="56"/>
        <v>-82.7256786274688</v>
      </c>
      <c r="E603" t="str">
        <f t="shared" si="57"/>
        <v>519-733-3331</v>
      </c>
      <c r="F603" t="str">
        <f t="shared" si="58"/>
        <v>N9Y 1A7</v>
      </c>
      <c r="G603" t="str">
        <f t="shared" si="59"/>
        <v>[ "ListenUp! Canada", 42.0384704540773, -82.7256786274688, '519-733-3331', 'N9Y 1A7'],</v>
      </c>
    </row>
    <row r="604" spans="1:7" x14ac:dyDescent="0.2">
      <c r="A604" t="s">
        <v>623</v>
      </c>
      <c r="B604" t="str">
        <f t="shared" si="54"/>
        <v>Ontario Clean Water Agency - Essex East (North) Hub</v>
      </c>
      <c r="C604" t="str">
        <f t="shared" si="55"/>
        <v>42.2899317647059</v>
      </c>
      <c r="D604" t="str">
        <f t="shared" si="56"/>
        <v>-82.7344741176471</v>
      </c>
      <c r="E604" t="str">
        <f t="shared" si="57"/>
        <v>519-727-6256</v>
      </c>
      <c r="F604" t="str">
        <f t="shared" si="58"/>
        <v>N0R 1A0</v>
      </c>
      <c r="G604" t="str">
        <f t="shared" si="59"/>
        <v>[ "Ontario Clean Water Agency - Essex East (North) Hub", 42.2899317647059, -82.7344741176471, '519-727-6256', 'N0R 1A0'],</v>
      </c>
    </row>
    <row r="605" spans="1:7" x14ac:dyDescent="0.2">
      <c r="A605" t="s">
        <v>624</v>
      </c>
      <c r="B605" t="str">
        <f t="shared" si="54"/>
        <v>RadioShack</v>
      </c>
      <c r="C605" t="str">
        <f t="shared" si="55"/>
        <v>42.2543057894737</v>
      </c>
      <c r="D605" t="str">
        <f t="shared" si="56"/>
        <v>-83.1912273684211</v>
      </c>
      <c r="E605" t="str">
        <f t="shared" si="57"/>
        <v>313-388-1120</v>
      </c>
      <c r="F605" t="str">
        <f t="shared" si="58"/>
        <v>48146</v>
      </c>
      <c r="G605" t="str">
        <f t="shared" si="59"/>
        <v>[ "RadioShack", 42.2543057894737, -83.1912273684211, '313-388-1120', '48146'],</v>
      </c>
    </row>
    <row r="606" spans="1:7" x14ac:dyDescent="0.2">
      <c r="A606" t="s">
        <v>625</v>
      </c>
      <c r="B606" t="str">
        <f t="shared" si="54"/>
        <v>The Home Depot</v>
      </c>
      <c r="C606" t="str">
        <f t="shared" si="55"/>
        <v>42.1393206748466</v>
      </c>
      <c r="D606" t="str">
        <f t="shared" si="56"/>
        <v>-83.2260723312883</v>
      </c>
      <c r="E606" t="str">
        <f t="shared" si="57"/>
        <v>734-671-4400</v>
      </c>
      <c r="F606" t="str">
        <f t="shared" si="58"/>
        <v>48183</v>
      </c>
      <c r="G606" t="str">
        <f t="shared" si="59"/>
        <v>[ "The Home Depot", 42.1393206748466, -83.2260723312883, '734-671-4400', '48183'],</v>
      </c>
    </row>
    <row r="607" spans="1:7" x14ac:dyDescent="0.2">
      <c r="A607" t="s">
        <v>626</v>
      </c>
      <c r="B607" t="str">
        <f t="shared" si="54"/>
        <v>Longs Home Hardware Building Center</v>
      </c>
      <c r="C607" t="str">
        <f t="shared" si="55"/>
        <v>43.83706</v>
      </c>
      <c r="D607" t="str">
        <f t="shared" si="56"/>
        <v>-80.48081</v>
      </c>
      <c r="E607" t="str">
        <f t="shared" si="57"/>
        <v>519-848-2444</v>
      </c>
      <c r="F607" t="str">
        <f t="shared" si="58"/>
        <v>N0G 1A0</v>
      </c>
      <c r="G607" t="str">
        <f t="shared" si="59"/>
        <v>[ "Longs Home Hardware Building Center", 43.83706, -80.48081, '519-848-2444', 'N0G 1A0'],</v>
      </c>
    </row>
    <row r="608" spans="1:7" x14ac:dyDescent="0.2">
      <c r="A608" t="s">
        <v>627</v>
      </c>
      <c r="B608" t="str">
        <f t="shared" si="54"/>
        <v>Belmatic Battery Systems Inc.</v>
      </c>
      <c r="C608" t="str">
        <f t="shared" si="55"/>
        <v>44.1562580701754</v>
      </c>
      <c r="D608" t="str">
        <f t="shared" si="56"/>
        <v>-81.0243749122807</v>
      </c>
      <c r="E608" t="str">
        <f t="shared" si="57"/>
        <v>519-364-7029</v>
      </c>
      <c r="F608" t="str">
        <f t="shared" si="58"/>
        <v>N4N 2V6</v>
      </c>
      <c r="G608" t="str">
        <f t="shared" si="59"/>
        <v>[ "Belmatic Battery Systems Inc.", 44.1562580701754, -81.0243749122807, '519-364-7029', 'N4N 2V6'],</v>
      </c>
    </row>
    <row r="609" spans="1:7" x14ac:dyDescent="0.2">
      <c r="A609" t="s">
        <v>628</v>
      </c>
      <c r="B609" t="str">
        <f t="shared" si="54"/>
        <v>Princess Auto</v>
      </c>
      <c r="C609" t="str">
        <f t="shared" si="55"/>
        <v>44.5766641395434</v>
      </c>
      <c r="D609" t="str">
        <f t="shared" si="56"/>
        <v>-80.8997548332625</v>
      </c>
      <c r="E609" t="str">
        <f t="shared" si="57"/>
        <v>226-256-8260</v>
      </c>
      <c r="F609" t="str">
        <f t="shared" si="58"/>
        <v>N4K 0E2</v>
      </c>
      <c r="G609" t="str">
        <f t="shared" si="59"/>
        <v>[ "Princess Auto", 44.5766641395434, -80.8997548332625, '226-256-8260', 'N4K 0E2'],</v>
      </c>
    </row>
    <row r="610" spans="1:7" x14ac:dyDescent="0.2">
      <c r="A610" t="s">
        <v>629</v>
      </c>
      <c r="B610" t="str">
        <f t="shared" si="54"/>
        <v>The Source</v>
      </c>
      <c r="C610" t="str">
        <f t="shared" si="55"/>
        <v>44.5756734802963</v>
      </c>
      <c r="D610" t="str">
        <f t="shared" si="56"/>
        <v>-80.9084239243326</v>
      </c>
      <c r="E610" t="str">
        <f t="shared" si="57"/>
        <v>519-376-5041</v>
      </c>
      <c r="F610" t="str">
        <f t="shared" si="58"/>
        <v>N4K 5N3</v>
      </c>
      <c r="G610" t="str">
        <f t="shared" si="59"/>
        <v>[ "The Source", 44.5756734802963, -80.9084239243326, '519-376-5041', 'N4K 5N3'],</v>
      </c>
    </row>
    <row r="611" spans="1:7" x14ac:dyDescent="0.2">
      <c r="A611" t="s">
        <v>630</v>
      </c>
      <c r="B611" t="str">
        <f t="shared" si="54"/>
        <v>Staples</v>
      </c>
      <c r="C611" t="str">
        <f t="shared" si="55"/>
        <v>44.57018</v>
      </c>
      <c r="D611" t="str">
        <f t="shared" si="56"/>
        <v>-80.92203</v>
      </c>
      <c r="E611" t="str">
        <f t="shared" si="57"/>
        <v>519-372-2228</v>
      </c>
      <c r="F611" t="str">
        <f t="shared" si="58"/>
        <v>N4K 5S2</v>
      </c>
      <c r="G611" t="str">
        <f t="shared" si="59"/>
        <v>[ "Staples", 44.57018, -80.92203, '519-372-2228', 'N4K 5S2'],</v>
      </c>
    </row>
    <row r="612" spans="1:7" x14ac:dyDescent="0.2">
      <c r="A612" t="s">
        <v>631</v>
      </c>
      <c r="B612" t="str">
        <f t="shared" si="54"/>
        <v>Sears (Canada)</v>
      </c>
      <c r="C612" t="str">
        <f t="shared" si="55"/>
        <v>44.5741628282828</v>
      </c>
      <c r="D612" t="str">
        <f t="shared" si="56"/>
        <v>-80.9216897979798</v>
      </c>
      <c r="E612" t="str">
        <f t="shared" si="57"/>
        <v>519-376-8080</v>
      </c>
      <c r="F612" t="str">
        <f t="shared" si="58"/>
        <v>N4K 6N7</v>
      </c>
      <c r="G612" t="str">
        <f t="shared" si="59"/>
        <v>[ "Sears (Canada)", 44.5741628282828, -80.9216897979798, '519-376-8080', 'N4K 6N7'],</v>
      </c>
    </row>
    <row r="613" spans="1:7" x14ac:dyDescent="0.2">
      <c r="A613" t="s">
        <v>632</v>
      </c>
      <c r="B613" t="str">
        <f t="shared" si="54"/>
        <v>City of Owen Sound</v>
      </c>
      <c r="C613" t="str">
        <f t="shared" si="55"/>
        <v>44.5838226929319</v>
      </c>
      <c r="D613" t="str">
        <f t="shared" si="56"/>
        <v>-80.9002807372817</v>
      </c>
      <c r="E613" t="str">
        <f t="shared" si="57"/>
        <v>519-376-4274</v>
      </c>
      <c r="F613" t="str">
        <f t="shared" si="58"/>
        <v>N4K 5N3</v>
      </c>
      <c r="G613" t="str">
        <f t="shared" si="59"/>
        <v>[ "City of Owen Sound", 44.5838226929319, -80.9002807372817, '519-376-4274', 'N4K 5N3'],</v>
      </c>
    </row>
    <row r="614" spans="1:7" x14ac:dyDescent="0.2">
      <c r="A614" t="s">
        <v>633</v>
      </c>
      <c r="B614" t="str">
        <f t="shared" si="54"/>
        <v>Home Depot</v>
      </c>
      <c r="C614" t="str">
        <f t="shared" si="55"/>
        <v>44.5832195483447</v>
      </c>
      <c r="D614" t="str">
        <f t="shared" si="56"/>
        <v>-80.9055115611075</v>
      </c>
      <c r="E614" t="str">
        <f t="shared" si="57"/>
        <v>519-372-3970</v>
      </c>
      <c r="F614" t="str">
        <f t="shared" si="58"/>
        <v>N4K 2B5</v>
      </c>
      <c r="G614" t="str">
        <f t="shared" si="59"/>
        <v>[ "Home Depot", 44.5832195483447, -80.9055115611075, '519-372-3970', 'N4K 2B5'],</v>
      </c>
    </row>
    <row r="615" spans="1:7" x14ac:dyDescent="0.2">
      <c r="A615" t="s">
        <v>634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</row>
    <row r="616" spans="1:7" x14ac:dyDescent="0.2">
      <c r="A616" t="s">
        <v>635</v>
      </c>
      <c r="B616" t="str">
        <f t="shared" si="54"/>
        <v>Murrays Sharpening &amp; Tool Repair</v>
      </c>
      <c r="C616" t="str">
        <f t="shared" si="55"/>
        <v>44.5717094</v>
      </c>
      <c r="D616" t="str">
        <f t="shared" si="56"/>
        <v>-80.9408688</v>
      </c>
      <c r="E616" t="str">
        <f t="shared" si="57"/>
        <v>519-376-2495</v>
      </c>
      <c r="F616" t="str">
        <f t="shared" si="58"/>
        <v>N4K 2H9</v>
      </c>
      <c r="G616" t="str">
        <f t="shared" si="59"/>
        <v>[ "Murrays Sharpening &amp; Tool Repair", 44.5717094, -80.9408688, '519-376-2495', 'N4K 2H9'],</v>
      </c>
    </row>
    <row r="617" spans="1:7" x14ac:dyDescent="0.2">
      <c r="A617" t="s">
        <v>636</v>
      </c>
      <c r="B617" t="str">
        <f t="shared" si="54"/>
        <v>RONA</v>
      </c>
      <c r="C617" t="str">
        <f t="shared" si="55"/>
        <v>44.56692</v>
      </c>
      <c r="D617" t="str">
        <f t="shared" si="56"/>
        <v>-80.95044</v>
      </c>
      <c r="E617" t="str">
        <f t="shared" si="57"/>
        <v>519-376-3181</v>
      </c>
      <c r="F617" t="str">
        <f t="shared" si="58"/>
        <v>N4K 5R4</v>
      </c>
      <c r="G617" t="str">
        <f t="shared" si="59"/>
        <v>[ "RONA", 44.56692, -80.95044, '519-376-3181', 'N4K 5R4'],</v>
      </c>
    </row>
    <row r="618" spans="1:7" x14ac:dyDescent="0.2">
      <c r="A618" t="s">
        <v>637</v>
      </c>
      <c r="B618" t="str">
        <f t="shared" si="54"/>
        <v>RONA</v>
      </c>
      <c r="C618" t="str">
        <f t="shared" si="55"/>
        <v>44.56692</v>
      </c>
      <c r="D618" t="str">
        <f t="shared" si="56"/>
        <v>-80.95044</v>
      </c>
      <c r="E618" t="str">
        <f t="shared" si="57"/>
        <v>519-376-3181</v>
      </c>
      <c r="F618" t="str">
        <f t="shared" si="58"/>
        <v>N4K 5R4</v>
      </c>
      <c r="G618" t="str">
        <f t="shared" si="59"/>
        <v>[ "RONA", 44.56692, -80.95044, '519-376-3181', 'N4K 5R4'],</v>
      </c>
    </row>
    <row r="619" spans="1:7" x14ac:dyDescent="0.2">
      <c r="A619" t="s">
        <v>638</v>
      </c>
      <c r="B619" t="str">
        <f t="shared" si="54"/>
        <v>Murrays Sharpening &amp; Tool Repair</v>
      </c>
      <c r="C619" t="str">
        <f t="shared" si="55"/>
        <v>44.5717094</v>
      </c>
      <c r="D619" t="str">
        <f t="shared" si="56"/>
        <v>-80.9408688</v>
      </c>
      <c r="E619" t="str">
        <f t="shared" si="57"/>
        <v>519-376-2495</v>
      </c>
      <c r="F619" t="str">
        <f t="shared" si="58"/>
        <v>N4K 2H9</v>
      </c>
      <c r="G619" t="str">
        <f t="shared" si="59"/>
        <v>[ "Murrays Sharpening &amp; Tool Repair", 44.5717094, -80.9408688, '519-376-2495', 'N4K 2H9'],</v>
      </c>
    </row>
    <row r="620" spans="1:7" x14ac:dyDescent="0.2">
      <c r="A620" t="s">
        <v>639</v>
      </c>
      <c r="B620" t="str">
        <f t="shared" si="54"/>
        <v>RONA</v>
      </c>
      <c r="C620" t="str">
        <f t="shared" si="55"/>
        <v>44.5652534</v>
      </c>
      <c r="D620" t="str">
        <f t="shared" si="56"/>
        <v>-80.9430214</v>
      </c>
      <c r="E620" t="str">
        <f t="shared" si="57"/>
        <v>519-376-7729</v>
      </c>
      <c r="F620" t="str">
        <f t="shared" si="58"/>
        <v>N4K 2H3</v>
      </c>
      <c r="G620" t="str">
        <f t="shared" si="59"/>
        <v>[ "RONA", 44.5652534, -80.9430214, '519-376-7729', 'N4K 2H3'],</v>
      </c>
    </row>
    <row r="621" spans="1:7" x14ac:dyDescent="0.2">
      <c r="A621" t="s">
        <v>640</v>
      </c>
      <c r="B621" t="str">
        <f t="shared" si="54"/>
        <v>Sears (Canada)</v>
      </c>
      <c r="C621" t="str">
        <f t="shared" si="55"/>
        <v>44.5741628282828</v>
      </c>
      <c r="D621" t="str">
        <f t="shared" si="56"/>
        <v>-80.9216897979798</v>
      </c>
      <c r="E621" t="str">
        <f t="shared" si="57"/>
        <v>519-376-8080</v>
      </c>
      <c r="F621" t="str">
        <f t="shared" si="58"/>
        <v>N4K 6N7</v>
      </c>
      <c r="G621" t="str">
        <f t="shared" si="59"/>
        <v>[ "Sears (Canada)", 44.5741628282828, -80.9216897979798, '519-376-8080', 'N4K 6N7'],</v>
      </c>
    </row>
    <row r="622" spans="1:7" x14ac:dyDescent="0.2">
      <c r="A622" t="s">
        <v>641</v>
      </c>
      <c r="B622" t="str">
        <f t="shared" si="54"/>
        <v>Staples</v>
      </c>
      <c r="C622" t="str">
        <f t="shared" si="55"/>
        <v>44.57018</v>
      </c>
      <c r="D622" t="str">
        <f t="shared" si="56"/>
        <v>-80.92203</v>
      </c>
      <c r="E622" t="str">
        <f t="shared" si="57"/>
        <v>519-372-2228</v>
      </c>
      <c r="F622" t="str">
        <f t="shared" si="58"/>
        <v>N4K 5S2</v>
      </c>
      <c r="G622" t="str">
        <f t="shared" si="59"/>
        <v>[ "Staples", 44.57018, -80.92203, '519-372-2228', 'N4K 5S2'],</v>
      </c>
    </row>
    <row r="623" spans="1:7" x14ac:dyDescent="0.2">
      <c r="A623" t="s">
        <v>642</v>
      </c>
      <c r="B623" t="str">
        <f t="shared" si="54"/>
        <v>Home Depot</v>
      </c>
      <c r="C623" t="str">
        <f t="shared" si="55"/>
        <v>44.5832195483447</v>
      </c>
      <c r="D623" t="str">
        <f t="shared" si="56"/>
        <v>-80.9055115611075</v>
      </c>
      <c r="E623" t="str">
        <f t="shared" si="57"/>
        <v>519-372-3970</v>
      </c>
      <c r="F623" t="str">
        <f t="shared" si="58"/>
        <v>N4K 2B5</v>
      </c>
      <c r="G623" t="str">
        <f t="shared" si="59"/>
        <v>[ "Home Depot", 44.5832195483447, -80.9055115611075, '519-372-3970', 'N4K 2B5'],</v>
      </c>
    </row>
    <row r="624" spans="1:7" x14ac:dyDescent="0.2">
      <c r="A624" t="s">
        <v>643</v>
      </c>
      <c r="B624" t="str">
        <f t="shared" si="54"/>
        <v>City of Owen Sound</v>
      </c>
      <c r="C624" t="str">
        <f t="shared" si="55"/>
        <v>44.5838226929319</v>
      </c>
      <c r="D624" t="str">
        <f t="shared" si="56"/>
        <v>-80.9002807372817</v>
      </c>
      <c r="E624" t="str">
        <f t="shared" si="57"/>
        <v>519-376-4274</v>
      </c>
      <c r="F624" t="str">
        <f t="shared" si="58"/>
        <v>N4K 5N3</v>
      </c>
      <c r="G624" t="str">
        <f t="shared" si="59"/>
        <v>[ "City of Owen Sound", 44.5838226929319, -80.9002807372817, '519-376-4274', 'N4K 5N3'],</v>
      </c>
    </row>
    <row r="625" spans="1:7" x14ac:dyDescent="0.2">
      <c r="A625" t="s">
        <v>644</v>
      </c>
      <c r="B625" t="str">
        <f t="shared" si="54"/>
        <v>The Source</v>
      </c>
      <c r="C625" t="str">
        <f t="shared" si="55"/>
        <v>44.5756734802963</v>
      </c>
      <c r="D625" t="str">
        <f t="shared" si="56"/>
        <v>-80.9084239243326</v>
      </c>
      <c r="E625" t="str">
        <f t="shared" si="57"/>
        <v>519-376-5041</v>
      </c>
      <c r="F625" t="str">
        <f t="shared" si="58"/>
        <v>N4K 5N3</v>
      </c>
      <c r="G625" t="str">
        <f t="shared" si="59"/>
        <v>[ "The Source", 44.5756734802963, -80.9084239243326, '519-376-5041', 'N4K 5N3'],</v>
      </c>
    </row>
    <row r="626" spans="1:7" x14ac:dyDescent="0.2">
      <c r="A626" t="s">
        <v>645</v>
      </c>
      <c r="B626" t="str">
        <f t="shared" si="54"/>
        <v>Princess Auto</v>
      </c>
      <c r="C626" t="str">
        <f t="shared" si="55"/>
        <v>44.5766641395434</v>
      </c>
      <c r="D626" t="str">
        <f t="shared" si="56"/>
        <v>-80.8997548332625</v>
      </c>
      <c r="E626" t="str">
        <f t="shared" si="57"/>
        <v>226-256-8260</v>
      </c>
      <c r="F626" t="str">
        <f t="shared" si="58"/>
        <v>N4K 0E2</v>
      </c>
      <c r="G626" t="str">
        <f t="shared" si="59"/>
        <v>[ "Princess Auto", 44.5766641395434, -80.8997548332625, '226-256-8260', 'N4K 0E2'],</v>
      </c>
    </row>
    <row r="627" spans="1:7" x14ac:dyDescent="0.2">
      <c r="A627" t="s">
        <v>646</v>
      </c>
      <c r="B627" t="str">
        <f t="shared" si="54"/>
        <v>The Source</v>
      </c>
      <c r="C627" t="str">
        <f t="shared" si="55"/>
        <v>44.42609</v>
      </c>
      <c r="D627" t="str">
        <f t="shared" si="56"/>
        <v>-81.39685</v>
      </c>
      <c r="E627" t="str">
        <f t="shared" si="57"/>
        <v>519-832-3100</v>
      </c>
      <c r="F627" t="str">
        <f t="shared" si="58"/>
        <v>N0H 2C1</v>
      </c>
      <c r="G627" t="str">
        <f t="shared" si="59"/>
        <v>[ "The Source", 44.42609, -81.39685, '519-832-3100', 'N0H 2C1'],</v>
      </c>
    </row>
    <row r="628" spans="1:7" x14ac:dyDescent="0.2">
      <c r="A628" t="s">
        <v>647</v>
      </c>
      <c r="B628" t="str">
        <f t="shared" si="54"/>
        <v>Princess Auto</v>
      </c>
      <c r="C628" t="str">
        <f t="shared" si="55"/>
        <v>44.3394913947389</v>
      </c>
      <c r="D628" t="str">
        <f t="shared" si="56"/>
        <v>-79.6907598235247</v>
      </c>
      <c r="E628" t="str">
        <f t="shared" si="57"/>
        <v>705-739-0575</v>
      </c>
      <c r="F628" t="str">
        <f t="shared" si="58"/>
        <v>L4N 8V4</v>
      </c>
      <c r="G628" t="str">
        <f t="shared" si="59"/>
        <v>[ "Princess Auto", 44.3394913947389, -79.6907598235247, '705-739-0575', 'L4N 8V4'],</v>
      </c>
    </row>
    <row r="629" spans="1:7" x14ac:dyDescent="0.2">
      <c r="A629" t="s">
        <v>648</v>
      </c>
      <c r="B629" t="str">
        <f t="shared" si="54"/>
        <v>The Source</v>
      </c>
      <c r="C629" t="str">
        <f t="shared" si="55"/>
        <v>44.3345883986964</v>
      </c>
      <c r="D629" t="str">
        <f t="shared" si="56"/>
        <v>-79.6883767061378</v>
      </c>
      <c r="E629" t="str">
        <f t="shared" si="57"/>
        <v>705-726-6965</v>
      </c>
      <c r="F629" t="str">
        <f t="shared" si="58"/>
        <v>L4N 9H5</v>
      </c>
      <c r="G629" t="str">
        <f t="shared" si="59"/>
        <v>[ "The Source", 44.3345883986964, -79.6883767061378, '705-726-6965', 'L4N 9H5'],</v>
      </c>
    </row>
    <row r="630" spans="1:7" x14ac:dyDescent="0.2">
      <c r="A630" t="s">
        <v>649</v>
      </c>
      <c r="B630" t="str">
        <f t="shared" si="54"/>
        <v>Staples</v>
      </c>
      <c r="C630" t="str">
        <f t="shared" si="55"/>
        <v>44.3378780769231</v>
      </c>
      <c r="D630" t="str">
        <f t="shared" si="56"/>
        <v>-79.68763</v>
      </c>
      <c r="E630" t="str">
        <f t="shared" si="57"/>
        <v>705-733-3329</v>
      </c>
      <c r="F630" t="str">
        <f t="shared" si="58"/>
        <v>L4N 8V4</v>
      </c>
      <c r="G630" t="str">
        <f t="shared" si="59"/>
        <v>[ "Staples", 44.3378780769231, -79.68763, '705-733-3329', 'L4N 8V4'],</v>
      </c>
    </row>
    <row r="631" spans="1:7" x14ac:dyDescent="0.2">
      <c r="A631" t="s">
        <v>650</v>
      </c>
      <c r="B631" t="str">
        <f t="shared" si="54"/>
        <v>Mountain Equipment Co-op</v>
      </c>
      <c r="C631" t="str">
        <f t="shared" si="55"/>
        <v>44.3555056096924</v>
      </c>
      <c r="D631" t="str">
        <f t="shared" si="56"/>
        <v>-79.6950121487654</v>
      </c>
      <c r="E631" t="str">
        <f t="shared" si="57"/>
        <v>705-792-4675</v>
      </c>
      <c r="F631" t="str">
        <f t="shared" si="58"/>
        <v>L4N 8V8</v>
      </c>
      <c r="G631" t="str">
        <f t="shared" si="59"/>
        <v>[ "Mountain Equipment Co-op", 44.3555056096924, -79.6950121487654, '705-792-4675', 'L4N 8V8'],</v>
      </c>
    </row>
    <row r="632" spans="1:7" x14ac:dyDescent="0.2">
      <c r="A632" t="s">
        <v>651</v>
      </c>
      <c r="B632" t="str">
        <f t="shared" si="54"/>
        <v>Home Depot</v>
      </c>
      <c r="C632" t="str">
        <f t="shared" si="55"/>
        <v>44.3383230769231</v>
      </c>
      <c r="D632" t="str">
        <f t="shared" si="56"/>
        <v>-79.6875</v>
      </c>
      <c r="E632" t="str">
        <f t="shared" si="57"/>
        <v>705-733-2800</v>
      </c>
      <c r="F632" t="str">
        <f t="shared" si="58"/>
        <v>L4N 8V4</v>
      </c>
      <c r="G632" t="str">
        <f t="shared" si="59"/>
        <v>[ "Home Depot", 44.3383230769231, -79.6875, '705-733-2800', 'L4N 8V4'],</v>
      </c>
    </row>
    <row r="633" spans="1:7" x14ac:dyDescent="0.2">
      <c r="A633" t="s">
        <v>652</v>
      </c>
      <c r="B633" t="str">
        <f t="shared" si="54"/>
        <v>Henrys</v>
      </c>
      <c r="C633" t="str">
        <f t="shared" si="55"/>
        <v>44.3368537264172</v>
      </c>
      <c r="D633" t="str">
        <f t="shared" si="56"/>
        <v>-79.6809685624446</v>
      </c>
      <c r="E633" t="str">
        <f t="shared" si="57"/>
        <v>705-720-2300</v>
      </c>
      <c r="F633" t="str">
        <f t="shared" si="58"/>
        <v>L4N 6P1</v>
      </c>
      <c r="G633" t="str">
        <f t="shared" si="59"/>
        <v>[ "Henrys", 44.3368537264172, -79.6809685624446, '705-720-2300', 'L4N 6P1'],</v>
      </c>
    </row>
    <row r="634" spans="1:7" x14ac:dyDescent="0.2">
      <c r="A634" t="s">
        <v>653</v>
      </c>
      <c r="B634" t="str">
        <f t="shared" si="54"/>
        <v>RONA</v>
      </c>
      <c r="C634" t="str">
        <f t="shared" si="55"/>
        <v>44.3364375</v>
      </c>
      <c r="D634" t="str">
        <f t="shared" si="56"/>
        <v>-79.6802366666667</v>
      </c>
      <c r="E634" t="str">
        <f t="shared" si="57"/>
        <v>705-792-6670</v>
      </c>
      <c r="F634" t="str">
        <f t="shared" si="58"/>
        <v>L4N 9H5</v>
      </c>
      <c r="G634" t="str">
        <f t="shared" si="59"/>
        <v>[ "RONA", 44.3364375, -79.6802366666667, '705-792-6670', 'L4N 9H5'],</v>
      </c>
    </row>
    <row r="635" spans="1:7" x14ac:dyDescent="0.2">
      <c r="A635" t="s">
        <v>654</v>
      </c>
      <c r="B635" t="str">
        <f t="shared" si="54"/>
        <v>The Source</v>
      </c>
      <c r="C635" t="str">
        <f t="shared" si="55"/>
        <v>44.3552610195549</v>
      </c>
      <c r="D635" t="str">
        <f t="shared" si="56"/>
        <v>-79.6814634338286</v>
      </c>
      <c r="E635" t="str">
        <f t="shared" si="57"/>
        <v>705-728-4837</v>
      </c>
      <c r="F635" t="str">
        <f t="shared" si="58"/>
        <v>L4N 3N7</v>
      </c>
      <c r="G635" t="str">
        <f t="shared" si="59"/>
        <v>[ "The Source", 44.3552610195549, -79.6814634338286, '705-728-4837', 'L4N 3N7'],</v>
      </c>
    </row>
    <row r="636" spans="1:7" x14ac:dyDescent="0.2">
      <c r="A636" t="s">
        <v>655</v>
      </c>
      <c r="B636" t="str">
        <f t="shared" si="54"/>
        <v>Point to Point Communications</v>
      </c>
      <c r="C636" t="str">
        <f t="shared" si="55"/>
        <v>44.3355679294061</v>
      </c>
      <c r="D636" t="str">
        <f t="shared" si="56"/>
        <v>-79.6738948305988</v>
      </c>
      <c r="E636" t="str">
        <f t="shared" si="57"/>
        <v>705-721-9877</v>
      </c>
      <c r="F636" t="str">
        <f t="shared" si="58"/>
        <v>L4N 8Z9</v>
      </c>
      <c r="G636" t="str">
        <f t="shared" si="59"/>
        <v>[ "Point to Point Communications", 44.3355679294061, -79.6738948305988, '705-721-9877', 'L4N 8Z9'],</v>
      </c>
    </row>
    <row r="637" spans="1:7" x14ac:dyDescent="0.2">
      <c r="A637" t="s">
        <v>656</v>
      </c>
      <c r="B637" t="str">
        <f t="shared" si="54"/>
        <v>Canadian Tire</v>
      </c>
      <c r="C637" t="str">
        <f t="shared" si="55"/>
        <v>44.40157</v>
      </c>
      <c r="D637" t="str">
        <f t="shared" si="56"/>
        <v>-79.70077</v>
      </c>
      <c r="E637" t="str">
        <f t="shared" si="57"/>
        <v>705-726-6418</v>
      </c>
      <c r="F637" t="str">
        <f t="shared" si="58"/>
        <v>L4M 3C1</v>
      </c>
      <c r="G637" t="str">
        <f t="shared" si="59"/>
        <v>[ "Canadian Tire", 44.40157, -79.70077, '705-726-6418', 'L4M 3C1'],</v>
      </c>
    </row>
    <row r="638" spans="1:7" x14ac:dyDescent="0.2">
      <c r="A638" t="s">
        <v>657</v>
      </c>
      <c r="B638" t="str">
        <f t="shared" si="54"/>
        <v>The Source</v>
      </c>
      <c r="C638" t="str">
        <f t="shared" si="55"/>
        <v>44.41404</v>
      </c>
      <c r="D638" t="str">
        <f t="shared" si="56"/>
        <v>-79.71168</v>
      </c>
      <c r="E638" t="str">
        <f t="shared" si="57"/>
        <v>705-726-0987</v>
      </c>
      <c r="F638" t="str">
        <f t="shared" si="58"/>
        <v>L4M 4Z8</v>
      </c>
      <c r="G638" t="str">
        <f t="shared" si="59"/>
        <v>[ "The Source", 44.41404, -79.71168, '705-726-0987', 'L4M 4Z8'],</v>
      </c>
    </row>
    <row r="639" spans="1:7" x14ac:dyDescent="0.2">
      <c r="A639" t="s">
        <v>658</v>
      </c>
      <c r="B639" t="str">
        <f t="shared" si="54"/>
        <v>Sears (Canada)</v>
      </c>
      <c r="C639" t="str">
        <f t="shared" si="55"/>
        <v>44.4146266666667</v>
      </c>
      <c r="D639" t="str">
        <f t="shared" si="56"/>
        <v>-79.7121866666667</v>
      </c>
      <c r="E639" t="str">
        <f t="shared" si="57"/>
        <v>705-726-4451</v>
      </c>
      <c r="F639" t="str">
        <f t="shared" si="58"/>
        <v>L4M 4Z9</v>
      </c>
      <c r="G639" t="str">
        <f t="shared" si="59"/>
        <v>[ "Sears (Canada)", 44.4146266666667, -79.7121866666667, '705-726-4451', 'L4M 4Z9'],</v>
      </c>
    </row>
    <row r="640" spans="1:7" x14ac:dyDescent="0.2">
      <c r="A640" t="s">
        <v>659</v>
      </c>
      <c r="B640" t="str">
        <f t="shared" si="54"/>
        <v>Dashvapes Inc</v>
      </c>
      <c r="C640" t="str">
        <f t="shared" si="55"/>
        <v>44.4152877777778</v>
      </c>
      <c r="D640" t="str">
        <f t="shared" si="56"/>
        <v>-79.7127644444444</v>
      </c>
      <c r="E640" t="str">
        <f t="shared" si="57"/>
        <v>705-915-3274</v>
      </c>
      <c r="F640" t="str">
        <f t="shared" si="58"/>
        <v>L4M 4Z9</v>
      </c>
      <c r="G640" t="str">
        <f t="shared" si="59"/>
        <v>[ "Dashvapes Inc", 44.4152877777778, -79.7127644444444, '705-915-3274', 'L4M 4Z9'],</v>
      </c>
    </row>
    <row r="641" spans="1:7" x14ac:dyDescent="0.2">
      <c r="A641" t="s">
        <v>660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Staples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44.4170117391304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-79.7142417391304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705-735-4058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L4M 4Z9</v>
      </c>
      <c r="G641" t="str">
        <f t="shared" ref="G641:G704" si="65">"[ "&amp;CHAR(34)&amp;B641&amp;CHAR(34)&amp;", "&amp;C641&amp;", "&amp;D641&amp;", '"&amp;E641&amp;"', '"&amp;F641&amp;"'],"</f>
        <v>[ "Staples", 44.4170117391304, -79.7142417391304, '705-735-4058', 'L4M 4Z9'],</v>
      </c>
    </row>
    <row r="642" spans="1:7" x14ac:dyDescent="0.2">
      <c r="A642" t="s">
        <v>661</v>
      </c>
      <c r="B642" t="str">
        <f t="shared" si="60"/>
        <v>ListenUp! Canada</v>
      </c>
      <c r="C642" t="str">
        <f t="shared" si="61"/>
        <v>44.415656122449</v>
      </c>
      <c r="D642" t="str">
        <f t="shared" si="62"/>
        <v>-79.6589920408163</v>
      </c>
      <c r="E642" t="str">
        <f t="shared" si="63"/>
        <v>705-719-7009</v>
      </c>
      <c r="F642" t="str">
        <f t="shared" si="64"/>
        <v>L4M 7G1</v>
      </c>
      <c r="G642" t="str">
        <f t="shared" si="65"/>
        <v>[ "ListenUp! Canada", 44.415656122449, -79.6589920408163, '705-719-7009', 'L4M 7G1'],</v>
      </c>
    </row>
    <row r="643" spans="1:7" x14ac:dyDescent="0.2">
      <c r="A643" t="s">
        <v>662</v>
      </c>
      <c r="B643" t="str">
        <f t="shared" si="60"/>
        <v>The Source</v>
      </c>
      <c r="C643" t="str">
        <f t="shared" si="61"/>
        <v>44.3083969623904</v>
      </c>
      <c r="D643" t="str">
        <f t="shared" si="62"/>
        <v>-79.5762149746913</v>
      </c>
      <c r="E643" t="str">
        <f t="shared" si="63"/>
        <v>705-436-4070</v>
      </c>
      <c r="F643" t="str">
        <f t="shared" si="64"/>
        <v>L9S 4B2</v>
      </c>
      <c r="G643" t="str">
        <f t="shared" si="65"/>
        <v>[ "The Source", 44.3083969623904, -79.5762149746913, '705-436-4070', 'L9S 4B2'],</v>
      </c>
    </row>
    <row r="644" spans="1:7" x14ac:dyDescent="0.2">
      <c r="A644" t="s">
        <v>663</v>
      </c>
      <c r="B644" t="str">
        <f t="shared" si="60"/>
        <v>The Source</v>
      </c>
      <c r="C644" t="str">
        <f t="shared" si="61"/>
        <v>44.14841</v>
      </c>
      <c r="D644" t="str">
        <f t="shared" si="62"/>
        <v>-79.88178</v>
      </c>
      <c r="E644" t="str">
        <f t="shared" si="63"/>
        <v>705-435-7102</v>
      </c>
      <c r="F644" t="str">
        <f t="shared" si="64"/>
        <v>L9R 1P8</v>
      </c>
      <c r="G644" t="str">
        <f t="shared" si="65"/>
        <v>[ "The Source", 44.14841, -79.88178, '705-435-7102', 'L9R 1P8'],</v>
      </c>
    </row>
    <row r="645" spans="1:7" x14ac:dyDescent="0.2">
      <c r="A645" t="s">
        <v>664</v>
      </c>
      <c r="B645" t="str">
        <f t="shared" si="60"/>
        <v>Staples</v>
      </c>
      <c r="C645" t="str">
        <f t="shared" si="61"/>
        <v>44.148355</v>
      </c>
      <c r="D645" t="str">
        <f t="shared" si="62"/>
        <v>-79.882015</v>
      </c>
      <c r="E645" t="str">
        <f t="shared" si="63"/>
        <v>705-434-4992</v>
      </c>
      <c r="F645" t="str">
        <f t="shared" si="64"/>
        <v>L9R 1P8</v>
      </c>
      <c r="G645" t="str">
        <f t="shared" si="65"/>
        <v>[ "Staples", 44.148355, -79.882015, '705-434-4992', 'L9R 1P8'],</v>
      </c>
    </row>
    <row r="646" spans="1:7" x14ac:dyDescent="0.2">
      <c r="A646" t="s">
        <v>665</v>
      </c>
      <c r="B646" t="str">
        <f t="shared" si="60"/>
        <v>The Source</v>
      </c>
      <c r="C646" t="str">
        <f t="shared" si="61"/>
        <v>44.4292733333333</v>
      </c>
      <c r="D646" t="str">
        <f t="shared" si="62"/>
        <v>-79.1527777777778</v>
      </c>
      <c r="E646" t="str">
        <f t="shared" si="63"/>
        <v>705-426-7795</v>
      </c>
      <c r="F646" t="str">
        <f t="shared" si="64"/>
        <v>L0K 1A0</v>
      </c>
      <c r="G646" t="str">
        <f t="shared" si="65"/>
        <v>[ "The Source", 44.4292733333333, -79.1527777777778, '705-426-7795', 'L0K 1A0'],</v>
      </c>
    </row>
    <row r="647" spans="1:7" x14ac:dyDescent="0.2">
      <c r="A647" t="s">
        <v>666</v>
      </c>
      <c r="B647" t="str">
        <f t="shared" si="60"/>
        <v>Staples</v>
      </c>
      <c r="C647" t="str">
        <f t="shared" si="61"/>
        <v>44.34876</v>
      </c>
      <c r="D647" t="str">
        <f t="shared" si="62"/>
        <v>-78.76655</v>
      </c>
      <c r="E647" t="str">
        <f t="shared" si="63"/>
        <v>705-328-3427</v>
      </c>
      <c r="F647" t="str">
        <f t="shared" si="64"/>
        <v>K9V 2Z7</v>
      </c>
      <c r="G647" t="str">
        <f t="shared" si="65"/>
        <v>[ "Staples", 44.34876, -78.76655, '705-328-3427', 'K9V 2Z7'],</v>
      </c>
    </row>
    <row r="648" spans="1:7" x14ac:dyDescent="0.2">
      <c r="A648" t="s">
        <v>667</v>
      </c>
      <c r="B648" t="str">
        <f t="shared" si="60"/>
        <v>The Source</v>
      </c>
      <c r="C648" t="str">
        <f t="shared" si="61"/>
        <v>44.35011</v>
      </c>
      <c r="D648" t="str">
        <f t="shared" si="62"/>
        <v>-78.7597</v>
      </c>
      <c r="E648" t="str">
        <f t="shared" si="63"/>
        <v>705-324-1901</v>
      </c>
      <c r="F648" t="str">
        <f t="shared" si="64"/>
        <v>K9V 4Z1</v>
      </c>
      <c r="G648" t="str">
        <f t="shared" si="65"/>
        <v>[ "The Source", 44.35011, -78.7597, '705-324-1901', 'K9V 4Z1'],</v>
      </c>
    </row>
    <row r="649" spans="1:7" x14ac:dyDescent="0.2">
      <c r="A649" t="s">
        <v>668</v>
      </c>
      <c r="B649" t="str">
        <f t="shared" si="60"/>
        <v>ListenUp! Canada</v>
      </c>
      <c r="C649" t="str">
        <f t="shared" si="61"/>
        <v>44.3533542857143</v>
      </c>
      <c r="D649" t="str">
        <f t="shared" si="62"/>
        <v>-78.7440314285714</v>
      </c>
      <c r="E649" t="str">
        <f t="shared" si="63"/>
        <v>705-328-9181</v>
      </c>
      <c r="F649" t="str">
        <f t="shared" si="64"/>
        <v>K9V 6A4</v>
      </c>
      <c r="G649" t="str">
        <f t="shared" si="65"/>
        <v>[ "ListenUp! Canada", 44.3533542857143, -78.7440314285714, '705-328-9181', 'K9V 6A4'],</v>
      </c>
    </row>
    <row r="650" spans="1:7" x14ac:dyDescent="0.2">
      <c r="A650" t="s">
        <v>669</v>
      </c>
      <c r="B650" t="str">
        <f t="shared" si="60"/>
        <v>Home Hardware</v>
      </c>
      <c r="C650" t="str">
        <f t="shared" si="61"/>
        <v>44.35381</v>
      </c>
      <c r="D650" t="str">
        <f t="shared" si="62"/>
        <v>-78.74207</v>
      </c>
      <c r="E650" t="str">
        <f t="shared" si="63"/>
        <v>705-324-4611</v>
      </c>
      <c r="F650" t="str">
        <f t="shared" si="64"/>
        <v>K9V 2Y9</v>
      </c>
      <c r="G650" t="str">
        <f t="shared" si="65"/>
        <v>[ "Home Hardware", 44.35381, -78.74207, '705-324-4611', 'K9V 2Y9'],</v>
      </c>
    </row>
    <row r="651" spans="1:7" x14ac:dyDescent="0.2">
      <c r="A651" t="s">
        <v>670</v>
      </c>
      <c r="B651" t="str">
        <f t="shared" si="60"/>
        <v>Home Building Center</v>
      </c>
      <c r="C651" t="str">
        <f t="shared" si="61"/>
        <v>44.34109</v>
      </c>
      <c r="D651" t="str">
        <f t="shared" si="62"/>
        <v>-78.72824</v>
      </c>
      <c r="E651" t="str">
        <f t="shared" si="63"/>
        <v>705-324-3516</v>
      </c>
      <c r="F651" t="str">
        <f t="shared" si="64"/>
        <v>K9V 2N3</v>
      </c>
      <c r="G651" t="str">
        <f t="shared" si="65"/>
        <v>[ "Home Building Center", 44.34109, -78.72824, '705-324-3516', 'K9V 2N3'],</v>
      </c>
    </row>
    <row r="652" spans="1:7" x14ac:dyDescent="0.2">
      <c r="A652" t="s">
        <v>672</v>
      </c>
      <c r="B652" t="str">
        <f t="shared" si="60"/>
        <v>RONA</v>
      </c>
      <c r="C652" t="str">
        <f t="shared" si="61"/>
        <v>44.421163</v>
      </c>
      <c r="D652" t="str">
        <f t="shared" si="62"/>
        <v>-78.271105</v>
      </c>
      <c r="E652" t="str">
        <f t="shared" si="63"/>
        <v>705-652-3347</v>
      </c>
      <c r="F652" t="str">
        <f t="shared" si="64"/>
        <v>K0L 2H0</v>
      </c>
      <c r="G652" t="str">
        <f t="shared" si="65"/>
        <v>[ "RONA", 44.421163, -78.271105, '705-652-3347', 'K0L 2H0'],</v>
      </c>
    </row>
    <row r="653" spans="1:7" x14ac:dyDescent="0.2">
      <c r="A653" t="s">
        <v>673</v>
      </c>
      <c r="B653" t="str">
        <f t="shared" si="60"/>
        <v>Kawartha Hardware Limited</v>
      </c>
      <c r="C653" t="str">
        <f t="shared" si="61"/>
        <v>44.42319</v>
      </c>
      <c r="D653" t="str">
        <f t="shared" si="62"/>
        <v>-78.2721875</v>
      </c>
      <c r="E653" t="str">
        <f t="shared" si="63"/>
        <v>705-652-3171</v>
      </c>
      <c r="F653" t="str">
        <f t="shared" si="64"/>
        <v>K0L 2H0</v>
      </c>
      <c r="G653" t="str">
        <f t="shared" si="65"/>
        <v>[ "Kawartha Hardware Limited", 44.42319, -78.2721875, '705-652-3171', 'K0L 2H0'],</v>
      </c>
    </row>
    <row r="654" spans="1:7" x14ac:dyDescent="0.2">
      <c r="A654" t="s">
        <v>674</v>
      </c>
      <c r="B654" t="str">
        <f t="shared" si="60"/>
        <v>ListenUp! Canada</v>
      </c>
      <c r="C654" t="str">
        <f t="shared" si="61"/>
        <v>44.30466</v>
      </c>
      <c r="D654" t="str">
        <f t="shared" si="62"/>
        <v>-78.31997</v>
      </c>
      <c r="E654" t="str">
        <f t="shared" si="63"/>
        <v>705-741-2947</v>
      </c>
      <c r="F654" t="str">
        <f t="shared" si="64"/>
        <v>K9H 3R2</v>
      </c>
      <c r="G654" t="str">
        <f t="shared" si="65"/>
        <v>[ "ListenUp! Canada", 44.30466, -78.31997, '705-741-2947', 'K9H 3R2'],</v>
      </c>
    </row>
    <row r="655" spans="1:7" x14ac:dyDescent="0.2">
      <c r="A655" t="s">
        <v>675</v>
      </c>
      <c r="B655" t="str">
        <f t="shared" si="60"/>
        <v>MNRF</v>
      </c>
      <c r="C655" t="str">
        <f t="shared" si="61"/>
        <v>44.3025876914989</v>
      </c>
      <c r="D655" t="str">
        <f t="shared" si="62"/>
        <v>-78.3189538463336</v>
      </c>
      <c r="E655" t="str">
        <f t="shared" si="63"/>
        <v>705-755-1740</v>
      </c>
      <c r="F655" t="str">
        <f t="shared" si="64"/>
        <v>K9J 3C7</v>
      </c>
      <c r="G655" t="str">
        <f t="shared" si="65"/>
        <v>[ "MNRF", 44.3025876914989, -78.3189538463336, '705-755-1740', 'K9J 3C7'],</v>
      </c>
    </row>
    <row r="656" spans="1:7" x14ac:dyDescent="0.2">
      <c r="A656" t="s">
        <v>676</v>
      </c>
      <c r="B656" t="str">
        <f t="shared" si="60"/>
        <v>Larry Electric Motor Service Ltd</v>
      </c>
      <c r="C656" t="str">
        <f t="shared" si="61"/>
        <v>44.3008138095238</v>
      </c>
      <c r="D656" t="str">
        <f t="shared" si="62"/>
        <v>-78.3198766666667</v>
      </c>
      <c r="E656" t="str">
        <f t="shared" si="63"/>
        <v>705-743-3167</v>
      </c>
      <c r="F656" t="str">
        <f t="shared" si="64"/>
        <v>K9J 2N3</v>
      </c>
      <c r="G656" t="str">
        <f t="shared" si="65"/>
        <v>[ "Larry Electric Motor Service Ltd", 44.3008138095238, -78.3198766666667, '705-743-3167', 'K9J 2N3'],</v>
      </c>
    </row>
    <row r="657" spans="1:7" x14ac:dyDescent="0.2">
      <c r="A657" t="s">
        <v>677</v>
      </c>
      <c r="B657" t="str">
        <f t="shared" si="60"/>
        <v>Staples</v>
      </c>
      <c r="C657" t="str">
        <f t="shared" si="61"/>
        <v>44.2896633333333</v>
      </c>
      <c r="D657" t="str">
        <f t="shared" si="62"/>
        <v>-78.3234533333333</v>
      </c>
      <c r="E657" t="str">
        <f t="shared" si="63"/>
        <v>705-741-1130</v>
      </c>
      <c r="F657" t="str">
        <f t="shared" si="64"/>
        <v>K9J 3R8</v>
      </c>
      <c r="G657" t="str">
        <f t="shared" si="65"/>
        <v>[ "Staples", 44.2896633333333, -78.3234533333333, '705-741-1130', 'K9J 3R8'],</v>
      </c>
    </row>
    <row r="658" spans="1:7" x14ac:dyDescent="0.2">
      <c r="A658" t="s">
        <v>678</v>
      </c>
      <c r="B658" t="str">
        <f t="shared" si="60"/>
        <v>Home Depot</v>
      </c>
      <c r="C658" t="str">
        <f t="shared" si="61"/>
        <v>44.2865753416109</v>
      </c>
      <c r="D658" t="str">
        <f t="shared" si="62"/>
        <v>-78.3271086335564</v>
      </c>
      <c r="E658" t="str">
        <f t="shared" si="63"/>
        <v>705-876-4560</v>
      </c>
      <c r="F658" t="str">
        <f t="shared" si="64"/>
        <v>K9J 8J7</v>
      </c>
      <c r="G658" t="str">
        <f t="shared" si="65"/>
        <v>[ "Home Depot", 44.2865753416109, -78.3271086335564, '705-876-4560', 'K9J 8J7'],</v>
      </c>
    </row>
    <row r="659" spans="1:7" x14ac:dyDescent="0.2">
      <c r="A659" t="s">
        <v>679</v>
      </c>
      <c r="B659" t="str">
        <f t="shared" si="60"/>
        <v>The Source</v>
      </c>
      <c r="C659" t="str">
        <f t="shared" si="61"/>
        <v>44.28491</v>
      </c>
      <c r="D659" t="str">
        <f t="shared" si="62"/>
        <v>-78.3334</v>
      </c>
      <c r="E659" t="str">
        <f t="shared" si="63"/>
        <v>705-743-2189</v>
      </c>
      <c r="F659" t="str">
        <f t="shared" si="64"/>
        <v>K9J 7Y5</v>
      </c>
      <c r="G659" t="str">
        <f t="shared" si="65"/>
        <v>[ "The Source", 44.28491, -78.3334, '705-743-2189', 'K9J 7Y5'],</v>
      </c>
    </row>
    <row r="660" spans="1:7" x14ac:dyDescent="0.2">
      <c r="A660" t="s">
        <v>680</v>
      </c>
      <c r="B660" t="str">
        <f t="shared" si="60"/>
        <v>ListenUp! Canada</v>
      </c>
      <c r="C660" t="str">
        <f t="shared" si="61"/>
        <v>44.284434</v>
      </c>
      <c r="D660" t="str">
        <f t="shared" si="62"/>
        <v>-78.350731</v>
      </c>
      <c r="E660" t="str">
        <f t="shared" si="63"/>
        <v>705-749-9180</v>
      </c>
      <c r="F660" t="str">
        <f t="shared" si="64"/>
        <v>K9J 5Y3</v>
      </c>
      <c r="G660" t="str">
        <f t="shared" si="65"/>
        <v>[ "ListenUp! Canada", 44.284434, -78.350731, '705-749-9180', 'K9J 5Y3'],</v>
      </c>
    </row>
    <row r="661" spans="1:7" x14ac:dyDescent="0.2">
      <c r="A661" t="s">
        <v>681</v>
      </c>
      <c r="B661" t="str">
        <f t="shared" si="60"/>
        <v>Best Buy Canada</v>
      </c>
      <c r="C661" t="str">
        <f t="shared" si="61"/>
        <v>44.28143</v>
      </c>
      <c r="D661" t="str">
        <f t="shared" si="62"/>
        <v>-78.34724</v>
      </c>
      <c r="E661" t="str">
        <f t="shared" si="63"/>
        <v>705-741-2081</v>
      </c>
      <c r="F661" t="str">
        <f t="shared" si="64"/>
        <v>K9J 7M2</v>
      </c>
      <c r="G661" t="str">
        <f t="shared" si="65"/>
        <v>[ "Best Buy Canada", 44.28143, -78.34724, '705-741-2081', 'K9J 7M2'],</v>
      </c>
    </row>
    <row r="662" spans="1:7" x14ac:dyDescent="0.2">
      <c r="A662" t="s">
        <v>682</v>
      </c>
      <c r="B662" t="str">
        <f t="shared" si="60"/>
        <v>Canadian Tire</v>
      </c>
      <c r="C662" t="str">
        <f t="shared" si="61"/>
        <v>44.28028625</v>
      </c>
      <c r="D662" t="str">
        <f t="shared" si="62"/>
        <v>-78.35212875</v>
      </c>
      <c r="E662" t="str">
        <f t="shared" si="63"/>
        <v>705-742-0406</v>
      </c>
      <c r="F662" t="str">
        <f t="shared" si="64"/>
        <v>K9J 2A1</v>
      </c>
      <c r="G662" t="str">
        <f t="shared" si="65"/>
        <v>[ "Canadian Tire", 44.28028625, -78.35212875, '705-742-0406', 'K9J 2A1'],</v>
      </c>
    </row>
    <row r="663" spans="1:7" x14ac:dyDescent="0.2">
      <c r="A663" t="s">
        <v>683</v>
      </c>
      <c r="B663" t="str">
        <f t="shared" si="60"/>
        <v>Township of Douro-Dummer</v>
      </c>
      <c r="C663" t="str">
        <f t="shared" si="61"/>
        <v>44.42824</v>
      </c>
      <c r="D663" t="str">
        <f t="shared" si="62"/>
        <v>-78.13654</v>
      </c>
      <c r="E663" t="str">
        <f t="shared" si="63"/>
        <v>705-652-8392</v>
      </c>
      <c r="F663" t="str">
        <f t="shared" si="64"/>
        <v>K0L 3A0</v>
      </c>
      <c r="G663" t="str">
        <f t="shared" si="65"/>
        <v>[ "Township of Douro-Dummer", 44.42824, -78.13654, '705-652-8392', 'K0L 3A0'],</v>
      </c>
    </row>
    <row r="664" spans="1:7" x14ac:dyDescent="0.2">
      <c r="A664" t="s">
        <v>685</v>
      </c>
      <c r="B664" t="str">
        <f t="shared" si="60"/>
        <v>Drummond Bldg Supplies</v>
      </c>
      <c r="C664" t="str">
        <f t="shared" si="61"/>
        <v>44.47863</v>
      </c>
      <c r="D664" t="str">
        <f t="shared" si="62"/>
        <v>-77.6922</v>
      </c>
      <c r="E664" t="str">
        <f t="shared" si="63"/>
        <v>613-472-2628</v>
      </c>
      <c r="F664" t="str">
        <f t="shared" si="64"/>
        <v>K0K 2M0</v>
      </c>
      <c r="G664" t="str">
        <f t="shared" si="65"/>
        <v>[ "Drummond Bldg Supplies", 44.47863, -77.6922, '613-472-2628', 'K0K 2M0'],</v>
      </c>
    </row>
    <row r="665" spans="1:7" x14ac:dyDescent="0.2">
      <c r="A665" t="s">
        <v>686</v>
      </c>
      <c r="B665" t="str">
        <f t="shared" si="60"/>
        <v>RONA Campbellford</v>
      </c>
      <c r="C665" t="str">
        <f t="shared" si="61"/>
        <v>44.2890461052992</v>
      </c>
      <c r="D665" t="str">
        <f t="shared" si="62"/>
        <v>-77.8092744786324</v>
      </c>
      <c r="E665" t="str">
        <f t="shared" si="63"/>
        <v>705-653-1440</v>
      </c>
      <c r="F665" t="str">
        <f t="shared" si="64"/>
        <v>K0L 1L0</v>
      </c>
      <c r="G665" t="str">
        <f t="shared" si="65"/>
        <v>[ "RONA Campbellford", 44.2890461052992, -77.8092744786324, '705-653-1440', 'K0L 1L0'],</v>
      </c>
    </row>
    <row r="666" spans="1:7" x14ac:dyDescent="0.2">
      <c r="A666" t="s">
        <v>687</v>
      </c>
      <c r="B666" t="str">
        <f t="shared" si="60"/>
        <v>RONA</v>
      </c>
      <c r="C666" t="str">
        <f t="shared" si="61"/>
        <v>44.2918933333333</v>
      </c>
      <c r="D666" t="str">
        <f t="shared" si="62"/>
        <v>-77.5647533333333</v>
      </c>
      <c r="E666" t="str">
        <f t="shared" si="63"/>
        <v>613-395-3361</v>
      </c>
      <c r="F666" t="str">
        <f t="shared" si="64"/>
        <v>K0K 3E0</v>
      </c>
      <c r="G666" t="str">
        <f t="shared" si="65"/>
        <v>[ "RONA", 44.2918933333333, -77.5647533333333, '613-395-3361', 'K0K 3E0'],</v>
      </c>
    </row>
    <row r="667" spans="1:7" x14ac:dyDescent="0.2">
      <c r="A667" t="s">
        <v>688</v>
      </c>
      <c r="B667" t="str">
        <f t="shared" si="60"/>
        <v>Newburgh Pharmacy</v>
      </c>
      <c r="C667" t="str">
        <f t="shared" si="61"/>
        <v>44.41552</v>
      </c>
      <c r="D667" t="str">
        <f t="shared" si="62"/>
        <v>-76.98359</v>
      </c>
      <c r="E667" t="str">
        <f t="shared" si="63"/>
        <v>613-378-2220</v>
      </c>
      <c r="F667" t="str">
        <f t="shared" si="64"/>
        <v>K0K 2S0</v>
      </c>
      <c r="G667" t="str">
        <f t="shared" si="65"/>
        <v>[ "Newburgh Pharmacy", 44.41552, -76.98359, '613-378-2220', 'K0K 2S0'],</v>
      </c>
    </row>
    <row r="668" spans="1:7" x14ac:dyDescent="0.2">
      <c r="A668" t="s">
        <v>689</v>
      </c>
      <c r="B668" t="str">
        <f t="shared" si="60"/>
        <v>Drummond Bldg Supplies</v>
      </c>
      <c r="C668" t="str">
        <f t="shared" si="61"/>
        <v>44.47863</v>
      </c>
      <c r="D668" t="str">
        <f t="shared" si="62"/>
        <v>-77.6922</v>
      </c>
      <c r="E668" t="str">
        <f t="shared" si="63"/>
        <v>613-472-2628</v>
      </c>
      <c r="F668" t="str">
        <f t="shared" si="64"/>
        <v>K0K 2M0</v>
      </c>
      <c r="G668" t="str">
        <f t="shared" si="65"/>
        <v>[ "Drummond Bldg Supplies", 44.47863, -77.6922, '613-472-2628', 'K0K 2M0'],</v>
      </c>
    </row>
    <row r="669" spans="1:7" x14ac:dyDescent="0.2">
      <c r="A669" t="s">
        <v>690</v>
      </c>
      <c r="B669" t="str">
        <f t="shared" si="60"/>
        <v>ListenUp! Canada</v>
      </c>
      <c r="C669" t="str">
        <f t="shared" si="61"/>
        <v>44.9048185713514</v>
      </c>
      <c r="D669" t="str">
        <f t="shared" si="62"/>
        <v>-76.2661892542424</v>
      </c>
      <c r="E669" t="str">
        <f t="shared" si="63"/>
        <v>613-267-4877</v>
      </c>
      <c r="F669" t="str">
        <f t="shared" si="64"/>
        <v>K7H 2Y4</v>
      </c>
      <c r="G669" t="str">
        <f t="shared" si="65"/>
        <v>[ "ListenUp! Canada", 44.9048185713514, -76.2661892542424, '613-267-4877', 'K7H 2Y4'],</v>
      </c>
    </row>
    <row r="670" spans="1:7" x14ac:dyDescent="0.2">
      <c r="A670" t="s">
        <v>691</v>
      </c>
      <c r="B670" t="str">
        <f t="shared" si="60"/>
        <v>Perth Home Hardware</v>
      </c>
      <c r="C670" t="str">
        <f t="shared" si="61"/>
        <v>44.9122139448057</v>
      </c>
      <c r="D670" t="str">
        <f t="shared" si="62"/>
        <v>-76.2617478896113</v>
      </c>
      <c r="E670" t="str">
        <f t="shared" si="63"/>
        <v>613-267-4501</v>
      </c>
      <c r="F670" t="str">
        <f t="shared" si="64"/>
        <v>K7H 2K8</v>
      </c>
      <c r="G670" t="str">
        <f t="shared" si="65"/>
        <v>[ "Perth Home Hardware", 44.9122139448057, -76.2617478896113, '613-267-4501', 'K7H 2K8'],</v>
      </c>
    </row>
    <row r="671" spans="1:7" x14ac:dyDescent="0.2">
      <c r="A671" t="s">
        <v>692</v>
      </c>
      <c r="B671" t="str">
        <f t="shared" si="60"/>
        <v>Newburgh Pharmacy</v>
      </c>
      <c r="C671" t="str">
        <f t="shared" si="61"/>
        <v>44.41552</v>
      </c>
      <c r="D671" t="str">
        <f t="shared" si="62"/>
        <v>-76.98359</v>
      </c>
      <c r="E671" t="str">
        <f t="shared" si="63"/>
        <v>613-378-2220</v>
      </c>
      <c r="F671" t="str">
        <f t="shared" si="64"/>
        <v>K0K 2S0</v>
      </c>
      <c r="G671" t="str">
        <f t="shared" si="65"/>
        <v>[ "Newburgh Pharmacy", 44.41552, -76.98359, '613-378-2220', 'K0K 2S0'],</v>
      </c>
    </row>
    <row r="672" spans="1:7" x14ac:dyDescent="0.2">
      <c r="A672" t="s">
        <v>693</v>
      </c>
      <c r="B672" t="str">
        <f t="shared" si="60"/>
        <v>Drummond North Elmsley Twnsp</v>
      </c>
      <c r="C672" t="str">
        <f t="shared" si="61"/>
        <v>44.8894447890205</v>
      </c>
      <c r="D672" t="str">
        <f t="shared" si="62"/>
        <v>-76.1313426391912</v>
      </c>
      <c r="E672" t="str">
        <f t="shared" si="63"/>
        <v>613-267-6565</v>
      </c>
      <c r="F672" t="str">
        <f t="shared" si="64"/>
        <v>K7H 3C7</v>
      </c>
      <c r="G672" t="str">
        <f t="shared" si="65"/>
        <v>[ "Drummond North Elmsley Twnsp", 44.8894447890205, -76.1313426391912, '613-267-6565', 'K7H 3C7'],</v>
      </c>
    </row>
    <row r="673" spans="1:7" x14ac:dyDescent="0.2">
      <c r="A673" t="s">
        <v>694</v>
      </c>
      <c r="B673" t="str">
        <f t="shared" si="60"/>
        <v>The Source</v>
      </c>
      <c r="C673" t="str">
        <f t="shared" si="61"/>
        <v>45.4733353838408</v>
      </c>
      <c r="D673" t="str">
        <f t="shared" si="62"/>
        <v>-76.6620634021754</v>
      </c>
      <c r="E673" t="str">
        <f t="shared" si="63"/>
        <v>613-433-8805</v>
      </c>
      <c r="F673" t="str">
        <f t="shared" si="64"/>
        <v>K7V 0B4</v>
      </c>
      <c r="G673" t="str">
        <f t="shared" si="65"/>
        <v>[ "The Source", 45.4733353838408, -76.6620634021754, '613-433-8805', 'K7V 0B4'],</v>
      </c>
    </row>
    <row r="674" spans="1:7" x14ac:dyDescent="0.2">
      <c r="A674" t="s">
        <v>695</v>
      </c>
      <c r="B674" t="str">
        <f t="shared" si="60"/>
        <v>Canadian Tire</v>
      </c>
      <c r="C674" t="str">
        <f t="shared" si="61"/>
        <v>45.4815908474576</v>
      </c>
      <c r="D674" t="str">
        <f t="shared" si="62"/>
        <v>-76.6472638983051</v>
      </c>
      <c r="E674" t="str">
        <f t="shared" si="63"/>
        <v>613-432-5821</v>
      </c>
      <c r="F674" t="str">
        <f t="shared" si="64"/>
        <v>K7V 3Z4</v>
      </c>
      <c r="G674" t="str">
        <f t="shared" si="65"/>
        <v>[ "Canadian Tire", 45.4815908474576, -76.6472638983051, '613-432-5821', 'K7V 3Z4'],</v>
      </c>
    </row>
    <row r="675" spans="1:7" x14ac:dyDescent="0.2">
      <c r="A675" t="s">
        <v>696</v>
      </c>
      <c r="B675" t="str">
        <f t="shared" si="60"/>
        <v>ListenUp! Canada</v>
      </c>
      <c r="C675" t="str">
        <f t="shared" si="61"/>
        <v>45.13467</v>
      </c>
      <c r="D675" t="str">
        <f t="shared" si="62"/>
        <v>-76.1395070588235</v>
      </c>
      <c r="E675" t="str">
        <f t="shared" si="63"/>
        <v>613-253-0877</v>
      </c>
      <c r="F675" t="str">
        <f t="shared" si="64"/>
        <v>K7C 2T7</v>
      </c>
      <c r="G675" t="str">
        <f t="shared" si="65"/>
        <v>[ "ListenUp! Canada", 45.13467, -76.1395070588235, '613-253-0877', 'K7C 2T7'],</v>
      </c>
    </row>
    <row r="676" spans="1:7" x14ac:dyDescent="0.2">
      <c r="A676" t="s">
        <v>697</v>
      </c>
      <c r="B676" t="str">
        <f t="shared" si="60"/>
        <v>Canadian Tire</v>
      </c>
      <c r="C676" t="str">
        <f t="shared" si="61"/>
        <v>45.13363</v>
      </c>
      <c r="D676" t="str">
        <f t="shared" si="62"/>
        <v>-76.12181</v>
      </c>
      <c r="E676" t="str">
        <f t="shared" si="63"/>
        <v>613-253-8473</v>
      </c>
      <c r="F676" t="str">
        <f t="shared" si="64"/>
        <v>K7C 4S6</v>
      </c>
      <c r="G676" t="str">
        <f t="shared" si="65"/>
        <v>[ "Canadian Tire", 45.13363, -76.12181, '613-253-8473', 'K7C 4S6'],</v>
      </c>
    </row>
    <row r="677" spans="1:7" x14ac:dyDescent="0.2">
      <c r="A677" t="s">
        <v>698</v>
      </c>
      <c r="B677" t="str">
        <f t="shared" si="60"/>
        <v>The Source</v>
      </c>
      <c r="C677" t="str">
        <f t="shared" si="61"/>
        <v>45.1332345557538</v>
      </c>
      <c r="D677" t="str">
        <f t="shared" si="62"/>
        <v>-76.1213763011819</v>
      </c>
      <c r="E677" t="str">
        <f t="shared" si="63"/>
        <v>613-253-7813</v>
      </c>
      <c r="F677" t="str">
        <f t="shared" si="64"/>
        <v>K7C 0A8</v>
      </c>
      <c r="G677" t="str">
        <f t="shared" si="65"/>
        <v>[ "The Source", 45.1332345557538, -76.1213763011819, '613-253-7813', 'K7C 0A8'],</v>
      </c>
    </row>
    <row r="678" spans="1:7" x14ac:dyDescent="0.2">
      <c r="A678" t="s">
        <v>699</v>
      </c>
      <c r="B678" t="str">
        <f t="shared" si="60"/>
        <v>Staples</v>
      </c>
      <c r="C678" t="str">
        <f t="shared" si="61"/>
        <v>45.1327560185777</v>
      </c>
      <c r="D678" t="str">
        <f t="shared" si="62"/>
        <v>-76.1207543897624</v>
      </c>
      <c r="E678" t="str">
        <f t="shared" si="63"/>
        <v>613-253-2400</v>
      </c>
      <c r="F678" t="str">
        <f t="shared" si="64"/>
        <v>K7C 0A8</v>
      </c>
      <c r="G678" t="str">
        <f t="shared" si="65"/>
        <v>[ "Staples", 45.1327560185777, -76.1207543897624, '613-253-2400', 'K7C 0A8'],</v>
      </c>
    </row>
    <row r="679" spans="1:7" x14ac:dyDescent="0.2">
      <c r="A679" t="s">
        <v>700</v>
      </c>
      <c r="B679" t="str">
        <f t="shared" si="60"/>
        <v>Home Depot</v>
      </c>
      <c r="C679" t="str">
        <f t="shared" si="61"/>
        <v>45.13223</v>
      </c>
      <c r="D679" t="str">
        <f t="shared" si="62"/>
        <v>-76.12007</v>
      </c>
      <c r="E679" t="str">
        <f t="shared" si="63"/>
        <v>613-253-3870</v>
      </c>
      <c r="F679" t="str">
        <f t="shared" si="64"/>
        <v>K7C 0A7</v>
      </c>
      <c r="G679" t="str">
        <f t="shared" si="65"/>
        <v>[ "Home Depot", 45.13223, -76.12007, '613-253-3870', 'K7C 0A7'],</v>
      </c>
    </row>
    <row r="680" spans="1:7" x14ac:dyDescent="0.2">
      <c r="A680" t="s">
        <v>701</v>
      </c>
      <c r="B680" t="str">
        <f t="shared" si="60"/>
        <v>Bancroft Home Hardware</v>
      </c>
      <c r="C680" t="str">
        <f t="shared" si="61"/>
        <v>45.0730625726286</v>
      </c>
      <c r="D680" t="str">
        <f t="shared" si="62"/>
        <v>-77.8625030411204</v>
      </c>
      <c r="E680" t="str">
        <f t="shared" si="63"/>
        <v>613-332-2060</v>
      </c>
      <c r="F680" t="str">
        <f t="shared" si="64"/>
        <v>K0L 1C0</v>
      </c>
      <c r="G680" t="str">
        <f t="shared" si="65"/>
        <v>[ "Bancroft Home Hardware", 45.0730625726286, -77.8625030411204, '613-332-2060', 'K0L 1C0'],</v>
      </c>
    </row>
    <row r="681" spans="1:7" x14ac:dyDescent="0.2">
      <c r="A681" t="s">
        <v>702</v>
      </c>
      <c r="B681" t="str">
        <f t="shared" si="60"/>
        <v>Canadian Tire</v>
      </c>
      <c r="C681" t="str">
        <f t="shared" si="61"/>
        <v>45.0827948913303</v>
      </c>
      <c r="D681" t="str">
        <f t="shared" si="62"/>
        <v>-77.8604298133936</v>
      </c>
      <c r="E681" t="str">
        <f t="shared" si="63"/>
        <v>613-332-1074</v>
      </c>
      <c r="F681" t="str">
        <f t="shared" si="64"/>
        <v>K0L 1C0</v>
      </c>
      <c r="G681" t="str">
        <f t="shared" si="65"/>
        <v>[ "Canadian Tire", 45.0827948913303, -77.8604298133936, '613-332-1074', 'K0L 1C0'],</v>
      </c>
    </row>
    <row r="682" spans="1:7" x14ac:dyDescent="0.2">
      <c r="A682" t="s">
        <v>703</v>
      </c>
      <c r="B682" t="str">
        <f t="shared" si="60"/>
        <v>The Source</v>
      </c>
      <c r="C682" t="str">
        <f t="shared" si="61"/>
        <v>44.2594669387755</v>
      </c>
      <c r="D682" t="str">
        <f t="shared" si="62"/>
        <v>-76.9696418367347</v>
      </c>
      <c r="E682" t="str">
        <f t="shared" si="63"/>
        <v>613-354-6366</v>
      </c>
      <c r="F682" t="str">
        <f t="shared" si="64"/>
        <v>K7R 3L2</v>
      </c>
      <c r="G682" t="str">
        <f t="shared" si="65"/>
        <v>[ "The Source", 44.2594669387755, -76.9696418367347, '613-354-6366', 'K7R 3L2'],</v>
      </c>
    </row>
    <row r="683" spans="1:7" x14ac:dyDescent="0.2">
      <c r="A683" t="s">
        <v>704</v>
      </c>
      <c r="B683" t="str">
        <f t="shared" si="60"/>
        <v>The Source</v>
      </c>
      <c r="C683" t="str">
        <f t="shared" si="61"/>
        <v>45.4221200682615</v>
      </c>
      <c r="D683" t="str">
        <f t="shared" si="62"/>
        <v>-76.3679568434674</v>
      </c>
      <c r="E683" t="str">
        <f t="shared" si="63"/>
        <v>613-623-9776</v>
      </c>
      <c r="F683" t="str">
        <f t="shared" si="64"/>
        <v>K7S 3G9</v>
      </c>
      <c r="G683" t="str">
        <f t="shared" si="65"/>
        <v>[ "The Source", 45.4221200682615, -76.3679568434674, '613-623-9776', 'K7S 3G9'],</v>
      </c>
    </row>
    <row r="684" spans="1:7" x14ac:dyDescent="0.2">
      <c r="A684" t="s">
        <v>705</v>
      </c>
      <c r="B684" t="str">
        <f t="shared" si="60"/>
        <v>ListenUp! Canada</v>
      </c>
      <c r="C684" t="str">
        <f t="shared" si="61"/>
        <v>44.9065194367056</v>
      </c>
      <c r="D684" t="str">
        <f t="shared" si="62"/>
        <v>-76.0257185705578</v>
      </c>
      <c r="E684" t="str">
        <f t="shared" si="63"/>
        <v>613-284-0877</v>
      </c>
      <c r="F684" t="str">
        <f t="shared" si="64"/>
        <v>K7A 5L3</v>
      </c>
      <c r="G684" t="str">
        <f t="shared" si="65"/>
        <v>[ "ListenUp! Canada", 44.9065194367056, -76.0257185705578, '613-284-0877', 'K7A 5L3'],</v>
      </c>
    </row>
    <row r="685" spans="1:7" x14ac:dyDescent="0.2">
      <c r="A685" t="s">
        <v>706</v>
      </c>
      <c r="B685" t="str">
        <f t="shared" si="60"/>
        <v>Town of Arnprior</v>
      </c>
      <c r="C685" t="str">
        <f t="shared" si="61"/>
        <v>45.4347</v>
      </c>
      <c r="D685" t="str">
        <f t="shared" si="62"/>
        <v>-76.3568</v>
      </c>
      <c r="E685" t="str">
        <f t="shared" si="63"/>
        <v>613-623-4231</v>
      </c>
      <c r="F685" t="str">
        <f t="shared" si="64"/>
        <v>K7S 0A8</v>
      </c>
      <c r="G685" t="str">
        <f t="shared" si="65"/>
        <v>[ "Town of Arnprior", 45.4347, -76.3568, '613-623-4231', 'K7S 0A8'],</v>
      </c>
    </row>
    <row r="686" spans="1:7" x14ac:dyDescent="0.2">
      <c r="A686" t="s">
        <v>707</v>
      </c>
      <c r="B686" t="str">
        <f t="shared" si="60"/>
        <v>ListenUp! Canada</v>
      </c>
      <c r="C686" t="str">
        <f t="shared" si="61"/>
        <v>44.24091</v>
      </c>
      <c r="D686" t="str">
        <f t="shared" si="62"/>
        <v>-76.96616</v>
      </c>
      <c r="E686" t="str">
        <f t="shared" si="63"/>
        <v>613-354-7000</v>
      </c>
      <c r="F686" t="str">
        <f t="shared" si="64"/>
        <v>K7R 3V3</v>
      </c>
      <c r="G686" t="str">
        <f t="shared" si="65"/>
        <v>[ "ListenUp! Canada", 44.24091, -76.96616, '613-354-7000', 'K7R 3V3'],</v>
      </c>
    </row>
    <row r="687" spans="1:7" x14ac:dyDescent="0.2">
      <c r="A687" t="s">
        <v>708</v>
      </c>
      <c r="B687" t="str">
        <f t="shared" si="60"/>
        <v>Drummond Bldg Supplies</v>
      </c>
      <c r="C687" t="str">
        <f t="shared" si="61"/>
        <v>44.47863</v>
      </c>
      <c r="D687" t="str">
        <f t="shared" si="62"/>
        <v>-77.6922</v>
      </c>
      <c r="E687" t="str">
        <f t="shared" si="63"/>
        <v>613-472-2628</v>
      </c>
      <c r="F687" t="str">
        <f t="shared" si="64"/>
        <v>K0K 2M0</v>
      </c>
      <c r="G687" t="str">
        <f t="shared" si="65"/>
        <v>[ "Drummond Bldg Supplies", 44.47863, -77.6922, '613-472-2628', 'K0K 2M0'],</v>
      </c>
    </row>
    <row r="688" spans="1:7" x14ac:dyDescent="0.2">
      <c r="A688" t="s">
        <v>709</v>
      </c>
      <c r="B688" t="str">
        <f t="shared" si="60"/>
        <v>Rona</v>
      </c>
      <c r="C688" t="str">
        <f t="shared" si="61"/>
        <v>45.42595</v>
      </c>
      <c r="D688" t="str">
        <f t="shared" si="62"/>
        <v>-76.32327</v>
      </c>
      <c r="E688" t="str">
        <f t="shared" si="63"/>
        <v>613-623-4791</v>
      </c>
      <c r="F688" t="str">
        <f t="shared" si="64"/>
        <v>K7S 3N2</v>
      </c>
      <c r="G688" t="str">
        <f t="shared" si="65"/>
        <v>[ "Rona", 45.42595, -76.32327, '613-623-4791', 'K7S 3N2'],</v>
      </c>
    </row>
    <row r="689" spans="1:7" x14ac:dyDescent="0.2">
      <c r="A689" t="s">
        <v>710</v>
      </c>
      <c r="B689" t="str">
        <f t="shared" si="60"/>
        <v>Christie and Walther</v>
      </c>
      <c r="C689" t="str">
        <f t="shared" si="61"/>
        <v>44.2742812222652</v>
      </c>
      <c r="D689" t="str">
        <f t="shared" si="62"/>
        <v>-76.5654773740755</v>
      </c>
      <c r="E689" t="str">
        <f t="shared" si="63"/>
        <v>613-634-3636</v>
      </c>
      <c r="F689" t="str">
        <f t="shared" si="64"/>
        <v>K7P 2T4</v>
      </c>
      <c r="G689" t="str">
        <f t="shared" si="65"/>
        <v>[ "Christie and Walther", 44.2742812222652, -76.5654773740755, '613-634-3636', 'K7P 2T4'],</v>
      </c>
    </row>
    <row r="690" spans="1:7" x14ac:dyDescent="0.2">
      <c r="A690" t="s">
        <v>711</v>
      </c>
      <c r="B690" t="str">
        <f t="shared" si="60"/>
        <v>Lowes</v>
      </c>
      <c r="C690" t="str">
        <f t="shared" si="61"/>
        <v>44.261456779661</v>
      </c>
      <c r="D690" t="str">
        <f t="shared" si="62"/>
        <v>-76.5688013559322</v>
      </c>
      <c r="E690" t="str">
        <f t="shared" si="63"/>
        <v>613-634-5410</v>
      </c>
      <c r="F690" t="str">
        <f t="shared" si="64"/>
        <v>K7P 0G1</v>
      </c>
      <c r="G690" t="str">
        <f t="shared" si="65"/>
        <v>[ "Lowes", 44.261456779661, -76.5688013559322, '613-634-5410', 'K7P 0G1'],</v>
      </c>
    </row>
    <row r="691" spans="1:7" x14ac:dyDescent="0.2">
      <c r="A691" t="s">
        <v>712</v>
      </c>
      <c r="B691" t="str">
        <f t="shared" si="60"/>
        <v>Princess Auto</v>
      </c>
      <c r="C691" t="str">
        <f t="shared" si="61"/>
        <v>44.2617269559147</v>
      </c>
      <c r="D691" t="str">
        <f t="shared" si="62"/>
        <v>-76.559581905584</v>
      </c>
      <c r="E691" t="str">
        <f t="shared" si="63"/>
        <v>613-530-3790</v>
      </c>
      <c r="F691" t="str">
        <f t="shared" si="64"/>
        <v>K7P 2S5</v>
      </c>
      <c r="G691" t="str">
        <f t="shared" si="65"/>
        <v>[ "Princess Auto", 44.2617269559147, -76.559581905584, '613-530-3790', 'K7P 2S5'],</v>
      </c>
    </row>
    <row r="692" spans="1:7" x14ac:dyDescent="0.2">
      <c r="A692" t="s">
        <v>713</v>
      </c>
      <c r="B692" t="str">
        <f t="shared" si="60"/>
        <v>Fastenal</v>
      </c>
      <c r="C692" t="str">
        <f t="shared" si="61"/>
        <v>44.25836</v>
      </c>
      <c r="D692" t="str">
        <f t="shared" si="62"/>
        <v>-76.56869</v>
      </c>
      <c r="E692" t="str">
        <f t="shared" si="63"/>
        <v>613-389-3968</v>
      </c>
      <c r="F692" t="str">
        <f t="shared" si="64"/>
        <v>K7P 0G3</v>
      </c>
      <c r="G692" t="str">
        <f t="shared" si="65"/>
        <v>[ "Fastenal", 44.25836, -76.56869, '613-389-3968', 'K7P 0G3'],</v>
      </c>
    </row>
    <row r="693" spans="1:7" x14ac:dyDescent="0.2">
      <c r="A693" t="s">
        <v>714</v>
      </c>
      <c r="B693" t="str">
        <f t="shared" si="60"/>
        <v>The Source</v>
      </c>
      <c r="C693" t="str">
        <f t="shared" si="61"/>
        <v>44.2564347058824</v>
      </c>
      <c r="D693" t="str">
        <f t="shared" si="62"/>
        <v>-76.5687373529412</v>
      </c>
      <c r="E693" t="str">
        <f t="shared" si="63"/>
        <v>613-389-8201</v>
      </c>
      <c r="F693" t="str">
        <f t="shared" si="64"/>
        <v>K7M 7H4</v>
      </c>
      <c r="G693" t="str">
        <f t="shared" si="65"/>
        <v>[ "The Source", 44.2564347058824, -76.5687373529412, '613-389-8201', 'K7M 7H4'],</v>
      </c>
    </row>
    <row r="694" spans="1:7" x14ac:dyDescent="0.2">
      <c r="A694" t="s">
        <v>715</v>
      </c>
      <c r="B694" t="str">
        <f t="shared" si="60"/>
        <v>RONA</v>
      </c>
      <c r="C694" t="str">
        <f t="shared" si="61"/>
        <v>44.2581559259259</v>
      </c>
      <c r="D694" t="str">
        <f t="shared" si="62"/>
        <v>-76.5518459259259</v>
      </c>
      <c r="E694" t="str">
        <f t="shared" si="63"/>
        <v>613-531-6225</v>
      </c>
      <c r="F694" t="str">
        <f t="shared" si="64"/>
        <v>K7M 3G4</v>
      </c>
      <c r="G694" t="str">
        <f t="shared" si="65"/>
        <v>[ "RONA", 44.2581559259259, -76.5518459259259, '613-531-6225', 'K7M 3G4'],</v>
      </c>
    </row>
    <row r="695" spans="1:7" x14ac:dyDescent="0.2">
      <c r="A695" t="s">
        <v>716</v>
      </c>
      <c r="B695" t="str">
        <f t="shared" si="60"/>
        <v>ListenUp! Canada</v>
      </c>
      <c r="C695" t="str">
        <f t="shared" si="61"/>
        <v>44.2509278198464</v>
      </c>
      <c r="D695" t="str">
        <f t="shared" si="62"/>
        <v>-76.5710049038168</v>
      </c>
      <c r="E695" t="str">
        <f t="shared" si="63"/>
        <v>613-634-0304</v>
      </c>
      <c r="F695" t="str">
        <f t="shared" si="64"/>
        <v>K7P 2N7</v>
      </c>
      <c r="G695" t="str">
        <f t="shared" si="65"/>
        <v>[ "ListenUp! Canada", 44.2509278198464, -76.5710049038168, '613-634-0304', 'K7P 2N7'],</v>
      </c>
    </row>
    <row r="696" spans="1:7" x14ac:dyDescent="0.2">
      <c r="A696" t="s">
        <v>717</v>
      </c>
      <c r="B696" t="str">
        <f t="shared" si="60"/>
        <v>Madawaska Library</v>
      </c>
      <c r="C696" t="str">
        <f t="shared" si="61"/>
        <v>45.53581</v>
      </c>
      <c r="D696" t="str">
        <f t="shared" si="62"/>
        <v>-78.0485</v>
      </c>
      <c r="E696" t="str">
        <f t="shared" si="63"/>
        <v>--</v>
      </c>
      <c r="F696" t="str">
        <f t="shared" si="64"/>
        <v>K0J 2C0</v>
      </c>
      <c r="G696" t="str">
        <f t="shared" si="65"/>
        <v>[ "Madawaska Library", 45.53581, -78.0485, '--', 'K0J 2C0'],</v>
      </c>
    </row>
    <row r="697" spans="1:7" x14ac:dyDescent="0.2">
      <c r="A697" t="s">
        <v>718</v>
      </c>
      <c r="B697" t="str">
        <f t="shared" si="60"/>
        <v>Lyell Landfill Site</v>
      </c>
      <c r="C697" t="str">
        <f t="shared" si="61"/>
        <v>45.48304</v>
      </c>
      <c r="D697" t="str">
        <f t="shared" si="62"/>
        <v>-77.9388</v>
      </c>
      <c r="E697" t="str">
        <f t="shared" si="63"/>
        <v>--</v>
      </c>
      <c r="F697" t="str">
        <f t="shared" si="64"/>
        <v>K0J 2C0</v>
      </c>
      <c r="G697" t="str">
        <f t="shared" si="65"/>
        <v>[ "Lyell Landfill Site", 45.48304, -77.9388, '--', 'K0J 2C0'],</v>
      </c>
    </row>
    <row r="698" spans="1:7" x14ac:dyDescent="0.2">
      <c r="A698" t="s">
        <v>719</v>
      </c>
      <c r="B698" t="str">
        <f t="shared" si="60"/>
        <v>Whitney Library</v>
      </c>
      <c r="C698" t="str">
        <f t="shared" si="61"/>
        <v>45.4600026</v>
      </c>
      <c r="D698" t="str">
        <f t="shared" si="62"/>
        <v>-78.1642873</v>
      </c>
      <c r="E698" t="str">
        <f t="shared" si="63"/>
        <v>--</v>
      </c>
      <c r="F698" t="str">
        <f t="shared" si="64"/>
        <v>K0J 2M0</v>
      </c>
      <c r="G698" t="str">
        <f t="shared" si="65"/>
        <v>[ "Whitney Library", 45.4600026, -78.1642873, '--', 'K0J 2M0'],</v>
      </c>
    </row>
    <row r="699" spans="1:7" x14ac:dyDescent="0.2">
      <c r="A699" t="s">
        <v>720</v>
      </c>
      <c r="B699" t="str">
        <f t="shared" si="60"/>
        <v>Halco Electronics</v>
      </c>
      <c r="C699" t="str">
        <f t="shared" si="61"/>
        <v>44.81319</v>
      </c>
      <c r="D699" t="str">
        <f t="shared" si="62"/>
        <v>-78.69893</v>
      </c>
      <c r="E699" t="str">
        <f t="shared" si="63"/>
        <v>705-457-1590</v>
      </c>
      <c r="F699" t="str">
        <f t="shared" si="64"/>
        <v>K0M 1S0</v>
      </c>
      <c r="G699" t="str">
        <f t="shared" si="65"/>
        <v>[ "Halco Electronics", 44.81319, -78.69893, '705-457-1590', 'K0M 1S0'],</v>
      </c>
    </row>
    <row r="700" spans="1:7" x14ac:dyDescent="0.2">
      <c r="A700" t="s">
        <v>721</v>
      </c>
      <c r="B700" t="str">
        <f t="shared" si="60"/>
        <v>The Source</v>
      </c>
      <c r="C700" t="str">
        <f t="shared" si="61"/>
        <v>44.633</v>
      </c>
      <c r="D700" t="str">
        <f t="shared" si="62"/>
        <v>-79.43521</v>
      </c>
      <c r="E700" t="str">
        <f t="shared" si="63"/>
        <v>705-327-0145</v>
      </c>
      <c r="F700" t="str">
        <f t="shared" si="64"/>
        <v>L3V 6H4</v>
      </c>
      <c r="G700" t="str">
        <f t="shared" si="65"/>
        <v>[ "The Source", 44.633, -79.43521, '705-327-0145', 'L3V 6H4'],</v>
      </c>
    </row>
    <row r="701" spans="1:7" x14ac:dyDescent="0.2">
      <c r="A701" t="s">
        <v>722</v>
      </c>
      <c r="B701" t="str">
        <f t="shared" si="60"/>
        <v>Canadian Tire</v>
      </c>
      <c r="C701" t="str">
        <f t="shared" si="61"/>
        <v>44.63189</v>
      </c>
      <c r="D701" t="str">
        <f t="shared" si="62"/>
        <v>-79.43708</v>
      </c>
      <c r="E701" t="str">
        <f t="shared" si="63"/>
        <v>705-325-7414</v>
      </c>
      <c r="F701" t="str">
        <f t="shared" si="64"/>
        <v>L3V 7X6</v>
      </c>
      <c r="G701" t="str">
        <f t="shared" si="65"/>
        <v>[ "Canadian Tire", 44.63189, -79.43708, '705-325-7414', 'L3V 7X6'],</v>
      </c>
    </row>
    <row r="702" spans="1:7" x14ac:dyDescent="0.2">
      <c r="A702" t="s">
        <v>723</v>
      </c>
      <c r="B702" t="str">
        <f t="shared" si="60"/>
        <v>Staples Canada</v>
      </c>
      <c r="C702" t="str">
        <f t="shared" si="61"/>
        <v>44.6166</v>
      </c>
      <c r="D702" t="str">
        <f t="shared" si="62"/>
        <v>-79.44411</v>
      </c>
      <c r="E702" t="str">
        <f t="shared" si="63"/>
        <v>705-329-3074</v>
      </c>
      <c r="F702" t="str">
        <f t="shared" si="64"/>
        <v>L3V 0B5</v>
      </c>
      <c r="G702" t="str">
        <f t="shared" si="65"/>
        <v>[ "Staples Canada", 44.6166, -79.44411, '705-329-3074', 'L3V 0B5'],</v>
      </c>
    </row>
    <row r="703" spans="1:7" x14ac:dyDescent="0.2">
      <c r="A703" t="s">
        <v>724</v>
      </c>
      <c r="B703" t="str">
        <f t="shared" si="60"/>
        <v>Home Depot</v>
      </c>
      <c r="C703" t="str">
        <f t="shared" si="61"/>
        <v>44.6089418374835</v>
      </c>
      <c r="D703" t="str">
        <f t="shared" si="62"/>
        <v>-79.4537873782666</v>
      </c>
      <c r="E703" t="str">
        <f t="shared" si="63"/>
        <v>705-327-6500</v>
      </c>
      <c r="F703" t="str">
        <f t="shared" si="64"/>
        <v>L3V 7Z4</v>
      </c>
      <c r="G703" t="str">
        <f t="shared" si="65"/>
        <v>[ "Home Depot", 44.6089418374835, -79.4537873782666, '705-327-6500', 'L3V 7Z4'],</v>
      </c>
    </row>
    <row r="704" spans="1:7" x14ac:dyDescent="0.2">
      <c r="A704" t="s">
        <v>725</v>
      </c>
      <c r="B704" t="str">
        <f t="shared" si="60"/>
        <v>ListenUp! Canada</v>
      </c>
      <c r="C704" t="str">
        <f t="shared" si="61"/>
        <v>44.5996096201182</v>
      </c>
      <c r="D704" t="str">
        <f t="shared" si="62"/>
        <v>-79.4249081117356</v>
      </c>
      <c r="E704" t="str">
        <f t="shared" si="63"/>
        <v>705-326-9421</v>
      </c>
      <c r="F704" t="str">
        <f t="shared" si="64"/>
        <v>L3V 7M9</v>
      </c>
      <c r="G704" t="str">
        <f t="shared" si="65"/>
        <v>[ "ListenUp! Canada", 44.5996096201182, -79.4249081117356, '705-326-9421', 'L3V 7M9'],</v>
      </c>
    </row>
    <row r="705" spans="1:7" x14ac:dyDescent="0.2">
      <c r="A705" t="s">
        <v>726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City of Orillia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44.59032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-79.41173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705-325-2325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L3V 6Z9</v>
      </c>
      <c r="G705" t="str">
        <f t="shared" ref="G705:G768" si="71">"[ "&amp;CHAR(34)&amp;B705&amp;CHAR(34)&amp;", "&amp;C705&amp;", "&amp;D705&amp;", '"&amp;E705&amp;"', '"&amp;F705&amp;"'],"</f>
        <v>[ "City of Orillia", 44.59032, -79.41173, '705-325-2325', 'L3V 6Z9'],</v>
      </c>
    </row>
    <row r="706" spans="1:7" x14ac:dyDescent="0.2">
      <c r="A706" t="s">
        <v>727</v>
      </c>
      <c r="B706" t="str">
        <f t="shared" si="66"/>
        <v>Staples</v>
      </c>
      <c r="C706" t="str">
        <f t="shared" si="67"/>
        <v>45.0435187961326</v>
      </c>
      <c r="D706" t="str">
        <f t="shared" si="68"/>
        <v>-79.3305916592164</v>
      </c>
      <c r="E706" t="str">
        <f t="shared" si="69"/>
        <v>705-646-2775</v>
      </c>
      <c r="F706" t="str">
        <f t="shared" si="70"/>
        <v>P1L 1X3</v>
      </c>
      <c r="G706" t="str">
        <f t="shared" si="71"/>
        <v>[ "Staples", 45.0435187961326, -79.3305916592164, '705-646-2775', 'P1L 1X3'],</v>
      </c>
    </row>
    <row r="707" spans="1:7" x14ac:dyDescent="0.2">
      <c r="A707" t="s">
        <v>728</v>
      </c>
      <c r="B707" t="str">
        <f t="shared" si="66"/>
        <v>Canadian Tire</v>
      </c>
      <c r="C707" t="str">
        <f t="shared" si="67"/>
        <v>44.9962773</v>
      </c>
      <c r="D707" t="str">
        <f t="shared" si="68"/>
        <v>-79.3083362</v>
      </c>
      <c r="E707" t="str">
        <f t="shared" si="69"/>
        <v>705-645-5261</v>
      </c>
      <c r="F707" t="str">
        <f t="shared" si="70"/>
        <v>P1L 1V4</v>
      </c>
      <c r="G707" t="str">
        <f t="shared" si="71"/>
        <v>[ "Canadian Tire", 44.9962773, -79.3083362, '705-645-5261', 'P1L 1V4'],</v>
      </c>
    </row>
    <row r="708" spans="1:7" x14ac:dyDescent="0.2">
      <c r="A708" t="s">
        <v>729</v>
      </c>
      <c r="B708" t="str">
        <f t="shared" si="66"/>
        <v>Home Depot</v>
      </c>
      <c r="C708" t="str">
        <f t="shared" si="67"/>
        <v>45.0498275</v>
      </c>
      <c r="D708" t="str">
        <f t="shared" si="68"/>
        <v>-79.292494375</v>
      </c>
      <c r="E708" t="str">
        <f t="shared" si="69"/>
        <v>705-646-5600</v>
      </c>
      <c r="F708" t="str">
        <f t="shared" si="70"/>
        <v>P1L 0A1</v>
      </c>
      <c r="G708" t="str">
        <f t="shared" si="71"/>
        <v>[ "Home Depot", 45.0498275, -79.292494375, '705-646-5600', 'P1L 0A1'],</v>
      </c>
    </row>
    <row r="709" spans="1:7" x14ac:dyDescent="0.2">
      <c r="A709" t="s">
        <v>730</v>
      </c>
      <c r="B709" t="str">
        <f t="shared" si="66"/>
        <v>The Source</v>
      </c>
      <c r="C709" t="str">
        <f t="shared" si="67"/>
        <v>45.34407</v>
      </c>
      <c r="D709" t="str">
        <f t="shared" si="68"/>
        <v>-80.01031</v>
      </c>
      <c r="E709" t="str">
        <f t="shared" si="69"/>
        <v>705-746-8383</v>
      </c>
      <c r="F709" t="str">
        <f t="shared" si="70"/>
        <v>P2A 3C3</v>
      </c>
      <c r="G709" t="str">
        <f t="shared" si="71"/>
        <v>[ "The Source", 45.34407, -80.01031, '705-746-8383', 'P2A 3C3'],</v>
      </c>
    </row>
    <row r="710" spans="1:7" x14ac:dyDescent="0.2">
      <c r="A710" t="s">
        <v>731</v>
      </c>
      <c r="B710" t="str">
        <f t="shared" si="66"/>
        <v>Home Depot</v>
      </c>
      <c r="C710" t="str">
        <f t="shared" si="67"/>
        <v>45.3434048134126</v>
      </c>
      <c r="D710" t="str">
        <f t="shared" si="68"/>
        <v>-80.0129387664976</v>
      </c>
      <c r="E710" t="str">
        <f t="shared" si="69"/>
        <v>705-774-7000</v>
      </c>
      <c r="F710" t="str">
        <f t="shared" si="70"/>
        <v>P2A 2L7</v>
      </c>
      <c r="G710" t="str">
        <f t="shared" si="71"/>
        <v>[ "Home Depot", 45.3434048134126, -80.0129387664976, '705-774-7000', 'P2A 2L7'],</v>
      </c>
    </row>
    <row r="711" spans="1:7" x14ac:dyDescent="0.2">
      <c r="A711" t="s">
        <v>732</v>
      </c>
      <c r="B711" t="str">
        <f t="shared" si="66"/>
        <v>Georgian Bay Software</v>
      </c>
      <c r="C711" t="str">
        <f t="shared" si="67"/>
        <v>45.344422</v>
      </c>
      <c r="D711" t="str">
        <f t="shared" si="68"/>
        <v>-80.035152</v>
      </c>
      <c r="E711" t="str">
        <f t="shared" si="69"/>
        <v>705-746-6943</v>
      </c>
      <c r="F711" t="str">
        <f t="shared" si="70"/>
        <v>P2A 1W9</v>
      </c>
      <c r="G711" t="str">
        <f t="shared" si="71"/>
        <v>[ "Georgian Bay Software", 45.344422, -80.035152, '705-746-6943', 'P2A 1W9'],</v>
      </c>
    </row>
    <row r="712" spans="1:7" x14ac:dyDescent="0.2">
      <c r="A712" t="s">
        <v>733</v>
      </c>
      <c r="B712" t="str">
        <f t="shared" si="66"/>
        <v>MTO</v>
      </c>
      <c r="C712" t="str">
        <f t="shared" si="67"/>
        <v>45.31568</v>
      </c>
      <c r="D712" t="str">
        <f t="shared" si="68"/>
        <v>-79.24049</v>
      </c>
      <c r="E712" t="str">
        <f t="shared" si="69"/>
        <v>705-789-2392</v>
      </c>
      <c r="F712" t="str">
        <f t="shared" si="70"/>
        <v>P1H 1Z9</v>
      </c>
      <c r="G712" t="str">
        <f t="shared" si="71"/>
        <v>[ "MTO", 45.31568, -79.24049, '705-789-2392', 'P1H 1Z9'],</v>
      </c>
    </row>
    <row r="713" spans="1:7" x14ac:dyDescent="0.2">
      <c r="A713" t="s">
        <v>734</v>
      </c>
      <c r="B713" t="str">
        <f t="shared" si="66"/>
        <v>Home Depot</v>
      </c>
      <c r="C713" t="str">
        <f t="shared" si="67"/>
        <v>45.33947143545</v>
      </c>
      <c r="D713" t="str">
        <f t="shared" si="68"/>
        <v>-79.2202006280094</v>
      </c>
      <c r="E713" t="str">
        <f t="shared" si="69"/>
        <v>705-788-5000</v>
      </c>
      <c r="F713" t="str">
        <f t="shared" si="70"/>
        <v>P1H 0A2</v>
      </c>
      <c r="G713" t="str">
        <f t="shared" si="71"/>
        <v>[ "Home Depot", 45.33947143545, -79.2202006280094, '705-788-5000', 'P1H 0A2'],</v>
      </c>
    </row>
    <row r="714" spans="1:7" x14ac:dyDescent="0.2">
      <c r="A714" t="s">
        <v>735</v>
      </c>
      <c r="B714" t="str">
        <f t="shared" si="66"/>
        <v>ListenUp! Canada</v>
      </c>
      <c r="C714" t="str">
        <f t="shared" si="67"/>
        <v>45.3319224506029</v>
      </c>
      <c r="D714" t="str">
        <f t="shared" si="68"/>
        <v>-79.2084770905076</v>
      </c>
      <c r="E714" t="str">
        <f t="shared" si="69"/>
        <v>705-789-9293</v>
      </c>
      <c r="F714" t="str">
        <f t="shared" si="70"/>
        <v>P1H 1G3</v>
      </c>
      <c r="G714" t="str">
        <f t="shared" si="71"/>
        <v>[ "ListenUp! Canada", 45.3319224506029, -79.2084770905076, '705-789-9293', 'P1H 1G3'],</v>
      </c>
    </row>
    <row r="715" spans="1:7" x14ac:dyDescent="0.2">
      <c r="A715" t="s">
        <v>736</v>
      </c>
      <c r="B715" t="str">
        <f t="shared" si="66"/>
        <v>The Source</v>
      </c>
      <c r="C715" t="str">
        <f t="shared" si="67"/>
        <v>45.33405</v>
      </c>
      <c r="D715" t="str">
        <f t="shared" si="68"/>
        <v>-79.20579</v>
      </c>
      <c r="E715" t="str">
        <f t="shared" si="69"/>
        <v>705-788-1357</v>
      </c>
      <c r="F715" t="str">
        <f t="shared" si="70"/>
        <v>P1H 2A5</v>
      </c>
      <c r="G715" t="str">
        <f t="shared" si="71"/>
        <v>[ "The Source", 45.33405, -79.20579, '705-788-1357', 'P1H 2A5'],</v>
      </c>
    </row>
    <row r="716" spans="1:7" x14ac:dyDescent="0.2">
      <c r="A716" t="s">
        <v>737</v>
      </c>
      <c r="B716" t="str">
        <f t="shared" si="66"/>
        <v>Canadian Tire</v>
      </c>
      <c r="C716" t="str">
        <f t="shared" si="67"/>
        <v>45.334272814617</v>
      </c>
      <c r="D716" t="str">
        <f t="shared" si="68"/>
        <v>-79.2056134299262</v>
      </c>
      <c r="E716" t="str">
        <f t="shared" si="69"/>
        <v>705-789-5566</v>
      </c>
      <c r="F716" t="str">
        <f t="shared" si="70"/>
        <v>P1H 1E5</v>
      </c>
      <c r="G716" t="str">
        <f t="shared" si="71"/>
        <v>[ "Canadian Tire", 45.334272814617, -79.2056134299262, '705-789-5566', 'P1H 1E5'],</v>
      </c>
    </row>
    <row r="717" spans="1:7" x14ac:dyDescent="0.2">
      <c r="A717" t="s">
        <v>738</v>
      </c>
      <c r="B717" t="str">
        <f t="shared" si="66"/>
        <v>Staples</v>
      </c>
      <c r="C717" t="str">
        <f t="shared" si="67"/>
        <v>45.33458</v>
      </c>
      <c r="D717" t="str">
        <f t="shared" si="68"/>
        <v>-79.20537</v>
      </c>
      <c r="E717" t="str">
        <f t="shared" si="69"/>
        <v>705-789-5817</v>
      </c>
      <c r="F717" t="str">
        <f t="shared" si="70"/>
        <v>P1H 1G6</v>
      </c>
      <c r="G717" t="str">
        <f t="shared" si="71"/>
        <v>[ "Staples", 45.33458, -79.20537, '705-789-5817', 'P1H 1G6'],</v>
      </c>
    </row>
    <row r="718" spans="1:7" x14ac:dyDescent="0.2">
      <c r="A718" t="s">
        <v>739</v>
      </c>
      <c r="B718" t="str">
        <f t="shared" si="66"/>
        <v>Staples</v>
      </c>
      <c r="C718" t="str">
        <f t="shared" si="67"/>
        <v>45.0435187961326</v>
      </c>
      <c r="D718" t="str">
        <f t="shared" si="68"/>
        <v>-79.3305916592164</v>
      </c>
      <c r="E718" t="str">
        <f t="shared" si="69"/>
        <v>705-646-2775</v>
      </c>
      <c r="F718" t="str">
        <f t="shared" si="70"/>
        <v>P1L 1X3</v>
      </c>
      <c r="G718" t="str">
        <f t="shared" si="71"/>
        <v>[ "Staples", 45.0435187961326, -79.3305916592164, '705-646-2775', 'P1L 1X3'],</v>
      </c>
    </row>
    <row r="719" spans="1:7" x14ac:dyDescent="0.2">
      <c r="A719" t="s">
        <v>740</v>
      </c>
      <c r="B719" t="str">
        <f t="shared" si="66"/>
        <v>Georgian Bay Software</v>
      </c>
      <c r="C719" t="str">
        <f t="shared" si="67"/>
        <v>45.344422</v>
      </c>
      <c r="D719" t="str">
        <f t="shared" si="68"/>
        <v>-80.035152</v>
      </c>
      <c r="E719" t="str">
        <f t="shared" si="69"/>
        <v>705-746-6943</v>
      </c>
      <c r="F719" t="str">
        <f t="shared" si="70"/>
        <v>P2A 1W9</v>
      </c>
      <c r="G719" t="str">
        <f t="shared" si="71"/>
        <v>[ "Georgian Bay Software", 45.344422, -80.035152, '705-746-6943', 'P2A 1W9'],</v>
      </c>
    </row>
    <row r="720" spans="1:7" x14ac:dyDescent="0.2">
      <c r="A720" t="s">
        <v>741</v>
      </c>
      <c r="B720" t="str">
        <f t="shared" si="66"/>
        <v>Home Depot</v>
      </c>
      <c r="C720" t="str">
        <f t="shared" si="67"/>
        <v>45.3434048134126</v>
      </c>
      <c r="D720" t="str">
        <f t="shared" si="68"/>
        <v>-80.0129387664976</v>
      </c>
      <c r="E720" t="str">
        <f t="shared" si="69"/>
        <v>705-774-7000</v>
      </c>
      <c r="F720" t="str">
        <f t="shared" si="70"/>
        <v>P2A 2L7</v>
      </c>
      <c r="G720" t="str">
        <f t="shared" si="71"/>
        <v>[ "Home Depot", 45.3434048134126, -80.0129387664976, '705-774-7000', 'P2A 2L7'],</v>
      </c>
    </row>
    <row r="721" spans="1:7" x14ac:dyDescent="0.2">
      <c r="A721" t="s">
        <v>742</v>
      </c>
      <c r="B721" t="str">
        <f t="shared" si="66"/>
        <v>The Source</v>
      </c>
      <c r="C721" t="str">
        <f t="shared" si="67"/>
        <v>45.34407</v>
      </c>
      <c r="D721" t="str">
        <f t="shared" si="68"/>
        <v>-80.01031</v>
      </c>
      <c r="E721" t="str">
        <f t="shared" si="69"/>
        <v>705-746-8383</v>
      </c>
      <c r="F721" t="str">
        <f t="shared" si="70"/>
        <v>P2A 3C3</v>
      </c>
      <c r="G721" t="str">
        <f t="shared" si="71"/>
        <v>[ "The Source", 45.34407, -80.01031, '705-746-8383', 'P2A 3C3'],</v>
      </c>
    </row>
    <row r="722" spans="1:7" x14ac:dyDescent="0.2">
      <c r="A722" t="s">
        <v>744</v>
      </c>
      <c r="B722" t="str">
        <f t="shared" si="66"/>
        <v>Georgian Bay Software</v>
      </c>
      <c r="C722" t="str">
        <f t="shared" si="67"/>
        <v>45.344422</v>
      </c>
      <c r="D722" t="str">
        <f t="shared" si="68"/>
        <v>-80.035152</v>
      </c>
      <c r="E722" t="str">
        <f t="shared" si="69"/>
        <v>705-746-6943</v>
      </c>
      <c r="F722" t="str">
        <f t="shared" si="70"/>
        <v>P2A 1W9</v>
      </c>
      <c r="G722" t="str">
        <f t="shared" si="71"/>
        <v>[ "Georgian Bay Software", 45.344422, -80.035152, '705-746-6943', 'P2A 1W9'],</v>
      </c>
    </row>
    <row r="723" spans="1:7" x14ac:dyDescent="0.2">
      <c r="A723" t="s">
        <v>745</v>
      </c>
      <c r="B723" t="str">
        <f t="shared" si="66"/>
        <v>Home Depot</v>
      </c>
      <c r="C723" t="str">
        <f t="shared" si="67"/>
        <v>45.3434048134126</v>
      </c>
      <c r="D723" t="str">
        <f t="shared" si="68"/>
        <v>-80.0129387664976</v>
      </c>
      <c r="E723" t="str">
        <f t="shared" si="69"/>
        <v>705-774-7000</v>
      </c>
      <c r="F723" t="str">
        <f t="shared" si="70"/>
        <v>P2A 2L7</v>
      </c>
      <c r="G723" t="str">
        <f t="shared" si="71"/>
        <v>[ "Home Depot", 45.3434048134126, -80.0129387664976, '705-774-7000', 'P2A 2L7'],</v>
      </c>
    </row>
    <row r="724" spans="1:7" x14ac:dyDescent="0.2">
      <c r="A724" t="s">
        <v>746</v>
      </c>
      <c r="B724" t="str">
        <f t="shared" si="66"/>
        <v>The Source</v>
      </c>
      <c r="C724" t="str">
        <f t="shared" si="67"/>
        <v>45.34407</v>
      </c>
      <c r="D724" t="str">
        <f t="shared" si="68"/>
        <v>-80.01031</v>
      </c>
      <c r="E724" t="str">
        <f t="shared" si="69"/>
        <v>705-746-8383</v>
      </c>
      <c r="F724" t="str">
        <f t="shared" si="70"/>
        <v>P2A 3C3</v>
      </c>
      <c r="G724" t="str">
        <f t="shared" si="71"/>
        <v>[ "The Source", 45.34407, -80.01031, '705-746-8383', 'P2A 3C3'],</v>
      </c>
    </row>
    <row r="725" spans="1:7" x14ac:dyDescent="0.2">
      <c r="A725" t="s">
        <v>747</v>
      </c>
      <c r="B725" t="str">
        <f t="shared" si="66"/>
        <v>The Source</v>
      </c>
      <c r="C725" t="str">
        <f t="shared" si="67"/>
        <v>46.4510312859701</v>
      </c>
      <c r="D725" t="str">
        <f t="shared" si="68"/>
        <v>-81.0016696544131</v>
      </c>
      <c r="E725" t="str">
        <f t="shared" si="69"/>
        <v>705-522-1457</v>
      </c>
      <c r="F725" t="str">
        <f t="shared" si="70"/>
        <v>P3E 5R2</v>
      </c>
      <c r="G725" t="str">
        <f t="shared" si="71"/>
        <v>[ "The Source", 46.4510312859701, -81.0016696544131, '705-522-1457', 'P3E 5R2'],</v>
      </c>
    </row>
    <row r="726" spans="1:7" x14ac:dyDescent="0.2">
      <c r="A726" t="s">
        <v>748</v>
      </c>
      <c r="B726" t="str">
        <f t="shared" si="66"/>
        <v>Fastenal</v>
      </c>
      <c r="C726" t="str">
        <f t="shared" si="67"/>
        <v>46.4719496466368</v>
      </c>
      <c r="D726" t="str">
        <f t="shared" si="68"/>
        <v>-81.0280557295891</v>
      </c>
      <c r="E726" t="str">
        <f t="shared" si="69"/>
        <v>705-675-6888</v>
      </c>
      <c r="F726" t="str">
        <f t="shared" si="70"/>
        <v>P3C 3B6</v>
      </c>
      <c r="G726" t="str">
        <f t="shared" si="71"/>
        <v>[ "Fastenal", 46.4719496466368, -81.0280557295891, '705-675-6888', 'P3C 3B6'],</v>
      </c>
    </row>
    <row r="727" spans="1:7" x14ac:dyDescent="0.2">
      <c r="A727" t="s">
        <v>749</v>
      </c>
      <c r="B727" t="str">
        <f t="shared" si="66"/>
        <v>Home Depot</v>
      </c>
      <c r="C727" t="str">
        <f t="shared" si="67"/>
        <v>46.50216</v>
      </c>
      <c r="D727" t="str">
        <f t="shared" si="68"/>
        <v>-80.9413717053339</v>
      </c>
      <c r="E727" t="str">
        <f t="shared" si="69"/>
        <v>705-525-2960</v>
      </c>
      <c r="F727" t="str">
        <f t="shared" si="70"/>
        <v>P3B 4K5</v>
      </c>
      <c r="G727" t="str">
        <f t="shared" si="71"/>
        <v>[ "Home Depot", 46.50216, -80.9413717053339, '705-525-2960', 'P3B 4K5'],</v>
      </c>
    </row>
    <row r="728" spans="1:7" x14ac:dyDescent="0.2">
      <c r="A728" t="s">
        <v>750</v>
      </c>
      <c r="B728" t="str">
        <f t="shared" si="66"/>
        <v>City of Greater Sudbury</v>
      </c>
      <c r="C728" t="str">
        <f t="shared" si="67"/>
        <v>46.5057506247064</v>
      </c>
      <c r="D728" t="str">
        <f t="shared" si="68"/>
        <v>-80.9304913530085</v>
      </c>
      <c r="E728" t="str">
        <f t="shared" si="69"/>
        <v>705-671-2489</v>
      </c>
      <c r="F728" t="str">
        <f t="shared" si="70"/>
        <v>P3A 6C8</v>
      </c>
      <c r="G728" t="str">
        <f t="shared" si="71"/>
        <v>[ "City of Greater Sudbury", 46.5057506247064, -80.9304913530085, '705-671-2489', 'P3A 6C8'],</v>
      </c>
    </row>
    <row r="729" spans="1:7" x14ac:dyDescent="0.2">
      <c r="A729" t="s">
        <v>751</v>
      </c>
      <c r="B729" t="str">
        <f t="shared" si="66"/>
        <v>Lowes</v>
      </c>
      <c r="C729" t="str">
        <f t="shared" si="67"/>
        <v>46.5016862172095</v>
      </c>
      <c r="D729" t="str">
        <f t="shared" si="68"/>
        <v>-80.945430510575</v>
      </c>
      <c r="E729" t="str">
        <f t="shared" si="69"/>
        <v>705-521-7200</v>
      </c>
      <c r="F729" t="str">
        <f t="shared" si="70"/>
        <v>P3B 4K6</v>
      </c>
      <c r="G729" t="str">
        <f t="shared" si="71"/>
        <v>[ "Lowes", 46.5016862172095, -80.945430510575, '705-521-7200', 'P3B 4K6'],</v>
      </c>
    </row>
    <row r="730" spans="1:7" x14ac:dyDescent="0.2">
      <c r="A730" t="s">
        <v>752</v>
      </c>
      <c r="B730" t="str">
        <f t="shared" si="66"/>
        <v>Powassan Home Hardware</v>
      </c>
      <c r="C730" t="str">
        <f t="shared" si="67"/>
        <v>46.0814266666667</v>
      </c>
      <c r="D730" t="str">
        <f t="shared" si="68"/>
        <v>-79.3612022222222</v>
      </c>
      <c r="E730" t="str">
        <f t="shared" si="69"/>
        <v>705-724-2810</v>
      </c>
      <c r="F730" t="str">
        <f t="shared" si="70"/>
        <v>P0H 1Z0</v>
      </c>
      <c r="G730" t="str">
        <f t="shared" si="71"/>
        <v>[ "Powassan Home Hardware", 46.0814266666667, -79.3612022222222, '705-724-2810', 'P0H 1Z0'],</v>
      </c>
    </row>
    <row r="731" spans="1:7" x14ac:dyDescent="0.2">
      <c r="A731" t="s">
        <v>753</v>
      </c>
      <c r="B731" t="str">
        <f t="shared" si="66"/>
        <v>Powassan Home Hardware</v>
      </c>
      <c r="C731" t="str">
        <f t="shared" si="67"/>
        <v>46.0814266666667</v>
      </c>
      <c r="D731" t="str">
        <f t="shared" si="68"/>
        <v>-79.3612022222222</v>
      </c>
      <c r="E731" t="str">
        <f t="shared" si="69"/>
        <v>705-724-2810</v>
      </c>
      <c r="F731" t="str">
        <f t="shared" si="70"/>
        <v>P0H 1Z0</v>
      </c>
      <c r="G731" t="str">
        <f t="shared" si="71"/>
        <v>[ "Powassan Home Hardware", 46.0814266666667, -79.3612022222222, '705-724-2810', 'P0H 1Z0'],</v>
      </c>
    </row>
    <row r="732" spans="1:7" x14ac:dyDescent="0.2">
      <c r="A732" t="s">
        <v>754</v>
      </c>
      <c r="B732" t="str">
        <f t="shared" si="66"/>
        <v>Home Depot</v>
      </c>
      <c r="C732" t="str">
        <f t="shared" si="67"/>
        <v>45.33947143545</v>
      </c>
      <c r="D732" t="str">
        <f t="shared" si="68"/>
        <v>-79.2202006280094</v>
      </c>
      <c r="E732" t="str">
        <f t="shared" si="69"/>
        <v>705-788-5000</v>
      </c>
      <c r="F732" t="str">
        <f t="shared" si="70"/>
        <v>P1H 0A2</v>
      </c>
      <c r="G732" t="str">
        <f t="shared" si="71"/>
        <v>[ "Home Depot", 45.33947143545, -79.2202006280094, '705-788-5000', 'P1H 0A2'],</v>
      </c>
    </row>
    <row r="733" spans="1:7" x14ac:dyDescent="0.2">
      <c r="A733" t="s">
        <v>755</v>
      </c>
      <c r="B733" t="str">
        <f t="shared" si="66"/>
        <v>Staples</v>
      </c>
      <c r="C733" t="str">
        <f t="shared" si="67"/>
        <v>45.33458</v>
      </c>
      <c r="D733" t="str">
        <f t="shared" si="68"/>
        <v>-79.20537</v>
      </c>
      <c r="E733" t="str">
        <f t="shared" si="69"/>
        <v>705-789-5817</v>
      </c>
      <c r="F733" t="str">
        <f t="shared" si="70"/>
        <v>P1H 1G6</v>
      </c>
      <c r="G733" t="str">
        <f t="shared" si="71"/>
        <v>[ "Staples", 45.33458, -79.20537, '705-789-5817', 'P1H 1G6'],</v>
      </c>
    </row>
    <row r="734" spans="1:7" x14ac:dyDescent="0.2">
      <c r="A734" t="s">
        <v>756</v>
      </c>
      <c r="B734" t="str">
        <f t="shared" si="66"/>
        <v>Canadian Tire</v>
      </c>
      <c r="C734" t="str">
        <f t="shared" si="67"/>
        <v>45.334272814617</v>
      </c>
      <c r="D734" t="str">
        <f t="shared" si="68"/>
        <v>-79.2056134299262</v>
      </c>
      <c r="E734" t="str">
        <f t="shared" si="69"/>
        <v>705-789-5566</v>
      </c>
      <c r="F734" t="str">
        <f t="shared" si="70"/>
        <v>P1H 1E5</v>
      </c>
      <c r="G734" t="str">
        <f t="shared" si="71"/>
        <v>[ "Canadian Tire", 45.334272814617, -79.2056134299262, '705-789-5566', 'P1H 1E5'],</v>
      </c>
    </row>
    <row r="735" spans="1:7" x14ac:dyDescent="0.2">
      <c r="A735" t="s">
        <v>757</v>
      </c>
      <c r="B735" t="str">
        <f t="shared" si="66"/>
        <v>The Source</v>
      </c>
      <c r="C735" t="str">
        <f t="shared" si="67"/>
        <v>45.33405</v>
      </c>
      <c r="D735" t="str">
        <f t="shared" si="68"/>
        <v>-79.20579</v>
      </c>
      <c r="E735" t="str">
        <f t="shared" si="69"/>
        <v>705-788-1357</v>
      </c>
      <c r="F735" t="str">
        <f t="shared" si="70"/>
        <v>P1H 2A5</v>
      </c>
      <c r="G735" t="str">
        <f t="shared" si="71"/>
        <v>[ "The Source", 45.33405, -79.20579, '705-788-1357', 'P1H 2A5'],</v>
      </c>
    </row>
    <row r="736" spans="1:7" x14ac:dyDescent="0.2">
      <c r="A736" t="s">
        <v>758</v>
      </c>
      <c r="B736" t="str">
        <f t="shared" si="66"/>
        <v>ListenUp! Canada</v>
      </c>
      <c r="C736" t="str">
        <f t="shared" si="67"/>
        <v>45.3319224506029</v>
      </c>
      <c r="D736" t="str">
        <f t="shared" si="68"/>
        <v>-79.2084770905076</v>
      </c>
      <c r="E736" t="str">
        <f t="shared" si="69"/>
        <v>705-789-9293</v>
      </c>
      <c r="F736" t="str">
        <f t="shared" si="70"/>
        <v>P1H 1G3</v>
      </c>
      <c r="G736" t="str">
        <f t="shared" si="71"/>
        <v>[ "ListenUp! Canada", 45.3319224506029, -79.2084770905076, '705-789-9293', 'P1H 1G3'],</v>
      </c>
    </row>
    <row r="737" spans="1:7" x14ac:dyDescent="0.2">
      <c r="A737" t="s">
        <v>759</v>
      </c>
      <c r="B737" t="str">
        <f t="shared" si="66"/>
        <v>MTO</v>
      </c>
      <c r="C737" t="str">
        <f t="shared" si="67"/>
        <v>45.31568</v>
      </c>
      <c r="D737" t="str">
        <f t="shared" si="68"/>
        <v>-79.24049</v>
      </c>
      <c r="E737" t="str">
        <f t="shared" si="69"/>
        <v>705-789-2392</v>
      </c>
      <c r="F737" t="str">
        <f t="shared" si="70"/>
        <v>P1H 1Z9</v>
      </c>
      <c r="G737" t="str">
        <f t="shared" si="71"/>
        <v>[ "MTO", 45.31568, -79.24049, '705-789-2392', 'P1H 1Z9'],</v>
      </c>
    </row>
    <row r="738" spans="1:7" x14ac:dyDescent="0.2">
      <c r="A738" t="s">
        <v>760</v>
      </c>
      <c r="B738" t="str">
        <f t="shared" si="66"/>
        <v>Spectrum Telecom Group Ltd</v>
      </c>
      <c r="C738" t="str">
        <f t="shared" si="67"/>
        <v>46.2708855102041</v>
      </c>
      <c r="D738" t="str">
        <f t="shared" si="68"/>
        <v>-79.4103093877551</v>
      </c>
      <c r="E738" t="str">
        <f t="shared" si="69"/>
        <v>705-474-6368</v>
      </c>
      <c r="F738" t="str">
        <f t="shared" si="70"/>
        <v>P1A 4M5</v>
      </c>
      <c r="G738" t="str">
        <f t="shared" si="71"/>
        <v>[ "Spectrum Telecom Group Ltd", 46.2708855102041, -79.4103093877551, '705-474-6368', 'P1A 4M5'],</v>
      </c>
    </row>
    <row r="739" spans="1:7" x14ac:dyDescent="0.2">
      <c r="A739" t="s">
        <v>761</v>
      </c>
      <c r="B739" t="str">
        <f t="shared" si="66"/>
        <v>The Source</v>
      </c>
      <c r="C739" t="str">
        <f t="shared" si="67"/>
        <v>46.2829</v>
      </c>
      <c r="D739" t="str">
        <f t="shared" si="68"/>
        <v>-79.44897</v>
      </c>
      <c r="E739" t="str">
        <f t="shared" si="69"/>
        <v>705-476-4486</v>
      </c>
      <c r="F739" t="str">
        <f t="shared" si="70"/>
        <v>P1A 3V2</v>
      </c>
      <c r="G739" t="str">
        <f t="shared" si="71"/>
        <v>[ "The Source", 46.2829, -79.44897, '705-476-4486', 'P1A 3V2'],</v>
      </c>
    </row>
    <row r="740" spans="1:7" x14ac:dyDescent="0.2">
      <c r="A740" t="s">
        <v>762</v>
      </c>
      <c r="B740" t="str">
        <f t="shared" si="66"/>
        <v>Home Depot</v>
      </c>
      <c r="C740" t="str">
        <f t="shared" si="67"/>
        <v>46.3072931080718</v>
      </c>
      <c r="D740" t="str">
        <f t="shared" si="68"/>
        <v>-79.4389821007338</v>
      </c>
      <c r="E740" t="str">
        <f t="shared" si="69"/>
        <v>705-845-2300</v>
      </c>
      <c r="F740" t="str">
        <f t="shared" si="70"/>
        <v>P1B 9V6</v>
      </c>
      <c r="G740" t="str">
        <f t="shared" si="71"/>
        <v>[ "Home Depot", 46.3072931080718, -79.4389821007338, '705-845-2300', 'P1B 9V6'],</v>
      </c>
    </row>
    <row r="741" spans="1:7" x14ac:dyDescent="0.2">
      <c r="A741" t="s">
        <v>763</v>
      </c>
      <c r="B741" t="str">
        <f t="shared" si="66"/>
        <v>City of North Bay</v>
      </c>
      <c r="C741" t="str">
        <f t="shared" si="67"/>
        <v>46.31202</v>
      </c>
      <c r="D741" t="str">
        <f t="shared" si="68"/>
        <v>-79.43825</v>
      </c>
      <c r="E741" t="str">
        <f t="shared" si="69"/>
        <v>705-474-0400</v>
      </c>
      <c r="F741" t="str">
        <f t="shared" si="70"/>
        <v>P1B 8G4</v>
      </c>
      <c r="G741" t="str">
        <f t="shared" si="71"/>
        <v>[ "City of North Bay", 46.31202, -79.43825, '705-474-0400', 'P1B 8G4'],</v>
      </c>
    </row>
    <row r="742" spans="1:7" x14ac:dyDescent="0.2">
      <c r="A742" t="s">
        <v>764</v>
      </c>
      <c r="B742" t="str">
        <f t="shared" si="66"/>
        <v>Sears (Canada)</v>
      </c>
      <c r="C742" t="str">
        <f t="shared" si="67"/>
        <v>46.31296</v>
      </c>
      <c r="D742" t="str">
        <f t="shared" si="68"/>
        <v>-79.44285</v>
      </c>
      <c r="E742" t="str">
        <f t="shared" si="69"/>
        <v>705-476-2119</v>
      </c>
      <c r="F742" t="str">
        <f t="shared" si="70"/>
        <v>P1B 2H3</v>
      </c>
      <c r="G742" t="str">
        <f t="shared" si="71"/>
        <v>[ "Sears (Canada)", 46.31296, -79.44285, '705-476-2119', 'P1B 2H3'],</v>
      </c>
    </row>
    <row r="743" spans="1:7" x14ac:dyDescent="0.2">
      <c r="A743" t="s">
        <v>765</v>
      </c>
      <c r="B743" t="str">
        <f t="shared" si="66"/>
        <v>Best Buy Canada</v>
      </c>
      <c r="C743" t="str">
        <f t="shared" si="67"/>
        <v>46.31296</v>
      </c>
      <c r="D743" t="str">
        <f t="shared" si="68"/>
        <v>-79.44285</v>
      </c>
      <c r="E743" t="str">
        <f t="shared" si="69"/>
        <v>705-472-2126</v>
      </c>
      <c r="F743" t="str">
        <f t="shared" si="70"/>
        <v>P1B 2H3</v>
      </c>
      <c r="G743" t="str">
        <f t="shared" si="71"/>
        <v>[ "Best Buy Canada", 46.31296, -79.44285, '705-472-2126', 'P1B 2H3'],</v>
      </c>
    </row>
    <row r="744" spans="1:7" x14ac:dyDescent="0.2">
      <c r="A744" t="s">
        <v>766</v>
      </c>
      <c r="B744" t="str">
        <f t="shared" si="66"/>
        <v>ListenUp! Canada</v>
      </c>
      <c r="C744" t="str">
        <f t="shared" si="67"/>
        <v>46.3179816161616</v>
      </c>
      <c r="D744" t="str">
        <f t="shared" si="68"/>
        <v>-79.4468766666667</v>
      </c>
      <c r="E744" t="str">
        <f t="shared" si="69"/>
        <v>705-474-3896</v>
      </c>
      <c r="F744" t="str">
        <f t="shared" si="70"/>
        <v>P1B 4C8</v>
      </c>
      <c r="G744" t="str">
        <f t="shared" si="71"/>
        <v>[ "ListenUp! Canada", 46.3179816161616, -79.4468766666667, '705-474-3896', 'P1B 4C8'],</v>
      </c>
    </row>
    <row r="745" spans="1:7" x14ac:dyDescent="0.2">
      <c r="A745" t="s">
        <v>767</v>
      </c>
      <c r="B745" t="str">
        <f t="shared" si="66"/>
        <v>Gateway Professional Tools</v>
      </c>
      <c r="C745" t="str">
        <f t="shared" si="67"/>
        <v>46.3157196161105</v>
      </c>
      <c r="D745" t="str">
        <f t="shared" si="68"/>
        <v>-79.461210087138</v>
      </c>
      <c r="E745" t="str">
        <f t="shared" si="69"/>
        <v>705-495-4906</v>
      </c>
      <c r="F745" t="str">
        <f t="shared" si="70"/>
        <v>P1B 4A4</v>
      </c>
      <c r="G745" t="str">
        <f t="shared" si="71"/>
        <v>[ "Gateway Professional Tools", 46.3157196161105, -79.461210087138, '705-495-4906', 'P1B 4A4'],</v>
      </c>
    </row>
    <row r="746" spans="1:7" x14ac:dyDescent="0.2">
      <c r="A746" t="s">
        <v>768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  <c r="G746" t="str">
        <f t="shared" si="71"/>
        <v>[ "Staples", 46.33246, -79.46608, '705-472-7223', 'P1B 4Y8'],</v>
      </c>
    </row>
    <row r="747" spans="1:7" x14ac:dyDescent="0.2">
      <c r="A747" t="s">
        <v>769</v>
      </c>
      <c r="B747" t="str">
        <f t="shared" si="66"/>
        <v>Airy Landfill Site</v>
      </c>
      <c r="C747" t="str">
        <f t="shared" si="67"/>
        <v>45.49942</v>
      </c>
      <c r="D747" t="str">
        <f t="shared" si="68"/>
        <v>-78.23153</v>
      </c>
      <c r="E747" t="str">
        <f t="shared" si="69"/>
        <v>--</v>
      </c>
      <c r="F747" t="str">
        <f t="shared" si="70"/>
        <v>K0J 2M0</v>
      </c>
      <c r="G747" t="str">
        <f t="shared" si="71"/>
        <v>[ "Airy Landfill Site", 45.49942, -78.23153, '--', 'K0J 2M0'],</v>
      </c>
    </row>
    <row r="748" spans="1:7" x14ac:dyDescent="0.2">
      <c r="A748" t="s">
        <v>770</v>
      </c>
      <c r="B748" t="str">
        <f t="shared" si="66"/>
        <v>Township of South Algonquin</v>
      </c>
      <c r="C748" t="str">
        <f t="shared" si="67"/>
        <v>45.4860755</v>
      </c>
      <c r="D748" t="str">
        <f t="shared" si="68"/>
        <v>-78.2406405</v>
      </c>
      <c r="E748" t="str">
        <f t="shared" si="69"/>
        <v>613-637-2650</v>
      </c>
      <c r="F748" t="str">
        <f t="shared" si="70"/>
        <v>K0J 2M0</v>
      </c>
      <c r="G748" t="str">
        <f t="shared" si="71"/>
        <v>[ "Township of South Algonquin", 45.4860755, -78.2406405, '613-637-2650', 'K0J 2M0'],</v>
      </c>
    </row>
    <row r="749" spans="1:7" x14ac:dyDescent="0.2">
      <c r="A749" t="s">
        <v>771</v>
      </c>
      <c r="B749" t="str">
        <f t="shared" si="66"/>
        <v>Whitney Municipal Office</v>
      </c>
      <c r="C749" t="str">
        <f t="shared" si="67"/>
        <v>45.4860755</v>
      </c>
      <c r="D749" t="str">
        <f t="shared" si="68"/>
        <v>-78.2406405</v>
      </c>
      <c r="E749" t="str">
        <f t="shared" si="69"/>
        <v>--</v>
      </c>
      <c r="F749" t="str">
        <f t="shared" si="70"/>
        <v>K0J 2M0</v>
      </c>
      <c r="G749" t="str">
        <f t="shared" si="71"/>
        <v>[ "Whitney Municipal Office", 45.4860755, -78.2406405, '--', 'K0J 2M0'],</v>
      </c>
    </row>
    <row r="750" spans="1:7" x14ac:dyDescent="0.2">
      <c r="A750" t="s">
        <v>772</v>
      </c>
      <c r="B750" t="str">
        <f t="shared" si="66"/>
        <v>Whitney Library</v>
      </c>
      <c r="C750" t="str">
        <f t="shared" si="67"/>
        <v>45.4600026</v>
      </c>
      <c r="D750" t="str">
        <f t="shared" si="68"/>
        <v>-78.1642873</v>
      </c>
      <c r="E750" t="str">
        <f t="shared" si="69"/>
        <v>--</v>
      </c>
      <c r="F750" t="str">
        <f t="shared" si="70"/>
        <v>K0J 2M0</v>
      </c>
      <c r="G750" t="str">
        <f t="shared" si="71"/>
        <v>[ "Whitney Library", 45.4600026, -78.1642873, '--', 'K0J 2M0'],</v>
      </c>
    </row>
    <row r="751" spans="1:7" x14ac:dyDescent="0.2">
      <c r="A751" t="s">
        <v>773</v>
      </c>
      <c r="B751" t="str">
        <f t="shared" si="66"/>
        <v>Staples</v>
      </c>
      <c r="C751" t="str">
        <f t="shared" si="67"/>
        <v>46.33246</v>
      </c>
      <c r="D751" t="str">
        <f t="shared" si="68"/>
        <v>-79.46608</v>
      </c>
      <c r="E751" t="str">
        <f t="shared" si="69"/>
        <v>705-472-7223</v>
      </c>
      <c r="F751" t="str">
        <f t="shared" si="70"/>
        <v>P1B 4Y8</v>
      </c>
      <c r="G751" t="str">
        <f t="shared" si="71"/>
        <v>[ "Staples", 46.33246, -79.46608, '705-472-7223', 'P1B 4Y8'],</v>
      </c>
    </row>
    <row r="752" spans="1:7" x14ac:dyDescent="0.2">
      <c r="A752" t="s">
        <v>774</v>
      </c>
      <c r="B752" t="str">
        <f t="shared" si="66"/>
        <v>Gateway Professional Tools</v>
      </c>
      <c r="C752" t="str">
        <f t="shared" si="67"/>
        <v>46.3157196161105</v>
      </c>
      <c r="D752" t="str">
        <f t="shared" si="68"/>
        <v>-79.461210087138</v>
      </c>
      <c r="E752" t="str">
        <f t="shared" si="69"/>
        <v>705-495-4906</v>
      </c>
      <c r="F752" t="str">
        <f t="shared" si="70"/>
        <v>P1B 4A4</v>
      </c>
      <c r="G752" t="str">
        <f t="shared" si="71"/>
        <v>[ "Gateway Professional Tools", 46.3157196161105, -79.461210087138, '705-495-4906', 'P1B 4A4'],</v>
      </c>
    </row>
    <row r="753" spans="1:7" x14ac:dyDescent="0.2">
      <c r="A753" t="s">
        <v>775</v>
      </c>
      <c r="B753" t="str">
        <f t="shared" si="66"/>
        <v>ListenUp! Canada</v>
      </c>
      <c r="C753" t="str">
        <f t="shared" si="67"/>
        <v>46.3179816161616</v>
      </c>
      <c r="D753" t="str">
        <f t="shared" si="68"/>
        <v>-79.4468766666667</v>
      </c>
      <c r="E753" t="str">
        <f t="shared" si="69"/>
        <v>705-474-3896</v>
      </c>
      <c r="F753" t="str">
        <f t="shared" si="70"/>
        <v>P1B 4C8</v>
      </c>
      <c r="G753" t="str">
        <f t="shared" si="71"/>
        <v>[ "ListenUp! Canada", 46.3179816161616, -79.4468766666667, '705-474-3896', 'P1B 4C8'],</v>
      </c>
    </row>
    <row r="754" spans="1:7" x14ac:dyDescent="0.2">
      <c r="A754" t="s">
        <v>776</v>
      </c>
      <c r="B754" t="str">
        <f t="shared" si="66"/>
        <v>Sears (Canada)</v>
      </c>
      <c r="C754" t="str">
        <f t="shared" si="67"/>
        <v>46.31296</v>
      </c>
      <c r="D754" t="str">
        <f t="shared" si="68"/>
        <v>-79.44285</v>
      </c>
      <c r="E754" t="str">
        <f t="shared" si="69"/>
        <v>705-476-2119</v>
      </c>
      <c r="F754" t="str">
        <f t="shared" si="70"/>
        <v>P1B 2H3</v>
      </c>
      <c r="G754" t="str">
        <f t="shared" si="71"/>
        <v>[ "Sears (Canada)", 46.31296, -79.44285, '705-476-2119', 'P1B 2H3'],</v>
      </c>
    </row>
    <row r="755" spans="1:7" x14ac:dyDescent="0.2">
      <c r="A755" t="s">
        <v>777</v>
      </c>
      <c r="B755" t="str">
        <f t="shared" si="66"/>
        <v>Best Buy Canada</v>
      </c>
      <c r="C755" t="str">
        <f t="shared" si="67"/>
        <v>46.31296</v>
      </c>
      <c r="D755" t="str">
        <f t="shared" si="68"/>
        <v>-79.44285</v>
      </c>
      <c r="E755" t="str">
        <f t="shared" si="69"/>
        <v>705-472-2126</v>
      </c>
      <c r="F755" t="str">
        <f t="shared" si="70"/>
        <v>P1B 2H3</v>
      </c>
      <c r="G755" t="str">
        <f t="shared" si="71"/>
        <v>[ "Best Buy Canada", 46.31296, -79.44285, '705-472-2126', 'P1B 2H3'],</v>
      </c>
    </row>
    <row r="756" spans="1:7" x14ac:dyDescent="0.2">
      <c r="A756" t="s">
        <v>778</v>
      </c>
      <c r="B756" t="str">
        <f t="shared" si="66"/>
        <v>City of North Bay</v>
      </c>
      <c r="C756" t="str">
        <f t="shared" si="67"/>
        <v>46.31202</v>
      </c>
      <c r="D756" t="str">
        <f t="shared" si="68"/>
        <v>-79.43825</v>
      </c>
      <c r="E756" t="str">
        <f t="shared" si="69"/>
        <v>705-474-0400</v>
      </c>
      <c r="F756" t="str">
        <f t="shared" si="70"/>
        <v>P1B 8G4</v>
      </c>
      <c r="G756" t="str">
        <f t="shared" si="71"/>
        <v>[ "City of North Bay", 46.31202, -79.43825, '705-474-0400', 'P1B 8G4'],</v>
      </c>
    </row>
    <row r="757" spans="1:7" x14ac:dyDescent="0.2">
      <c r="A757" t="s">
        <v>779</v>
      </c>
      <c r="B757" t="str">
        <f t="shared" si="66"/>
        <v>Home Depot</v>
      </c>
      <c r="C757" t="str">
        <f t="shared" si="67"/>
        <v>46.3072931080718</v>
      </c>
      <c r="D757" t="str">
        <f t="shared" si="68"/>
        <v>-79.4389821007338</v>
      </c>
      <c r="E757" t="str">
        <f t="shared" si="69"/>
        <v>705-845-2300</v>
      </c>
      <c r="F757" t="str">
        <f t="shared" si="70"/>
        <v>P1B 9V6</v>
      </c>
      <c r="G757" t="str">
        <f t="shared" si="71"/>
        <v>[ "Home Depot", 46.3072931080718, -79.4389821007338, '705-845-2300', 'P1B 9V6'],</v>
      </c>
    </row>
    <row r="758" spans="1:7" x14ac:dyDescent="0.2">
      <c r="A758" t="s">
        <v>780</v>
      </c>
      <c r="B758" t="str">
        <f t="shared" si="66"/>
        <v>The Source</v>
      </c>
      <c r="C758" t="str">
        <f t="shared" si="67"/>
        <v>46.2829</v>
      </c>
      <c r="D758" t="str">
        <f t="shared" si="68"/>
        <v>-79.44897</v>
      </c>
      <c r="E758" t="str">
        <f t="shared" si="69"/>
        <v>705-476-4486</v>
      </c>
      <c r="F758" t="str">
        <f t="shared" si="70"/>
        <v>P1A 3V2</v>
      </c>
      <c r="G758" t="str">
        <f t="shared" si="71"/>
        <v>[ "The Source", 46.2829, -79.44897, '705-476-4486', 'P1A 3V2'],</v>
      </c>
    </row>
    <row r="759" spans="1:7" x14ac:dyDescent="0.2">
      <c r="A759" t="s">
        <v>781</v>
      </c>
      <c r="B759" t="str">
        <f t="shared" si="66"/>
        <v>Spectrum Telecom Group Ltd</v>
      </c>
      <c r="C759" t="str">
        <f t="shared" si="67"/>
        <v>46.2708855102041</v>
      </c>
      <c r="D759" t="str">
        <f t="shared" si="68"/>
        <v>-79.4103093877551</v>
      </c>
      <c r="E759" t="str">
        <f t="shared" si="69"/>
        <v>705-474-6368</v>
      </c>
      <c r="F759" t="str">
        <f t="shared" si="70"/>
        <v>P1A 4M5</v>
      </c>
      <c r="G759" t="str">
        <f t="shared" si="71"/>
        <v>[ "Spectrum Telecom Group Ltd", 46.2708855102041, -79.4103093877551, '705-474-6368', 'P1A 4M5'],</v>
      </c>
    </row>
    <row r="760" spans="1:7" x14ac:dyDescent="0.2">
      <c r="A760" t="s">
        <v>782</v>
      </c>
      <c r="B760" t="str">
        <f t="shared" si="66"/>
        <v>Dépôt Témiscaming</v>
      </c>
      <c r="C760" t="str">
        <f t="shared" si="67"/>
        <v>46.7213752941176</v>
      </c>
      <c r="D760" t="str">
        <f t="shared" si="68"/>
        <v>-79.0941994117647</v>
      </c>
      <c r="E760" t="str">
        <f t="shared" si="69"/>
        <v>--</v>
      </c>
      <c r="F760" t="str">
        <f t="shared" si="70"/>
        <v>J0Z 3R0</v>
      </c>
      <c r="G760" t="str">
        <f t="shared" si="71"/>
        <v>[ "Dépôt Témiscaming", 46.7213752941176, -79.0941994117647, '--', 'J0Z 3R0'],</v>
      </c>
    </row>
    <row r="761" spans="1:7" x14ac:dyDescent="0.2">
      <c r="A761" t="s">
        <v>783</v>
      </c>
      <c r="B761" t="str">
        <f t="shared" si="66"/>
        <v>Uniprix</v>
      </c>
      <c r="C761" t="str">
        <f t="shared" si="67"/>
        <v>46.72788</v>
      </c>
      <c r="D761" t="str">
        <f t="shared" si="68"/>
        <v>-79.08898</v>
      </c>
      <c r="E761" t="str">
        <f t="shared" si="69"/>
        <v>819-627-3373</v>
      </c>
      <c r="F761" t="str">
        <f t="shared" si="70"/>
        <v>J0Z 3R0</v>
      </c>
      <c r="G761" t="str">
        <f t="shared" si="71"/>
        <v>[ "Uniprix", 46.72788, -79.08898, '819-627-3373', 'J0Z 3R0'],</v>
      </c>
    </row>
    <row r="762" spans="1:7" x14ac:dyDescent="0.2">
      <c r="A762" t="s">
        <v>784</v>
      </c>
      <c r="B762" t="str">
        <f t="shared" si="66"/>
        <v>Dépôt Kipawa</v>
      </c>
      <c r="C762" t="str">
        <f t="shared" si="67"/>
        <v>46.7461252321182</v>
      </c>
      <c r="D762" t="str">
        <f t="shared" si="68"/>
        <v>-79.0553109598523</v>
      </c>
      <c r="E762" t="str">
        <f t="shared" si="69"/>
        <v>--</v>
      </c>
      <c r="F762" t="str">
        <f t="shared" si="70"/>
        <v>J0Z 2H0</v>
      </c>
      <c r="G762" t="str">
        <f t="shared" si="71"/>
        <v>[ "Dépôt Kipawa", 46.7461252321182, -79.0553109598523, '--', 'J0Z 2H0'],</v>
      </c>
    </row>
    <row r="763" spans="1:7" x14ac:dyDescent="0.2">
      <c r="A763" t="s">
        <v>785</v>
      </c>
      <c r="B763" t="str">
        <f t="shared" si="66"/>
        <v>Dépôt Ville-Marie</v>
      </c>
      <c r="C763" t="str">
        <f t="shared" si="67"/>
        <v>47.3295261511659</v>
      </c>
      <c r="D763" t="str">
        <f t="shared" si="68"/>
        <v>-79.4347846046635</v>
      </c>
      <c r="E763" t="str">
        <f t="shared" si="69"/>
        <v>--</v>
      </c>
      <c r="F763" t="str">
        <f t="shared" si="70"/>
        <v>J9V 1A2</v>
      </c>
      <c r="G763" t="str">
        <f t="shared" si="71"/>
        <v>[ "Dépôt Ville-Marie", 47.3295261511659, -79.4347846046635, '--', 'J9V 1A2'],</v>
      </c>
    </row>
    <row r="764" spans="1:7" x14ac:dyDescent="0.2">
      <c r="A764" t="s">
        <v>786</v>
      </c>
      <c r="B764" t="str">
        <f t="shared" si="66"/>
        <v>Dépôt Béarn</v>
      </c>
      <c r="C764" t="str">
        <f t="shared" si="67"/>
        <v>47.290527</v>
      </c>
      <c r="D764" t="str">
        <f t="shared" si="68"/>
        <v>-79.327876</v>
      </c>
      <c r="E764" t="str">
        <f t="shared" si="69"/>
        <v>--</v>
      </c>
      <c r="F764" t="str">
        <f t="shared" si="70"/>
        <v>J0Z 1G0</v>
      </c>
      <c r="G764" t="str">
        <f t="shared" si="71"/>
        <v>[ "Dépôt Béarn", 47.290527, -79.327876, '--', 'J0Z 1G0'],</v>
      </c>
    </row>
    <row r="765" spans="1:7" x14ac:dyDescent="0.2">
      <c r="A765" t="s">
        <v>787</v>
      </c>
      <c r="B765" t="str">
        <f t="shared" si="66"/>
        <v>BMR J. Drolet &amp; Fils ltée</v>
      </c>
      <c r="C765" t="str">
        <f t="shared" si="67"/>
        <v>47.33069</v>
      </c>
      <c r="D765" t="str">
        <f t="shared" si="68"/>
        <v>-79.43604</v>
      </c>
      <c r="E765" t="str">
        <f t="shared" si="69"/>
        <v>819-629-2885</v>
      </c>
      <c r="F765" t="str">
        <f t="shared" si="70"/>
        <v>J9V 1J9</v>
      </c>
      <c r="G765" t="str">
        <f t="shared" si="71"/>
        <v>[ "BMR J. Drolet &amp; Fils ltée", 47.33069, -79.43604, '819-629-2885', 'J9V 1J9'],</v>
      </c>
    </row>
    <row r="766" spans="1:7" x14ac:dyDescent="0.2">
      <c r="A766" t="s">
        <v>788</v>
      </c>
      <c r="B766" t="str">
        <f t="shared" si="66"/>
        <v>Bergeron Electronique</v>
      </c>
      <c r="C766" t="str">
        <f t="shared" si="67"/>
        <v>47.33723</v>
      </c>
      <c r="D766" t="str">
        <f t="shared" si="68"/>
        <v>-79.43704</v>
      </c>
      <c r="E766" t="str">
        <f t="shared" si="69"/>
        <v>819-629-3444</v>
      </c>
      <c r="F766" t="str">
        <f t="shared" si="70"/>
        <v>J9V 1J5</v>
      </c>
      <c r="G766" t="str">
        <f t="shared" si="71"/>
        <v>[ "Bergeron Electronique", 47.33723, -79.43704, '819-629-3444', 'J9V 1J5'],</v>
      </c>
    </row>
    <row r="767" spans="1:7" x14ac:dyDescent="0.2">
      <c r="A767" t="s">
        <v>789</v>
      </c>
      <c r="B767" t="str">
        <f t="shared" si="66"/>
        <v>Powassan Home Hardware</v>
      </c>
      <c r="C767" t="str">
        <f t="shared" si="67"/>
        <v>46.0814266666667</v>
      </c>
      <c r="D767" t="str">
        <f t="shared" si="68"/>
        <v>-79.3612022222222</v>
      </c>
      <c r="E767" t="str">
        <f t="shared" si="69"/>
        <v>705-724-2810</v>
      </c>
      <c r="F767" t="str">
        <f t="shared" si="70"/>
        <v>P0H 1Z0</v>
      </c>
      <c r="G767" t="str">
        <f t="shared" si="71"/>
        <v>[ "Powassan Home Hardware", 46.0814266666667, -79.3612022222222, '705-724-2810', 'P0H 1Z0'],</v>
      </c>
    </row>
    <row r="768" spans="1:7" x14ac:dyDescent="0.2">
      <c r="A768" t="s">
        <v>790</v>
      </c>
      <c r="B768" t="str">
        <f t="shared" si="66"/>
        <v>RONA</v>
      </c>
      <c r="C768" t="str">
        <f t="shared" si="67"/>
        <v>46.6085883728151</v>
      </c>
      <c r="D768" t="str">
        <f t="shared" si="68"/>
        <v>-81.0313502368903</v>
      </c>
      <c r="E768" t="str">
        <f t="shared" si="69"/>
        <v>705-897-2552</v>
      </c>
      <c r="F768" t="str">
        <f t="shared" si="70"/>
        <v>P3N 1B2</v>
      </c>
      <c r="G768" t="str">
        <f t="shared" si="71"/>
        <v>[ "RONA", 46.6085883728151, -81.0313502368903, '705-897-2552', 'P3N 1B2'],</v>
      </c>
    </row>
    <row r="769" spans="1:7" x14ac:dyDescent="0.2">
      <c r="A769" t="s">
        <v>791</v>
      </c>
      <c r="B769" t="str">
        <f t="shared" ref="B769:B832" si="72">MID(A769,SEARCH("name"&amp;CHAR(34)&amp;":"&amp;CHAR(34),A769)+7,SEARCH(CHAR(34)&amp;", "&amp;CHAR(34)&amp;"locationlinkurl",A769)-SEARCH("name"&amp;CHAR(34)&amp;":"&amp;CHAR(34),A769)-7)</f>
        <v>Jannatec Radio Technologies</v>
      </c>
      <c r="C769" t="str">
        <f t="shared" ref="C769:C832" si="73">MID(A769,SEARCH(CHAR(34)&amp;"latitude"&amp;CHAR(34)&amp;":"&amp;CHAR(34),A769)+12,SEARCH(CHAR(34)&amp;", "&amp;CHAR(34)&amp;"url"&amp;CHAR(34),A769)-SEARCH(CHAR(34)&amp;"latitude"&amp;CHAR(34)&amp;":"&amp;CHAR(34),A769)-12)</f>
        <v>46.53725</v>
      </c>
      <c r="D769" t="str">
        <f t="shared" ref="D769:D832" si="74">MID(A769,SEARCH(CHAR(34)&amp;"longitude"&amp;CHAR(34)&amp;":"&amp;CHAR(34),A769)+13,SEARCH(CHAR(34)&amp;", "&amp;CHAR(34)&amp;"uid"&amp;CHAR(34),A769)-SEARCH(CHAR(34)&amp;"longitude"&amp;CHAR(34)&amp;":"&amp;CHAR(34),A769)-13)</f>
        <v>-80.93738</v>
      </c>
      <c r="E769" t="str">
        <f t="shared" ref="E769:E832" si="75">MID(A769,SEARCH(CHAR(34)&amp;"phone"&amp;CHAR(34)&amp;":"&amp;CHAR(34),A769)+9,SEARCH(CHAR(34)&amp;", "&amp;CHAR(34)&amp;"address2"&amp;CHAR(34),A769)-SEARCH(CHAR(34)&amp;"phone"&amp;CHAR(34)&amp;":"&amp;CHAR(34),A769)-9)</f>
        <v>705-566-3939</v>
      </c>
      <c r="F769" t="str">
        <f t="shared" ref="F769:F832" si="76">MID(A769,SEARCH(CHAR(34)&amp;"postalcode"&amp;CHAR(34)&amp;":"&amp;CHAR(34),A769)+14,SEARCH(CHAR(34)&amp;", "&amp;CHAR(34)&amp;"province"&amp;CHAR(34),A769)-SEARCH(CHAR(34)&amp;"postalcode"&amp;CHAR(34)&amp;":"&amp;CHAR(34),A769)-14)</f>
        <v>P3A 4R7</v>
      </c>
      <c r="G769" t="str">
        <f t="shared" ref="G769:G832" si="77">"[ "&amp;CHAR(34)&amp;B769&amp;CHAR(34)&amp;", "&amp;C769&amp;", "&amp;D769&amp;", '"&amp;E769&amp;"', '"&amp;F769&amp;"'],"</f>
        <v>[ "Jannatec Radio Technologies", 46.53725, -80.93738, '705-566-3939', 'P3A 4R7'],</v>
      </c>
    </row>
    <row r="770" spans="1:7" x14ac:dyDescent="0.2">
      <c r="A770" t="s">
        <v>792</v>
      </c>
      <c r="B770" t="str">
        <f t="shared" si="72"/>
        <v>Princess Auto</v>
      </c>
      <c r="C770" t="str">
        <f t="shared" si="73"/>
        <v>46.5220916317554</v>
      </c>
      <c r="D770" t="str">
        <f t="shared" si="74"/>
        <v>-80.960964597829</v>
      </c>
      <c r="E770" t="str">
        <f t="shared" si="75"/>
        <v>705-524-6500</v>
      </c>
      <c r="F770" t="str">
        <f t="shared" si="76"/>
        <v>P3A 1X7</v>
      </c>
      <c r="G770" t="str">
        <f t="shared" si="77"/>
        <v>[ "Princess Auto", 46.5220916317554, -80.960964597829, '705-524-6500', 'P3A 1X7'],</v>
      </c>
    </row>
    <row r="771" spans="1:7" x14ac:dyDescent="0.2">
      <c r="A771" t="s">
        <v>793</v>
      </c>
      <c r="B771" t="str">
        <f t="shared" si="72"/>
        <v>The Source</v>
      </c>
      <c r="C771" t="str">
        <f t="shared" si="73"/>
        <v>46.52205</v>
      </c>
      <c r="D771" t="str">
        <f t="shared" si="74"/>
        <v>-80.94908</v>
      </c>
      <c r="E771" t="str">
        <f t="shared" si="75"/>
        <v>705-560-1669</v>
      </c>
      <c r="F771" t="str">
        <f t="shared" si="76"/>
        <v>P3A 1Z2</v>
      </c>
      <c r="G771" t="str">
        <f t="shared" si="77"/>
        <v>[ "The Source", 46.52205, -80.94908, '705-560-1669', 'P3A 1Z2'],</v>
      </c>
    </row>
    <row r="772" spans="1:7" x14ac:dyDescent="0.2">
      <c r="A772" t="s">
        <v>794</v>
      </c>
      <c r="B772" t="str">
        <f t="shared" si="72"/>
        <v>City of Greater Sudbury</v>
      </c>
      <c r="C772" t="str">
        <f t="shared" si="73"/>
        <v>46.5057506247064</v>
      </c>
      <c r="D772" t="str">
        <f t="shared" si="74"/>
        <v>-80.9304913530085</v>
      </c>
      <c r="E772" t="str">
        <f t="shared" si="75"/>
        <v>705-671-2489</v>
      </c>
      <c r="F772" t="str">
        <f t="shared" si="76"/>
        <v>P3A 6C8</v>
      </c>
      <c r="G772" t="str">
        <f t="shared" si="77"/>
        <v>[ "City of Greater Sudbury", 46.5057506247064, -80.9304913530085, '705-671-2489', 'P3A 6C8'],</v>
      </c>
    </row>
    <row r="773" spans="1:7" x14ac:dyDescent="0.2">
      <c r="A773" t="s">
        <v>795</v>
      </c>
      <c r="B773" t="str">
        <f t="shared" si="72"/>
        <v>Staples</v>
      </c>
      <c r="C773" t="str">
        <f t="shared" si="73"/>
        <v>46.5050268639053</v>
      </c>
      <c r="D773" t="str">
        <f t="shared" si="74"/>
        <v>-80.9460298816568</v>
      </c>
      <c r="E773" t="str">
        <f t="shared" si="75"/>
        <v>705-524-6227</v>
      </c>
      <c r="F773" t="str">
        <f t="shared" si="76"/>
        <v>P3B 0A2</v>
      </c>
      <c r="G773" t="str">
        <f t="shared" si="77"/>
        <v>[ "Staples", 46.5050268639053, -80.9460298816568, '705-524-6227', 'P3B 0A2'],</v>
      </c>
    </row>
    <row r="774" spans="1:7" x14ac:dyDescent="0.2">
      <c r="A774" t="s">
        <v>796</v>
      </c>
      <c r="B774" t="str">
        <f t="shared" si="72"/>
        <v>Spectrum Telecom Group Ltd</v>
      </c>
      <c r="C774" t="str">
        <f t="shared" si="73"/>
        <v>46.50585</v>
      </c>
      <c r="D774" t="str">
        <f t="shared" si="74"/>
        <v>-81.00675</v>
      </c>
      <c r="E774" t="str">
        <f t="shared" si="75"/>
        <v>705-673-6661</v>
      </c>
      <c r="F774" t="str">
        <f t="shared" si="76"/>
        <v>P3C 5A2</v>
      </c>
      <c r="G774" t="str">
        <f t="shared" si="77"/>
        <v>[ "Spectrum Telecom Group Ltd", 46.50585, -81.00675, '705-673-6661', 'P3C 5A2'],</v>
      </c>
    </row>
    <row r="775" spans="1:7" x14ac:dyDescent="0.2">
      <c r="A775" t="s">
        <v>797</v>
      </c>
      <c r="B775" t="str">
        <f t="shared" si="72"/>
        <v>Home Depot</v>
      </c>
      <c r="C775" t="str">
        <f t="shared" si="73"/>
        <v>46.50216</v>
      </c>
      <c r="D775" t="str">
        <f t="shared" si="74"/>
        <v>-80.9413717053339</v>
      </c>
      <c r="E775" t="str">
        <f t="shared" si="75"/>
        <v>705-525-2960</v>
      </c>
      <c r="F775" t="str">
        <f t="shared" si="76"/>
        <v>P3B 4K5</v>
      </c>
      <c r="G775" t="str">
        <f t="shared" si="77"/>
        <v>[ "Home Depot", 46.50216, -80.9413717053339, '705-525-2960', 'P3B 4K5'],</v>
      </c>
    </row>
    <row r="776" spans="1:7" x14ac:dyDescent="0.2">
      <c r="A776" t="s">
        <v>798</v>
      </c>
      <c r="B776" t="str">
        <f t="shared" si="72"/>
        <v>Lowes</v>
      </c>
      <c r="C776" t="str">
        <f t="shared" si="73"/>
        <v>46.5016862172095</v>
      </c>
      <c r="D776" t="str">
        <f t="shared" si="74"/>
        <v>-80.945430510575</v>
      </c>
      <c r="E776" t="str">
        <f t="shared" si="75"/>
        <v>705-521-7200</v>
      </c>
      <c r="F776" t="str">
        <f t="shared" si="76"/>
        <v>P3B 4K6</v>
      </c>
      <c r="G776" t="str">
        <f t="shared" si="77"/>
        <v>[ "Lowes", 46.5016862172095, -80.945430510575, '705-521-7200', 'P3B 4K6'],</v>
      </c>
    </row>
    <row r="777" spans="1:7" x14ac:dyDescent="0.2">
      <c r="A777" t="s">
        <v>799</v>
      </c>
      <c r="B777" t="str">
        <f t="shared" si="72"/>
        <v>ListenUp! Canada</v>
      </c>
      <c r="C777" t="str">
        <f t="shared" si="73"/>
        <v>46.4913295833333</v>
      </c>
      <c r="D777" t="str">
        <f t="shared" si="74"/>
        <v>-80.9930954166667</v>
      </c>
      <c r="E777" t="str">
        <f t="shared" si="75"/>
        <v>705-670-8250</v>
      </c>
      <c r="F777" t="str">
        <f t="shared" si="76"/>
        <v>P3E 1C1</v>
      </c>
      <c r="G777" t="str">
        <f t="shared" si="77"/>
        <v>[ "ListenUp! Canada", 46.4913295833333, -80.9930954166667, '705-670-8250', 'P3E 1C1'],</v>
      </c>
    </row>
    <row r="778" spans="1:7" x14ac:dyDescent="0.2">
      <c r="A778" t="s">
        <v>800</v>
      </c>
      <c r="B778" t="str">
        <f t="shared" si="72"/>
        <v>Fastenal</v>
      </c>
      <c r="C778" t="str">
        <f t="shared" si="73"/>
        <v>46.4719496466368</v>
      </c>
      <c r="D778" t="str">
        <f t="shared" si="74"/>
        <v>-81.0280557295891</v>
      </c>
      <c r="E778" t="str">
        <f t="shared" si="75"/>
        <v>705-675-6888</v>
      </c>
      <c r="F778" t="str">
        <f t="shared" si="76"/>
        <v>P3C 3B6</v>
      </c>
      <c r="G778" t="str">
        <f t="shared" si="77"/>
        <v>[ "Fastenal", 46.4719496466368, -81.0280557295891, '705-675-6888', 'P3C 3B6'],</v>
      </c>
    </row>
    <row r="779" spans="1:7" x14ac:dyDescent="0.2">
      <c r="A779" t="s">
        <v>801</v>
      </c>
      <c r="B779" t="str">
        <f t="shared" si="72"/>
        <v>The Source</v>
      </c>
      <c r="C779" t="str">
        <f t="shared" si="73"/>
        <v>46.4510312859701</v>
      </c>
      <c r="D779" t="str">
        <f t="shared" si="74"/>
        <v>-81.0016696544131</v>
      </c>
      <c r="E779" t="str">
        <f t="shared" si="75"/>
        <v>705-522-1457</v>
      </c>
      <c r="F779" t="str">
        <f t="shared" si="76"/>
        <v>P3E 5R2</v>
      </c>
      <c r="G779" t="str">
        <f t="shared" si="77"/>
        <v>[ "The Source", 46.4510312859701, -81.0016696544131, '705-522-1457', 'P3E 5R2'],</v>
      </c>
    </row>
    <row r="780" spans="1:7" x14ac:dyDescent="0.2">
      <c r="A780" t="s">
        <v>802</v>
      </c>
      <c r="B780" t="str">
        <f t="shared" si="72"/>
        <v>Township of Sables-Spanish Rivers</v>
      </c>
      <c r="C780" t="str">
        <f t="shared" si="73"/>
        <v>46.21335</v>
      </c>
      <c r="D780" t="str">
        <f t="shared" si="74"/>
        <v>-82.06609</v>
      </c>
      <c r="E780" t="str">
        <f t="shared" si="75"/>
        <v>705-865-2646</v>
      </c>
      <c r="F780" t="str">
        <f t="shared" si="76"/>
        <v>P0P 1P0</v>
      </c>
      <c r="G780" t="str">
        <f t="shared" si="77"/>
        <v>[ "Township of Sables-Spanish Rivers", 46.21335, -82.06609, '705-865-2646', 'P0P 1P0'],</v>
      </c>
    </row>
    <row r="781" spans="1:7" x14ac:dyDescent="0.2">
      <c r="A781" t="s">
        <v>803</v>
      </c>
      <c r="B781" t="str">
        <f t="shared" si="72"/>
        <v>Unicorn Stationery &amp; Gifts</v>
      </c>
      <c r="C781" t="str">
        <f t="shared" si="73"/>
        <v>46.18657</v>
      </c>
      <c r="D781" t="str">
        <f t="shared" si="74"/>
        <v>-82.95392</v>
      </c>
      <c r="E781" t="str">
        <f t="shared" si="75"/>
        <v>705-356-7424</v>
      </c>
      <c r="F781" t="str">
        <f t="shared" si="76"/>
        <v>P0R 1B0</v>
      </c>
      <c r="G781" t="str">
        <f t="shared" si="77"/>
        <v>[ "Unicorn Stationery &amp; Gifts", 46.18657, -82.95392, '705-356-7424', 'P0R 1B0'],</v>
      </c>
    </row>
    <row r="782" spans="1:7" x14ac:dyDescent="0.2">
      <c r="A782" t="s">
        <v>804</v>
      </c>
      <c r="B782" t="str">
        <f t="shared" si="72"/>
        <v>Ritchie Electronics</v>
      </c>
      <c r="C782" t="str">
        <f t="shared" si="73"/>
        <v>46.2559011111111</v>
      </c>
      <c r="D782" t="str">
        <f t="shared" si="74"/>
        <v>-83.5571277777778</v>
      </c>
      <c r="E782" t="str">
        <f t="shared" si="75"/>
        <v>705-842-2060</v>
      </c>
      <c r="F782" t="str">
        <f t="shared" si="76"/>
        <v>P0R 1L0</v>
      </c>
      <c r="G782" t="str">
        <f t="shared" si="77"/>
        <v>[ "Ritchie Electronics", 46.2559011111111, -83.5571277777778, '705-842-2060', 'P0R 1L0'],</v>
      </c>
    </row>
    <row r="783" spans="1:7" x14ac:dyDescent="0.2">
      <c r="A783" t="s">
        <v>805</v>
      </c>
      <c r="B783" t="str">
        <f t="shared" si="72"/>
        <v>ListenUp! Canada</v>
      </c>
      <c r="C783" t="str">
        <f t="shared" si="73"/>
        <v>46.52184</v>
      </c>
      <c r="D783" t="str">
        <f t="shared" si="74"/>
        <v>-84.31535</v>
      </c>
      <c r="E783" t="str">
        <f t="shared" si="75"/>
        <v>705-759-7453</v>
      </c>
      <c r="F783" t="str">
        <f t="shared" si="76"/>
        <v>P6B 1Y5</v>
      </c>
      <c r="G783" t="str">
        <f t="shared" si="77"/>
        <v>[ "ListenUp! Canada", 46.52184, -84.31535, '705-759-7453', 'P6B 1Y5'],</v>
      </c>
    </row>
    <row r="784" spans="1:7" x14ac:dyDescent="0.2">
      <c r="A784" t="s">
        <v>806</v>
      </c>
      <c r="B784" t="str">
        <f t="shared" si="72"/>
        <v>ListenUp! Canada</v>
      </c>
      <c r="C784" t="str">
        <f t="shared" si="73"/>
        <v>46.5299991676132</v>
      </c>
      <c r="D784" t="str">
        <f t="shared" si="74"/>
        <v>-84.3195214583807</v>
      </c>
      <c r="E784" t="str">
        <f t="shared" si="75"/>
        <v>705-942-6077</v>
      </c>
      <c r="F784" t="str">
        <f t="shared" si="76"/>
        <v>P6B 4Z1</v>
      </c>
      <c r="G784" t="str">
        <f t="shared" si="77"/>
        <v>[ "ListenUp! Canada", 46.5299991676132, -84.3195214583807, '705-942-6077', 'P6B 4Z1'],</v>
      </c>
    </row>
    <row r="785" spans="1:7" x14ac:dyDescent="0.2">
      <c r="A785" t="s">
        <v>807</v>
      </c>
      <c r="B785" t="str">
        <f t="shared" si="72"/>
        <v>Staples</v>
      </c>
      <c r="C785" t="str">
        <f t="shared" si="73"/>
        <v>46.5361208793104</v>
      </c>
      <c r="D785" t="str">
        <f t="shared" si="74"/>
        <v>-84.3188181318782</v>
      </c>
      <c r="E785" t="str">
        <f t="shared" si="75"/>
        <v>705-256-1466</v>
      </c>
      <c r="F785" t="str">
        <f t="shared" si="76"/>
        <v>P6B 4Z8</v>
      </c>
      <c r="G785" t="str">
        <f t="shared" si="77"/>
        <v>[ "Staples", 46.5361208793104, -84.3188181318782, '705-256-1466', 'P6B 4Z8'],</v>
      </c>
    </row>
    <row r="786" spans="1:7" x14ac:dyDescent="0.2">
      <c r="A786" t="s">
        <v>808</v>
      </c>
      <c r="B786" t="str">
        <f t="shared" si="72"/>
        <v>Home Depot</v>
      </c>
      <c r="C786" t="str">
        <f t="shared" si="73"/>
        <v>46.5437726873648</v>
      </c>
      <c r="D786" t="str">
        <f t="shared" si="74"/>
        <v>-84.31709</v>
      </c>
      <c r="E786" t="str">
        <f t="shared" si="75"/>
        <v>705-254-1150</v>
      </c>
      <c r="F786" t="str">
        <f t="shared" si="76"/>
        <v>P6B 4Z9</v>
      </c>
      <c r="G786" t="str">
        <f t="shared" si="77"/>
        <v>[ "Home Depot", 46.5437726873648, -84.31709, '705-254-1150', 'P6B 4Z9'],</v>
      </c>
    </row>
    <row r="787" spans="1:7" x14ac:dyDescent="0.2">
      <c r="A787" t="s">
        <v>809</v>
      </c>
      <c r="B787" t="str">
        <f t="shared" si="72"/>
        <v>Best Buy Canada</v>
      </c>
      <c r="C787" t="str">
        <f t="shared" si="73"/>
        <v>46.54303</v>
      </c>
      <c r="D787" t="str">
        <f t="shared" si="74"/>
        <v>-84.31917</v>
      </c>
      <c r="E787" t="str">
        <f t="shared" si="75"/>
        <v>705-942-0722</v>
      </c>
      <c r="F787" t="str">
        <f t="shared" si="76"/>
        <v>P6B 4Z9</v>
      </c>
      <c r="G787" t="str">
        <f t="shared" si="77"/>
        <v>[ "Best Buy Canada", 46.54303, -84.31917, '705-942-0722', 'P6B 4Z9'],</v>
      </c>
    </row>
    <row r="788" spans="1:7" x14ac:dyDescent="0.2">
      <c r="A788" t="s">
        <v>810</v>
      </c>
      <c r="B788" t="str">
        <f t="shared" si="72"/>
        <v>City of Sault Ste. Marie</v>
      </c>
      <c r="C788" t="str">
        <f t="shared" si="73"/>
        <v>46.5509722592981</v>
      </c>
      <c r="D788" t="str">
        <f t="shared" si="74"/>
        <v>-84.3273139340878</v>
      </c>
      <c r="E788" t="str">
        <f t="shared" si="75"/>
        <v>705-541-7049</v>
      </c>
      <c r="F788" t="str">
        <f t="shared" si="76"/>
        <v>P6B 5P3</v>
      </c>
      <c r="G788" t="str">
        <f t="shared" si="77"/>
        <v>[ "City of Sault Ste. Marie", 46.5509722592981, -84.3273139340878, '705-541-7049', 'P6B 5P3'],</v>
      </c>
    </row>
    <row r="789" spans="1:7" x14ac:dyDescent="0.2">
      <c r="A789" t="s">
        <v>811</v>
      </c>
      <c r="B789" t="str">
        <f t="shared" si="72"/>
        <v>Home Depot</v>
      </c>
      <c r="C789" t="str">
        <f t="shared" si="73"/>
        <v>46.5437726873648</v>
      </c>
      <c r="D789" t="str">
        <f t="shared" si="74"/>
        <v>-84.31709</v>
      </c>
      <c r="E789" t="str">
        <f t="shared" si="75"/>
        <v>705-254-1150</v>
      </c>
      <c r="F789" t="str">
        <f t="shared" si="76"/>
        <v>P6B 4Z9</v>
      </c>
      <c r="G789" t="str">
        <f t="shared" si="77"/>
        <v>[ "Home Depot", 46.5437726873648, -84.31709, '705-254-1150', 'P6B 4Z9'],</v>
      </c>
    </row>
    <row r="790" spans="1:7" x14ac:dyDescent="0.2">
      <c r="A790" t="s">
        <v>812</v>
      </c>
      <c r="B790" t="str">
        <f t="shared" si="72"/>
        <v>Best Buy Canada</v>
      </c>
      <c r="C790" t="str">
        <f t="shared" si="73"/>
        <v>46.54303</v>
      </c>
      <c r="D790" t="str">
        <f t="shared" si="74"/>
        <v>-84.31917</v>
      </c>
      <c r="E790" t="str">
        <f t="shared" si="75"/>
        <v>705-942-0722</v>
      </c>
      <c r="F790" t="str">
        <f t="shared" si="76"/>
        <v>P6B 4Z9</v>
      </c>
      <c r="G790" t="str">
        <f t="shared" si="77"/>
        <v>[ "Best Buy Canada", 46.54303, -84.31917, '705-942-0722', 'P6B 4Z9'],</v>
      </c>
    </row>
    <row r="791" spans="1:7" x14ac:dyDescent="0.2">
      <c r="A791" t="s">
        <v>813</v>
      </c>
      <c r="B791" t="str">
        <f t="shared" si="72"/>
        <v>Nor Bear Ltd</v>
      </c>
      <c r="C791" t="str">
        <f t="shared" si="73"/>
        <v>46.5381441</v>
      </c>
      <c r="D791" t="str">
        <f t="shared" si="74"/>
        <v>-84.3321697</v>
      </c>
      <c r="E791" t="str">
        <f t="shared" si="75"/>
        <v>705-254-3241</v>
      </c>
      <c r="F791" t="str">
        <f t="shared" si="76"/>
        <v>P6B 4J9</v>
      </c>
      <c r="G791" t="str">
        <f t="shared" si="77"/>
        <v>[ "Nor Bear Ltd", 46.5381441, -84.3321697, '705-254-3241', 'P6B 4J9'],</v>
      </c>
    </row>
    <row r="792" spans="1:7" x14ac:dyDescent="0.2">
      <c r="A792" t="s">
        <v>814</v>
      </c>
      <c r="B792" t="str">
        <f t="shared" si="72"/>
        <v>Spectrum Telecom Group Ltd</v>
      </c>
      <c r="C792" t="str">
        <f t="shared" si="73"/>
        <v>46.5373870562711</v>
      </c>
      <c r="D792" t="str">
        <f t="shared" si="74"/>
        <v>-84.3332230964698</v>
      </c>
      <c r="E792" t="str">
        <f t="shared" si="75"/>
        <v>705-759-0075</v>
      </c>
      <c r="F792" t="str">
        <f t="shared" si="76"/>
        <v>P6B 4J7</v>
      </c>
      <c r="G792" t="str">
        <f t="shared" si="77"/>
        <v>[ "Spectrum Telecom Group Ltd", 46.5373870562711, -84.3332230964698, '705-759-0075', 'P6B 4J7'],</v>
      </c>
    </row>
    <row r="793" spans="1:7" x14ac:dyDescent="0.2">
      <c r="A793" t="s">
        <v>815</v>
      </c>
      <c r="B793" t="str">
        <f t="shared" si="72"/>
        <v>Staples</v>
      </c>
      <c r="C793" t="str">
        <f t="shared" si="73"/>
        <v>46.5361208793104</v>
      </c>
      <c r="D793" t="str">
        <f t="shared" si="74"/>
        <v>-84.3188181318782</v>
      </c>
      <c r="E793" t="str">
        <f t="shared" si="75"/>
        <v>705-256-1466</v>
      </c>
      <c r="F793" t="str">
        <f t="shared" si="76"/>
        <v>P6B 4Z8</v>
      </c>
      <c r="G793" t="str">
        <f t="shared" si="77"/>
        <v>[ "Staples", 46.5361208793104, -84.3188181318782, '705-256-1466', 'P6B 4Z8'],</v>
      </c>
    </row>
    <row r="794" spans="1:7" x14ac:dyDescent="0.2">
      <c r="A794" t="s">
        <v>816</v>
      </c>
      <c r="B794" t="str">
        <f t="shared" si="72"/>
        <v>ListenUp! Canada</v>
      </c>
      <c r="C794" t="str">
        <f t="shared" si="73"/>
        <v>46.5299991676132</v>
      </c>
      <c r="D794" t="str">
        <f t="shared" si="74"/>
        <v>-84.3195214583807</v>
      </c>
      <c r="E794" t="str">
        <f t="shared" si="75"/>
        <v>705-942-6077</v>
      </c>
      <c r="F794" t="str">
        <f t="shared" si="76"/>
        <v>P6B 4Z1</v>
      </c>
      <c r="G794" t="str">
        <f t="shared" si="77"/>
        <v>[ "ListenUp! Canada", 46.5299991676132, -84.3195214583807, '705-942-6077', 'P6B 4Z1'],</v>
      </c>
    </row>
    <row r="795" spans="1:7" x14ac:dyDescent="0.2">
      <c r="A795" t="s">
        <v>817</v>
      </c>
      <c r="B795" t="str">
        <f t="shared" si="72"/>
        <v>ListenUp! Canada</v>
      </c>
      <c r="C795" t="str">
        <f t="shared" si="73"/>
        <v>46.52184</v>
      </c>
      <c r="D795" t="str">
        <f t="shared" si="74"/>
        <v>-84.31535</v>
      </c>
      <c r="E795" t="str">
        <f t="shared" si="75"/>
        <v>705-759-7453</v>
      </c>
      <c r="F795" t="str">
        <f t="shared" si="76"/>
        <v>P6B 1Y5</v>
      </c>
      <c r="G795" t="str">
        <f t="shared" si="77"/>
        <v>[ "ListenUp! Canada", 46.52184, -84.31535, '705-759-7453', 'P6B 1Y5'],</v>
      </c>
    </row>
    <row r="796" spans="1:7" x14ac:dyDescent="0.2">
      <c r="A796" t="s">
        <v>818</v>
      </c>
      <c r="B796" t="str">
        <f t="shared" si="72"/>
        <v>Rona</v>
      </c>
      <c r="C796" t="str">
        <f t="shared" si="73"/>
        <v>49.7743958847974</v>
      </c>
      <c r="D796" t="str">
        <f t="shared" si="74"/>
        <v>-86.5374523574809</v>
      </c>
      <c r="E796" t="str">
        <f t="shared" si="75"/>
        <v>807-876-2294</v>
      </c>
      <c r="F796" t="str">
        <f t="shared" si="76"/>
        <v>P0T 2A0</v>
      </c>
      <c r="G796" t="str">
        <f t="shared" si="77"/>
        <v>[ "Rona", 49.7743958847974, -86.5374523574809, '807-876-2294', 'P0T 2A0'],</v>
      </c>
    </row>
    <row r="797" spans="1:7" x14ac:dyDescent="0.2">
      <c r="A797" t="s">
        <v>819</v>
      </c>
      <c r="B797" t="str">
        <f t="shared" si="72"/>
        <v>Corporation du Canton de Dubreuilville</v>
      </c>
      <c r="C797" t="str">
        <f t="shared" si="73"/>
        <v>48.3511856670082</v>
      </c>
      <c r="D797" t="str">
        <f t="shared" si="74"/>
        <v>-84.5473311099727</v>
      </c>
      <c r="E797" t="str">
        <f t="shared" si="75"/>
        <v>705-884-2340</v>
      </c>
      <c r="F797" t="str">
        <f t="shared" si="76"/>
        <v>P0S 1B0</v>
      </c>
      <c r="G797" t="str">
        <f t="shared" si="77"/>
        <v>[ "Corporation du Canton de Dubreuilville", 48.3511856670082, -84.5473311099727, '705-884-2340', 'P0S 1B0'],</v>
      </c>
    </row>
    <row r="798" spans="1:7" x14ac:dyDescent="0.2">
      <c r="A798" t="s">
        <v>820</v>
      </c>
      <c r="B798" t="str">
        <f t="shared" si="72"/>
        <v>Township of Hornepayne</v>
      </c>
      <c r="C798" t="str">
        <f t="shared" si="73"/>
        <v>49.218</v>
      </c>
      <c r="D798" t="str">
        <f t="shared" si="74"/>
        <v>-84.77496</v>
      </c>
      <c r="E798" t="str">
        <f t="shared" si="75"/>
        <v>807-868-2020</v>
      </c>
      <c r="F798" t="str">
        <f t="shared" si="76"/>
        <v>P0M 1Z0</v>
      </c>
      <c r="G798" t="str">
        <f t="shared" si="77"/>
        <v>[ "Township of Hornepayne", 49.218, -84.77496, '807-868-2020', 'P0M 1Z0'],</v>
      </c>
    </row>
    <row r="799" spans="1:7" x14ac:dyDescent="0.2">
      <c r="A799" t="s">
        <v>821</v>
      </c>
      <c r="B799" t="str">
        <f t="shared" si="72"/>
        <v>Township of Schreiber</v>
      </c>
      <c r="C799" t="str">
        <f t="shared" si="73"/>
        <v>48.8035821227083</v>
      </c>
      <c r="D799" t="str">
        <f t="shared" si="74"/>
        <v>-87.2659121731958</v>
      </c>
      <c r="E799" t="str">
        <f t="shared" si="75"/>
        <v>807-824-2711</v>
      </c>
      <c r="F799" t="str">
        <f t="shared" si="76"/>
        <v>P0T 2S0</v>
      </c>
      <c r="G799" t="str">
        <f t="shared" si="77"/>
        <v>[ "Township of Schreiber", 48.8035821227083, -87.2659121731958, '807-824-2711', 'P0T 2S0'],</v>
      </c>
    </row>
    <row r="800" spans="1:7" x14ac:dyDescent="0.2">
      <c r="A800" t="s">
        <v>822</v>
      </c>
      <c r="B800" t="str">
        <f t="shared" si="72"/>
        <v>Rona</v>
      </c>
      <c r="C800" t="str">
        <f t="shared" si="73"/>
        <v>49.7743958847974</v>
      </c>
      <c r="D800" t="str">
        <f t="shared" si="74"/>
        <v>-86.5374523574809</v>
      </c>
      <c r="E800" t="str">
        <f t="shared" si="75"/>
        <v>807-876-2294</v>
      </c>
      <c r="F800" t="str">
        <f t="shared" si="76"/>
        <v>P0T 2A0</v>
      </c>
      <c r="G800" t="str">
        <f t="shared" si="77"/>
        <v>[ "Rona", 49.7743958847974, -86.5374523574809, '807-876-2294', 'P0T 2A0'],</v>
      </c>
    </row>
    <row r="801" spans="1:7" x14ac:dyDescent="0.2">
      <c r="A801" t="s">
        <v>823</v>
      </c>
      <c r="B801" t="str">
        <f t="shared" si="72"/>
        <v>Township of Schreiber</v>
      </c>
      <c r="C801" t="str">
        <f t="shared" si="73"/>
        <v>48.8035821227083</v>
      </c>
      <c r="D801" t="str">
        <f t="shared" si="74"/>
        <v>-87.2659121731958</v>
      </c>
      <c r="E801" t="str">
        <f t="shared" si="75"/>
        <v>807-824-2711</v>
      </c>
      <c r="F801" t="str">
        <f t="shared" si="76"/>
        <v>P0T 2S0</v>
      </c>
      <c r="G801" t="str">
        <f t="shared" si="77"/>
        <v>[ "Township of Schreiber", 48.8035821227083, -87.2659121731958, '807-824-2711', 'P0T 2S0'],</v>
      </c>
    </row>
    <row r="802" spans="1:7" x14ac:dyDescent="0.2">
      <c r="A802" t="s">
        <v>824</v>
      </c>
      <c r="B802" t="str">
        <f t="shared" si="72"/>
        <v>Matawa First Nations Management</v>
      </c>
      <c r="C802" t="str">
        <f t="shared" si="73"/>
        <v>48.4283174193548</v>
      </c>
      <c r="D802" t="str">
        <f t="shared" si="74"/>
        <v>-89.2296922580645</v>
      </c>
      <c r="E802" t="str">
        <f t="shared" si="75"/>
        <v>807-346-6509</v>
      </c>
      <c r="F802" t="str">
        <f t="shared" si="76"/>
        <v>P7B 2X9</v>
      </c>
      <c r="G802" t="str">
        <f t="shared" si="77"/>
        <v>[ "Matawa First Nations Management", 48.4283174193548, -89.2296922580645, '807-346-6509', 'P7B 2X9'],</v>
      </c>
    </row>
    <row r="803" spans="1:7" x14ac:dyDescent="0.2">
      <c r="A803" t="s">
        <v>825</v>
      </c>
      <c r="B803" t="str">
        <f t="shared" si="72"/>
        <v>Home Depot</v>
      </c>
      <c r="C803" t="str">
        <f t="shared" si="73"/>
        <v>48.4064211155068</v>
      </c>
      <c r="D803" t="str">
        <f t="shared" si="74"/>
        <v>-89.2319152214803</v>
      </c>
      <c r="E803" t="str">
        <f t="shared" si="75"/>
        <v>807-624-1100</v>
      </c>
      <c r="F803" t="str">
        <f t="shared" si="76"/>
        <v>P7B 5L6</v>
      </c>
      <c r="G803" t="str">
        <f t="shared" si="77"/>
        <v>[ "Home Depot", 48.4064211155068, -89.2319152214803, '807-624-1100', 'P7B 5L6'],</v>
      </c>
    </row>
    <row r="804" spans="1:7" x14ac:dyDescent="0.2">
      <c r="A804" t="s">
        <v>826</v>
      </c>
      <c r="B804" t="str">
        <f t="shared" si="72"/>
        <v>Staples</v>
      </c>
      <c r="C804" t="str">
        <f t="shared" si="73"/>
        <v>48.4135605</v>
      </c>
      <c r="D804" t="str">
        <f t="shared" si="74"/>
        <v>-89.243708</v>
      </c>
      <c r="E804" t="str">
        <f t="shared" si="75"/>
        <v>807-343-2506</v>
      </c>
      <c r="F804" t="str">
        <f t="shared" si="76"/>
        <v>P7B 3Z7</v>
      </c>
      <c r="G804" t="str">
        <f t="shared" si="77"/>
        <v>[ "Staples", 48.4135605, -89.243708, '807-343-2506', 'P7B 3Z7'],</v>
      </c>
    </row>
    <row r="805" spans="1:7" x14ac:dyDescent="0.2">
      <c r="A805" t="s">
        <v>827</v>
      </c>
      <c r="B805" t="str">
        <f t="shared" si="72"/>
        <v>The Source</v>
      </c>
      <c r="C805" t="str">
        <f t="shared" si="73"/>
        <v>48.4032962624325</v>
      </c>
      <c r="D805" t="str">
        <f t="shared" si="74"/>
        <v>-89.2420590365488</v>
      </c>
      <c r="E805" t="str">
        <f t="shared" si="75"/>
        <v>807-622-8530</v>
      </c>
      <c r="F805" t="str">
        <f t="shared" si="76"/>
        <v>P7B 6B9</v>
      </c>
      <c r="G805" t="str">
        <f t="shared" si="77"/>
        <v>[ "The Source", 48.4032962624325, -89.2420590365488, '807-622-8530', 'P7B 6B9'],</v>
      </c>
    </row>
    <row r="806" spans="1:7" x14ac:dyDescent="0.2">
      <c r="A806" t="s">
        <v>828</v>
      </c>
      <c r="B806" t="str">
        <f t="shared" si="72"/>
        <v>Lakehead Communications</v>
      </c>
      <c r="C806" t="str">
        <f t="shared" si="73"/>
        <v>48.41559</v>
      </c>
      <c r="D806" t="str">
        <f t="shared" si="74"/>
        <v>-89.25468</v>
      </c>
      <c r="E806" t="str">
        <f t="shared" si="75"/>
        <v>807-628-0198</v>
      </c>
      <c r="F806" t="str">
        <f t="shared" si="76"/>
        <v>P7B 6G3</v>
      </c>
      <c r="G806" t="str">
        <f t="shared" si="77"/>
        <v>[ "Lakehead Communications", 48.41559, -89.25468, '807-628-0198', 'P7B 6G3'],</v>
      </c>
    </row>
    <row r="807" spans="1:7" x14ac:dyDescent="0.2">
      <c r="A807" t="s">
        <v>829</v>
      </c>
      <c r="B807" t="str">
        <f t="shared" si="72"/>
        <v>Thunder Bay Communications</v>
      </c>
      <c r="C807" t="str">
        <f t="shared" si="73"/>
        <v>48.41559</v>
      </c>
      <c r="D807" t="str">
        <f t="shared" si="74"/>
        <v>-89.25468</v>
      </c>
      <c r="E807" t="str">
        <f t="shared" si="75"/>
        <v>807-623-1211</v>
      </c>
      <c r="F807" t="str">
        <f t="shared" si="76"/>
        <v>P7B 6G3</v>
      </c>
      <c r="G807" t="str">
        <f t="shared" si="77"/>
        <v>[ "Thunder Bay Communications", 48.41559, -89.25468, '807-623-1211', 'P7B 6G3'],</v>
      </c>
    </row>
    <row r="808" spans="1:7" x14ac:dyDescent="0.2">
      <c r="A808" t="s">
        <v>830</v>
      </c>
      <c r="B808" t="str">
        <f t="shared" si="72"/>
        <v>CRC Communications</v>
      </c>
      <c r="C808" t="str">
        <f t="shared" si="73"/>
        <v>48.40407</v>
      </c>
      <c r="D808" t="str">
        <f t="shared" si="74"/>
        <v>-89.24738</v>
      </c>
      <c r="E808" t="str">
        <f t="shared" si="75"/>
        <v>807-622-3328</v>
      </c>
      <c r="F808" t="str">
        <f t="shared" si="76"/>
        <v>P7B 6S1</v>
      </c>
      <c r="G808" t="str">
        <f t="shared" si="77"/>
        <v>[ "CRC Communications", 48.40407, -89.24738, '807-622-3328', 'P7B 6S1'],</v>
      </c>
    </row>
    <row r="809" spans="1:7" x14ac:dyDescent="0.2">
      <c r="A809" t="s">
        <v>831</v>
      </c>
      <c r="B809" t="str">
        <f t="shared" si="72"/>
        <v>MAG</v>
      </c>
      <c r="C809" t="str">
        <f t="shared" si="73"/>
        <v>48.3836955102041</v>
      </c>
      <c r="D809" t="str">
        <f t="shared" si="74"/>
        <v>-89.2466328571429</v>
      </c>
      <c r="E809" t="str">
        <f t="shared" si="75"/>
        <v>807-626-7025</v>
      </c>
      <c r="F809" t="str">
        <f t="shared" si="76"/>
        <v>P7C 0A3</v>
      </c>
      <c r="G809" t="str">
        <f t="shared" si="77"/>
        <v>[ "MAG", 48.3836955102041, -89.2466328571429, '807-626-7025', 'P7C 0A3'],</v>
      </c>
    </row>
    <row r="810" spans="1:7" x14ac:dyDescent="0.2">
      <c r="A810" t="s">
        <v>832</v>
      </c>
      <c r="B810" t="str">
        <f t="shared" si="72"/>
        <v>Canadian Tire</v>
      </c>
      <c r="C810" t="str">
        <f t="shared" si="73"/>
        <v>48.38084</v>
      </c>
      <c r="D810" t="str">
        <f t="shared" si="74"/>
        <v>-89.3126881564245</v>
      </c>
      <c r="E810" t="str">
        <f t="shared" si="75"/>
        <v>807-475-4235</v>
      </c>
      <c r="F810" t="str">
        <f t="shared" si="76"/>
        <v>P7K 1A7</v>
      </c>
      <c r="G810" t="str">
        <f t="shared" si="77"/>
        <v>[ "Canadian Tire", 48.38084, -89.3126881564245, '807-475-4235', 'P7K 1A7'],</v>
      </c>
    </row>
    <row r="811" spans="1:7" x14ac:dyDescent="0.2">
      <c r="A811" t="s">
        <v>833</v>
      </c>
      <c r="B811" t="str">
        <f t="shared" si="72"/>
        <v>Canadian Tire</v>
      </c>
      <c r="C811" t="str">
        <f t="shared" si="73"/>
        <v>48.38084</v>
      </c>
      <c r="D811" t="str">
        <f t="shared" si="74"/>
        <v>-89.3126881564245</v>
      </c>
      <c r="E811" t="str">
        <f t="shared" si="75"/>
        <v>807-475-4235</v>
      </c>
      <c r="F811" t="str">
        <f t="shared" si="76"/>
        <v>P7K 1A7</v>
      </c>
      <c r="G811" t="str">
        <f t="shared" si="77"/>
        <v>[ "Canadian Tire", 48.38084, -89.3126881564245, '807-475-4235', 'P7K 1A7'],</v>
      </c>
    </row>
    <row r="812" spans="1:7" x14ac:dyDescent="0.2">
      <c r="A812" t="s">
        <v>834</v>
      </c>
      <c r="B812" t="str">
        <f t="shared" si="72"/>
        <v>Bucks Hardware</v>
      </c>
      <c r="C812" t="str">
        <f t="shared" si="73"/>
        <v>47.7506</v>
      </c>
      <c r="D812" t="str">
        <f t="shared" si="74"/>
        <v>-90.33459</v>
      </c>
      <c r="E812" t="str">
        <f t="shared" si="75"/>
        <v>218-387-2280</v>
      </c>
      <c r="F812" t="str">
        <f t="shared" si="76"/>
        <v>55604</v>
      </c>
      <c r="G812" t="str">
        <f t="shared" si="77"/>
        <v>[ "Bucks Hardware", 47.7506, -90.33459, '218-387-2280', '55604'],</v>
      </c>
    </row>
    <row r="813" spans="1:7" x14ac:dyDescent="0.2">
      <c r="A813" t="s">
        <v>835</v>
      </c>
      <c r="B813" t="str">
        <f t="shared" si="72"/>
        <v>MAG</v>
      </c>
      <c r="C813" t="str">
        <f t="shared" si="73"/>
        <v>48.3836955102041</v>
      </c>
      <c r="D813" t="str">
        <f t="shared" si="74"/>
        <v>-89.2466328571429</v>
      </c>
      <c r="E813" t="str">
        <f t="shared" si="75"/>
        <v>807-626-7025</v>
      </c>
      <c r="F813" t="str">
        <f t="shared" si="76"/>
        <v>P7C 0A3</v>
      </c>
      <c r="G813" t="str">
        <f t="shared" si="77"/>
        <v>[ "MAG", 48.3836955102041, -89.2466328571429, '807-626-7025', 'P7C 0A3'],</v>
      </c>
    </row>
    <row r="814" spans="1:7" x14ac:dyDescent="0.2">
      <c r="A814" t="s">
        <v>836</v>
      </c>
      <c r="B814" t="str">
        <f t="shared" si="72"/>
        <v>Lakehead Communications</v>
      </c>
      <c r="C814" t="str">
        <f t="shared" si="73"/>
        <v>48.41559</v>
      </c>
      <c r="D814" t="str">
        <f t="shared" si="74"/>
        <v>-89.25468</v>
      </c>
      <c r="E814" t="str">
        <f t="shared" si="75"/>
        <v>807-628-0198</v>
      </c>
      <c r="F814" t="str">
        <f t="shared" si="76"/>
        <v>P7B 6G3</v>
      </c>
      <c r="G814" t="str">
        <f t="shared" si="77"/>
        <v>[ "Lakehead Communications", 48.41559, -89.25468, '807-628-0198', 'P7B 6G3'],</v>
      </c>
    </row>
    <row r="815" spans="1:7" x14ac:dyDescent="0.2">
      <c r="A815" t="s">
        <v>837</v>
      </c>
      <c r="B815" t="str">
        <f t="shared" si="72"/>
        <v>Thunder Bay Communications</v>
      </c>
      <c r="C815" t="str">
        <f t="shared" si="73"/>
        <v>48.41559</v>
      </c>
      <c r="D815" t="str">
        <f t="shared" si="74"/>
        <v>-89.25468</v>
      </c>
      <c r="E815" t="str">
        <f t="shared" si="75"/>
        <v>807-623-1211</v>
      </c>
      <c r="F815" t="str">
        <f t="shared" si="76"/>
        <v>P7B 6G3</v>
      </c>
      <c r="G815" t="str">
        <f t="shared" si="77"/>
        <v>[ "Thunder Bay Communications", 48.41559, -89.25468, '807-623-1211', 'P7B 6G3'],</v>
      </c>
    </row>
    <row r="816" spans="1:7" x14ac:dyDescent="0.2">
      <c r="A816" t="s">
        <v>838</v>
      </c>
      <c r="B816" t="str">
        <f t="shared" si="72"/>
        <v>CRC Communications</v>
      </c>
      <c r="C816" t="str">
        <f t="shared" si="73"/>
        <v>48.40407</v>
      </c>
      <c r="D816" t="str">
        <f t="shared" si="74"/>
        <v>-89.24738</v>
      </c>
      <c r="E816" t="str">
        <f t="shared" si="75"/>
        <v>807-622-3328</v>
      </c>
      <c r="F816" t="str">
        <f t="shared" si="76"/>
        <v>P7B 6S1</v>
      </c>
      <c r="G816" t="str">
        <f t="shared" si="77"/>
        <v>[ "CRC Communications", 48.40407, -89.24738, '807-622-3328', 'P7B 6S1'],</v>
      </c>
    </row>
    <row r="817" spans="1:7" x14ac:dyDescent="0.2">
      <c r="A817" t="s">
        <v>839</v>
      </c>
      <c r="B817" t="str">
        <f t="shared" si="72"/>
        <v>The Source</v>
      </c>
      <c r="C817" t="str">
        <f t="shared" si="73"/>
        <v>48.4032962624325</v>
      </c>
      <c r="D817" t="str">
        <f t="shared" si="74"/>
        <v>-89.2420590365488</v>
      </c>
      <c r="E817" t="str">
        <f t="shared" si="75"/>
        <v>807-622-8530</v>
      </c>
      <c r="F817" t="str">
        <f t="shared" si="76"/>
        <v>P7B 6B9</v>
      </c>
      <c r="G817" t="str">
        <f t="shared" si="77"/>
        <v>[ "The Source", 48.4032962624325, -89.2420590365488, '807-622-8530', 'P7B 6B9'],</v>
      </c>
    </row>
    <row r="818" spans="1:7" x14ac:dyDescent="0.2">
      <c r="A818" t="s">
        <v>840</v>
      </c>
      <c r="B818" t="str">
        <f t="shared" si="72"/>
        <v>Staples</v>
      </c>
      <c r="C818" t="str">
        <f t="shared" si="73"/>
        <v>48.4135605</v>
      </c>
      <c r="D818" t="str">
        <f t="shared" si="74"/>
        <v>-89.243708</v>
      </c>
      <c r="E818" t="str">
        <f t="shared" si="75"/>
        <v>807-343-2506</v>
      </c>
      <c r="F818" t="str">
        <f t="shared" si="76"/>
        <v>P7B 3Z7</v>
      </c>
      <c r="G818" t="str">
        <f t="shared" si="77"/>
        <v>[ "Staples", 48.4135605, -89.243708, '807-343-2506', 'P7B 3Z7'],</v>
      </c>
    </row>
    <row r="819" spans="1:7" x14ac:dyDescent="0.2">
      <c r="A819" t="s">
        <v>841</v>
      </c>
      <c r="B819" t="str">
        <f t="shared" si="72"/>
        <v>Home Depot</v>
      </c>
      <c r="C819" t="str">
        <f t="shared" si="73"/>
        <v>48.4064211155068</v>
      </c>
      <c r="D819" t="str">
        <f t="shared" si="74"/>
        <v>-89.2319152214803</v>
      </c>
      <c r="E819" t="str">
        <f t="shared" si="75"/>
        <v>807-624-1100</v>
      </c>
      <c r="F819" t="str">
        <f t="shared" si="76"/>
        <v>P7B 5L6</v>
      </c>
      <c r="G819" t="str">
        <f t="shared" si="77"/>
        <v>[ "Home Depot", 48.4064211155068, -89.2319152214803, '807-624-1100', 'P7B 5L6'],</v>
      </c>
    </row>
    <row r="820" spans="1:7" x14ac:dyDescent="0.2">
      <c r="A820" t="s">
        <v>842</v>
      </c>
      <c r="B820" t="str">
        <f t="shared" si="72"/>
        <v>Matawa First Nations Management</v>
      </c>
      <c r="C820" t="str">
        <f t="shared" si="73"/>
        <v>48.4283174193548</v>
      </c>
      <c r="D820" t="str">
        <f t="shared" si="74"/>
        <v>-89.2296922580645</v>
      </c>
      <c r="E820" t="str">
        <f t="shared" si="75"/>
        <v>807-346-6509</v>
      </c>
      <c r="F820" t="str">
        <f t="shared" si="76"/>
        <v>P7B 2X9</v>
      </c>
      <c r="G820" t="str">
        <f t="shared" si="77"/>
        <v>[ "Matawa First Nations Management", 48.4283174193548, -89.2296922580645, '807-346-6509', 'P7B 2X9'],</v>
      </c>
    </row>
    <row r="821" spans="1:7" x14ac:dyDescent="0.2">
      <c r="A821" t="s">
        <v>843</v>
      </c>
      <c r="B821" t="str">
        <f t="shared" si="72"/>
        <v>Bucks Hardware</v>
      </c>
      <c r="C821" t="str">
        <f t="shared" si="73"/>
        <v>47.7506</v>
      </c>
      <c r="D821" t="str">
        <f t="shared" si="74"/>
        <v>-90.33459</v>
      </c>
      <c r="E821" t="str">
        <f t="shared" si="75"/>
        <v>218-387-2280</v>
      </c>
      <c r="F821" t="str">
        <f t="shared" si="76"/>
        <v>55604</v>
      </c>
      <c r="G821" t="str">
        <f t="shared" si="77"/>
        <v>[ "Bucks Hardware", 47.7506, -90.33459, '218-387-2280', '55604'],</v>
      </c>
    </row>
    <row r="822" spans="1:7" x14ac:dyDescent="0.2">
      <c r="A822" t="s">
        <v>844</v>
      </c>
      <c r="B822" t="str">
        <f t="shared" si="72"/>
        <v>Canadian Tire</v>
      </c>
      <c r="C822" t="str">
        <f t="shared" si="73"/>
        <v>48.38084</v>
      </c>
      <c r="D822" t="str">
        <f t="shared" si="74"/>
        <v>-89.3126881564245</v>
      </c>
      <c r="E822" t="str">
        <f t="shared" si="75"/>
        <v>807-475-4235</v>
      </c>
      <c r="F822" t="str">
        <f t="shared" si="76"/>
        <v>P7K 1A7</v>
      </c>
      <c r="G822" t="str">
        <f t="shared" si="77"/>
        <v>[ "Canadian Tire", 48.38084, -89.3126881564245, '807-475-4235', 'P7K 1A7'],</v>
      </c>
    </row>
    <row r="823" spans="1:7" x14ac:dyDescent="0.2">
      <c r="A823" t="s">
        <v>845</v>
      </c>
      <c r="B823" t="str">
        <f t="shared" si="72"/>
        <v>Lakehead Communications</v>
      </c>
      <c r="C823" t="str">
        <f t="shared" si="73"/>
        <v>48.41559</v>
      </c>
      <c r="D823" t="str">
        <f t="shared" si="74"/>
        <v>-89.25468</v>
      </c>
      <c r="E823" t="str">
        <f t="shared" si="75"/>
        <v>807-628-0198</v>
      </c>
      <c r="F823" t="str">
        <f t="shared" si="76"/>
        <v>P7B 6G3</v>
      </c>
      <c r="G823" t="str">
        <f t="shared" si="77"/>
        <v>[ "Lakehead Communications", 48.41559, -89.25468, '807-628-0198', 'P7B 6G3'],</v>
      </c>
    </row>
    <row r="824" spans="1:7" x14ac:dyDescent="0.2">
      <c r="A824" t="s">
        <v>846</v>
      </c>
      <c r="B824" t="str">
        <f t="shared" si="72"/>
        <v>Thunder Bay Communications</v>
      </c>
      <c r="C824" t="str">
        <f t="shared" si="73"/>
        <v>48.41559</v>
      </c>
      <c r="D824" t="str">
        <f t="shared" si="74"/>
        <v>-89.25468</v>
      </c>
      <c r="E824" t="str">
        <f t="shared" si="75"/>
        <v>807-623-1211</v>
      </c>
      <c r="F824" t="str">
        <f t="shared" si="76"/>
        <v>P7B 6G3</v>
      </c>
      <c r="G824" t="str">
        <f t="shared" si="77"/>
        <v>[ "Thunder Bay Communications", 48.41559, -89.25468, '807-623-1211', 'P7B 6G3'],</v>
      </c>
    </row>
    <row r="825" spans="1:7" x14ac:dyDescent="0.2">
      <c r="A825" t="s">
        <v>847</v>
      </c>
      <c r="B825" t="str">
        <f t="shared" si="72"/>
        <v>Staples</v>
      </c>
      <c r="C825" t="str">
        <f t="shared" si="73"/>
        <v>48.4135605</v>
      </c>
      <c r="D825" t="str">
        <f t="shared" si="74"/>
        <v>-89.243708</v>
      </c>
      <c r="E825" t="str">
        <f t="shared" si="75"/>
        <v>807-343-2506</v>
      </c>
      <c r="F825" t="str">
        <f t="shared" si="76"/>
        <v>P7B 3Z7</v>
      </c>
      <c r="G825" t="str">
        <f t="shared" si="77"/>
        <v>[ "Staples", 48.4135605, -89.243708, '807-343-2506', 'P7B 3Z7'],</v>
      </c>
    </row>
    <row r="826" spans="1:7" x14ac:dyDescent="0.2">
      <c r="A826" t="s">
        <v>848</v>
      </c>
      <c r="B826" t="str">
        <f t="shared" si="72"/>
        <v>CRC Communications</v>
      </c>
      <c r="C826" t="str">
        <f t="shared" si="73"/>
        <v>48.40407</v>
      </c>
      <c r="D826" t="str">
        <f t="shared" si="74"/>
        <v>-89.24738</v>
      </c>
      <c r="E826" t="str">
        <f t="shared" si="75"/>
        <v>807-622-3328</v>
      </c>
      <c r="F826" t="str">
        <f t="shared" si="76"/>
        <v>P7B 6S1</v>
      </c>
      <c r="G826" t="str">
        <f t="shared" si="77"/>
        <v>[ "CRC Communications", 48.40407, -89.24738, '807-622-3328', 'P7B 6S1'],</v>
      </c>
    </row>
    <row r="827" spans="1:7" x14ac:dyDescent="0.2">
      <c r="A827" t="s">
        <v>849</v>
      </c>
      <c r="B827" t="str">
        <f t="shared" si="72"/>
        <v>The Source</v>
      </c>
      <c r="C827" t="str">
        <f t="shared" si="73"/>
        <v>48.4032962624325</v>
      </c>
      <c r="D827" t="str">
        <f t="shared" si="74"/>
        <v>-89.2420590365488</v>
      </c>
      <c r="E827" t="str">
        <f t="shared" si="75"/>
        <v>807-622-8530</v>
      </c>
      <c r="F827" t="str">
        <f t="shared" si="76"/>
        <v>P7B 6B9</v>
      </c>
      <c r="G827" t="str">
        <f t="shared" si="77"/>
        <v>[ "The Source", 48.4032962624325, -89.2420590365488, '807-622-8530', 'P7B 6B9'],</v>
      </c>
    </row>
    <row r="828" spans="1:7" x14ac:dyDescent="0.2">
      <c r="A828" t="s">
        <v>850</v>
      </c>
      <c r="B828" t="str">
        <f t="shared" si="72"/>
        <v>Matawa First Nations Management</v>
      </c>
      <c r="C828" t="str">
        <f t="shared" si="73"/>
        <v>48.4283174193548</v>
      </c>
      <c r="D828" t="str">
        <f t="shared" si="74"/>
        <v>-89.2296922580645</v>
      </c>
      <c r="E828" t="str">
        <f t="shared" si="75"/>
        <v>807-346-6509</v>
      </c>
      <c r="F828" t="str">
        <f t="shared" si="76"/>
        <v>P7B 2X9</v>
      </c>
      <c r="G828" t="str">
        <f t="shared" si="77"/>
        <v>[ "Matawa First Nations Management", 48.4283174193548, -89.2296922580645, '807-346-6509', 'P7B 2X9'],</v>
      </c>
    </row>
    <row r="829" spans="1:7" x14ac:dyDescent="0.2">
      <c r="A829" t="s">
        <v>851</v>
      </c>
      <c r="B829" t="str">
        <f t="shared" si="72"/>
        <v>MAG</v>
      </c>
      <c r="C829" t="str">
        <f t="shared" si="73"/>
        <v>48.3836955102041</v>
      </c>
      <c r="D829" t="str">
        <f t="shared" si="74"/>
        <v>-89.2466328571429</v>
      </c>
      <c r="E829" t="str">
        <f t="shared" si="75"/>
        <v>807-626-7025</v>
      </c>
      <c r="F829" t="str">
        <f t="shared" si="76"/>
        <v>P7C 0A3</v>
      </c>
      <c r="G829" t="str">
        <f t="shared" si="77"/>
        <v>[ "MAG", 48.3836955102041, -89.2466328571429, '807-626-7025', 'P7C 0A3'],</v>
      </c>
    </row>
    <row r="830" spans="1:7" x14ac:dyDescent="0.2">
      <c r="A830" t="s">
        <v>852</v>
      </c>
      <c r="B830" t="str">
        <f t="shared" si="72"/>
        <v>Home Depot</v>
      </c>
      <c r="C830" t="str">
        <f t="shared" si="73"/>
        <v>48.4064211155068</v>
      </c>
      <c r="D830" t="str">
        <f t="shared" si="74"/>
        <v>-89.2319152214803</v>
      </c>
      <c r="E830" t="str">
        <f t="shared" si="75"/>
        <v>807-624-1100</v>
      </c>
      <c r="F830" t="str">
        <f t="shared" si="76"/>
        <v>P7B 5L6</v>
      </c>
      <c r="G830" t="str">
        <f t="shared" si="77"/>
        <v>[ "Home Depot", 48.4064211155068, -89.2319152214803, '807-624-1100', 'P7B 5L6'],</v>
      </c>
    </row>
    <row r="831" spans="1:7" x14ac:dyDescent="0.2">
      <c r="A831" t="s">
        <v>853</v>
      </c>
      <c r="B831" t="str">
        <f t="shared" si="72"/>
        <v>Canadian Tire</v>
      </c>
      <c r="C831" t="str">
        <f t="shared" si="73"/>
        <v>48.60725</v>
      </c>
      <c r="D831" t="str">
        <f t="shared" si="74"/>
        <v>-93.42748</v>
      </c>
      <c r="E831" t="str">
        <f t="shared" si="75"/>
        <v>807-274-7711</v>
      </c>
      <c r="F831" t="str">
        <f t="shared" si="76"/>
        <v>P9A 2X6</v>
      </c>
      <c r="G831" t="str">
        <f t="shared" si="77"/>
        <v>[ "Canadian Tire", 48.60725, -93.42748, '807-274-7711', 'P9A 2X6'],</v>
      </c>
    </row>
    <row r="832" spans="1:7" x14ac:dyDescent="0.2">
      <c r="A832" t="s">
        <v>854</v>
      </c>
      <c r="B832" t="str">
        <f t="shared" si="72"/>
        <v>Sound North</v>
      </c>
      <c r="C832" t="str">
        <f t="shared" si="73"/>
        <v>48.5798686080344</v>
      </c>
      <c r="D832" t="str">
        <f t="shared" si="74"/>
        <v>-93.4027900347991</v>
      </c>
      <c r="E832" t="str">
        <f t="shared" si="75"/>
        <v>218-283-9290</v>
      </c>
      <c r="F832" t="str">
        <f t="shared" si="76"/>
        <v>56649</v>
      </c>
      <c r="G832" t="str">
        <f t="shared" si="77"/>
        <v>[ "Sound North", 48.5798686080344, -93.4027900347991, '218-283-9290', '56649'],</v>
      </c>
    </row>
    <row r="833" spans="1:7" x14ac:dyDescent="0.2">
      <c r="A833" t="s">
        <v>855</v>
      </c>
      <c r="B833" t="str">
        <f t="shared" ref="B833:B896" si="78">MID(A833,SEARCH("name"&amp;CHAR(34)&amp;":"&amp;CHAR(34),A833)+7,SEARCH(CHAR(34)&amp;", "&amp;CHAR(34)&amp;"locationlinkurl",A833)-SEARCH("name"&amp;CHAR(34)&amp;":"&amp;CHAR(34),A833)-7)</f>
        <v>Canadian Tire</v>
      </c>
      <c r="C833" t="str">
        <f t="shared" ref="C833:C896" si="79">MID(A833,SEARCH(CHAR(34)&amp;"latitude"&amp;CHAR(34)&amp;":"&amp;CHAR(34),A833)+12,SEARCH(CHAR(34)&amp;", "&amp;CHAR(34)&amp;"url"&amp;CHAR(34),A833)-SEARCH(CHAR(34)&amp;"latitude"&amp;CHAR(34)&amp;":"&amp;CHAR(34),A833)-12)</f>
        <v>49.7599093383811</v>
      </c>
      <c r="D833" t="str">
        <f t="shared" ref="D833:D896" si="80">MID(A833,SEARCH(CHAR(34)&amp;"longitude"&amp;CHAR(34)&amp;":"&amp;CHAR(34),A833)+13,SEARCH(CHAR(34)&amp;", "&amp;CHAR(34)&amp;"uid"&amp;CHAR(34),A833)-SEARCH(CHAR(34)&amp;"longitude"&amp;CHAR(34)&amp;":"&amp;CHAR(34),A833)-13)</f>
        <v>-94.4716898710625</v>
      </c>
      <c r="E833" t="str">
        <f t="shared" ref="E833:E896" si="81">MID(A833,SEARCH(CHAR(34)&amp;"phone"&amp;CHAR(34)&amp;":"&amp;CHAR(34),A833)+9,SEARCH(CHAR(34)&amp;", "&amp;CHAR(34)&amp;"address2"&amp;CHAR(34),A833)-SEARCH(CHAR(34)&amp;"phone"&amp;CHAR(34)&amp;":"&amp;CHAR(34),A833)-9)</f>
        <v>807-468-3014</v>
      </c>
      <c r="F833" t="str">
        <f t="shared" ref="F833:F896" si="82">MID(A833,SEARCH(CHAR(34)&amp;"postalcode"&amp;CHAR(34)&amp;":"&amp;CHAR(34),A833)+14,SEARCH(CHAR(34)&amp;", "&amp;CHAR(34)&amp;"province"&amp;CHAR(34),A833)-SEARCH(CHAR(34)&amp;"postalcode"&amp;CHAR(34)&amp;":"&amp;CHAR(34),A833)-14)</f>
        <v>P9N 1L9</v>
      </c>
      <c r="G833" t="str">
        <f t="shared" ref="G833:G896" si="83">"[ "&amp;CHAR(34)&amp;B833&amp;CHAR(34)&amp;", "&amp;C833&amp;", "&amp;D833&amp;", '"&amp;E833&amp;"', '"&amp;F833&amp;"'],"</f>
        <v>[ "Canadian Tire", 49.7599093383811, -94.4716898710625, '807-468-3014', 'P9N 1L9'],</v>
      </c>
    </row>
    <row r="834" spans="1:7" x14ac:dyDescent="0.2">
      <c r="A834" t="s">
        <v>856</v>
      </c>
      <c r="B834" t="str">
        <f t="shared" si="78"/>
        <v>Prairie Mobile Communications</v>
      </c>
      <c r="C834" t="str">
        <f t="shared" si="79"/>
        <v>49.7552345</v>
      </c>
      <c r="D834" t="str">
        <f t="shared" si="80"/>
        <v>-94.5633985</v>
      </c>
      <c r="E834" t="str">
        <f t="shared" si="81"/>
        <v>807-547-2929</v>
      </c>
      <c r="F834" t="str">
        <f t="shared" si="82"/>
        <v>P0X 1C0</v>
      </c>
      <c r="G834" t="str">
        <f t="shared" si="83"/>
        <v>[ "Prairie Mobile Communications", 49.7552345, -94.5633985, '807-547-2929', 'P0X 1C0'],</v>
      </c>
    </row>
    <row r="835" spans="1:7" x14ac:dyDescent="0.2">
      <c r="A835" t="s">
        <v>857</v>
      </c>
      <c r="B835" t="str">
        <f t="shared" si="78"/>
        <v>Township of Pickle Lake</v>
      </c>
      <c r="C835" t="str">
        <f t="shared" si="79"/>
        <v>51.46791</v>
      </c>
      <c r="D835" t="str">
        <f t="shared" si="80"/>
        <v>-90.19242</v>
      </c>
      <c r="E835" t="str">
        <f t="shared" si="81"/>
        <v>807-928-2034</v>
      </c>
      <c r="F835" t="str">
        <f t="shared" si="82"/>
        <v>P0V 3A0</v>
      </c>
      <c r="G835" t="str">
        <f t="shared" si="83"/>
        <v>[ "Township of Pickle Lake", 51.46791, -90.19242, '807-928-2034', 'P0V 3A0'],</v>
      </c>
    </row>
    <row r="836" spans="1:7" x14ac:dyDescent="0.2">
      <c r="A836" t="s">
        <v>858</v>
      </c>
      <c r="B836" t="str">
        <f t="shared" si="78"/>
        <v>Timbermax Home &amp; Garden</v>
      </c>
      <c r="C836" t="str">
        <f t="shared" si="79"/>
        <v>49.7862262006702</v>
      </c>
      <c r="D836" t="str">
        <f t="shared" si="80"/>
        <v>-92.8356896388725</v>
      </c>
      <c r="E836" t="str">
        <f t="shared" si="81"/>
        <v>807-223-6699</v>
      </c>
      <c r="F836" t="str">
        <f t="shared" si="82"/>
        <v>P8N 2P4</v>
      </c>
      <c r="G836" t="str">
        <f t="shared" si="83"/>
        <v>[ "Timbermax Home &amp; Garden", 49.7862262006702, -92.8356896388725, '807-223-6699', 'P8N 2P4'],</v>
      </c>
    </row>
    <row r="837" spans="1:7" x14ac:dyDescent="0.2">
      <c r="A837" t="s">
        <v>859</v>
      </c>
      <c r="B837" t="str">
        <f t="shared" si="78"/>
        <v>Township of Pickle Lake</v>
      </c>
      <c r="C837" t="str">
        <f t="shared" si="79"/>
        <v>51.46791</v>
      </c>
      <c r="D837" t="str">
        <f t="shared" si="80"/>
        <v>-90.19242</v>
      </c>
      <c r="E837" t="str">
        <f t="shared" si="81"/>
        <v>807-928-2034</v>
      </c>
      <c r="F837" t="str">
        <f t="shared" si="82"/>
        <v>P0V 3A0</v>
      </c>
      <c r="G837" t="str">
        <f t="shared" si="83"/>
        <v>[ "Township of Pickle Lake", 51.46791, -90.19242, '807-928-2034', 'P0V 3A0'],</v>
      </c>
    </row>
    <row r="838" spans="1:7" x14ac:dyDescent="0.2">
      <c r="A838" t="s">
        <v>860</v>
      </c>
      <c r="B838" t="str">
        <f t="shared" si="78"/>
        <v>Township of Pickle Lake</v>
      </c>
      <c r="C838" t="str">
        <f t="shared" si="79"/>
        <v>51.46791</v>
      </c>
      <c r="D838" t="str">
        <f t="shared" si="80"/>
        <v>-90.19242</v>
      </c>
      <c r="E838" t="str">
        <f t="shared" si="81"/>
        <v>807-928-2034</v>
      </c>
      <c r="F838" t="str">
        <f t="shared" si="82"/>
        <v>P0V 3A0</v>
      </c>
      <c r="G838" t="str">
        <f t="shared" si="83"/>
        <v>[ "Township of Pickle Lake", 51.46791, -90.19242, '807-928-2034', 'P0V 3A0'],</v>
      </c>
    </row>
    <row r="839" spans="1:7" x14ac:dyDescent="0.2">
      <c r="A839" t="s">
        <v>861</v>
      </c>
      <c r="B839" t="str">
        <f t="shared" si="78"/>
        <v>Pauls Music World</v>
      </c>
      <c r="C839" t="str">
        <f t="shared" si="79"/>
        <v>49.7964</v>
      </c>
      <c r="D839" t="str">
        <f t="shared" si="80"/>
        <v>-83.66066</v>
      </c>
      <c r="E839" t="str">
        <f t="shared" si="81"/>
        <v>705-362-5779</v>
      </c>
      <c r="F839" t="str">
        <f t="shared" si="82"/>
        <v>P0L 1N0</v>
      </c>
      <c r="G839" t="str">
        <f t="shared" si="83"/>
        <v>[ "Pauls Music World", 49.7964, -83.66066, '705-362-5779', 'P0L 1N0'],</v>
      </c>
    </row>
    <row r="840" spans="1:7" x14ac:dyDescent="0.2">
      <c r="A840" t="s">
        <v>862</v>
      </c>
      <c r="B840" t="str">
        <f t="shared" si="78"/>
        <v>Hearst Lumber Co.Ltd.</v>
      </c>
      <c r="C840" t="str">
        <f t="shared" si="79"/>
        <v>49.6884745463573</v>
      </c>
      <c r="D840" t="str">
        <f t="shared" si="80"/>
        <v>-83.6604700049651</v>
      </c>
      <c r="E840" t="str">
        <f t="shared" si="81"/>
        <v>705-362-4325</v>
      </c>
      <c r="F840" t="str">
        <f t="shared" si="82"/>
        <v>P0L 1N0</v>
      </c>
      <c r="G840" t="str">
        <f t="shared" si="83"/>
        <v>[ "Hearst Lumber Co.Ltd.", 49.6884745463573, -83.6604700049651, '705-362-4325', 'P0L 1N0'],</v>
      </c>
    </row>
    <row r="841" spans="1:7" x14ac:dyDescent="0.2">
      <c r="A841" t="s">
        <v>863</v>
      </c>
      <c r="B841" t="str">
        <f t="shared" si="78"/>
        <v>Hearst Public Library</v>
      </c>
      <c r="C841" t="str">
        <f t="shared" si="79"/>
        <v>49.68876</v>
      </c>
      <c r="D841" t="str">
        <f t="shared" si="80"/>
        <v>-83.66251</v>
      </c>
      <c r="E841" t="str">
        <f t="shared" si="81"/>
        <v>705-372-2843</v>
      </c>
      <c r="F841" t="str">
        <f t="shared" si="82"/>
        <v>P0L 1N0</v>
      </c>
      <c r="G841" t="str">
        <f t="shared" si="83"/>
        <v>[ "Hearst Public Library", 49.68876, -83.66251, '705-372-2843', 'P0L 1N0'],</v>
      </c>
    </row>
    <row r="842" spans="1:7" x14ac:dyDescent="0.2">
      <c r="A842" t="s">
        <v>864</v>
      </c>
      <c r="B842" t="str">
        <f t="shared" si="78"/>
        <v>The Source</v>
      </c>
      <c r="C842" t="str">
        <f t="shared" si="79"/>
        <v>49.4200538028779</v>
      </c>
      <c r="D842" t="str">
        <f t="shared" si="80"/>
        <v>-82.4197553660716</v>
      </c>
      <c r="E842" t="str">
        <f t="shared" si="81"/>
        <v>705-335-8787</v>
      </c>
      <c r="F842" t="str">
        <f t="shared" si="82"/>
        <v>P5N 2E9</v>
      </c>
      <c r="G842" t="str">
        <f t="shared" si="83"/>
        <v>[ "The Source", 49.4200538028779, -82.4197553660716, '705-335-8787', 'P5N 2E9'],</v>
      </c>
    </row>
    <row r="843" spans="1:7" x14ac:dyDescent="0.2">
      <c r="A843" t="s">
        <v>865</v>
      </c>
      <c r="B843" t="str">
        <f t="shared" si="78"/>
        <v>Canadian Tire</v>
      </c>
      <c r="C843" t="str">
        <f t="shared" si="79"/>
        <v>49.0600608</v>
      </c>
      <c r="D843" t="str">
        <f t="shared" si="80"/>
        <v>-81.045488</v>
      </c>
      <c r="E843" t="str">
        <f t="shared" si="81"/>
        <v>705-272-4341</v>
      </c>
      <c r="F843" t="str">
        <f t="shared" si="82"/>
        <v>P0L 1C0</v>
      </c>
      <c r="G843" t="str">
        <f t="shared" si="83"/>
        <v>[ "Canadian Tire", 49.0600608, -81.045488, '705-272-4341', 'P0L 1C0'],</v>
      </c>
    </row>
    <row r="844" spans="1:7" x14ac:dyDescent="0.2">
      <c r="A844" t="s">
        <v>866</v>
      </c>
      <c r="B844" t="str">
        <f t="shared" si="78"/>
        <v>Town of Cochrane</v>
      </c>
      <c r="C844" t="str">
        <f t="shared" si="79"/>
        <v>49.0632506818182</v>
      </c>
      <c r="D844" t="str">
        <f t="shared" si="80"/>
        <v>-81.0281920454545</v>
      </c>
      <c r="E844" t="str">
        <f t="shared" si="81"/>
        <v>705-272-4361</v>
      </c>
      <c r="F844" t="str">
        <f t="shared" si="82"/>
        <v>P0L 1C0</v>
      </c>
      <c r="G844" t="str">
        <f t="shared" si="83"/>
        <v>[ "Town of Cochrane", 49.0632506818182, -81.0281920454545, '705-272-4361', 'P0L 1C0'],</v>
      </c>
    </row>
    <row r="845" spans="1:7" x14ac:dyDescent="0.2">
      <c r="A845" t="s">
        <v>867</v>
      </c>
      <c r="B845" t="str">
        <f t="shared" si="78"/>
        <v>Cree Nation of Chisasibi</v>
      </c>
      <c r="C845" t="str">
        <f t="shared" si="79"/>
        <v>52.24531</v>
      </c>
      <c r="D845" t="str">
        <f t="shared" si="80"/>
        <v>-78.48449</v>
      </c>
      <c r="E845" t="str">
        <f t="shared" si="81"/>
        <v>819-855-2878</v>
      </c>
      <c r="F845" t="str">
        <f t="shared" si="82"/>
        <v>J0M 1E0</v>
      </c>
      <c r="G845" t="str">
        <f t="shared" si="83"/>
        <v>[ "Cree Nation of Chisasibi", 52.24531, -78.48449, '819-855-2878', 'J0M 1E0'],</v>
      </c>
    </row>
    <row r="846" spans="1:7" x14ac:dyDescent="0.2">
      <c r="A846" t="s">
        <v>868</v>
      </c>
      <c r="B846" t="str">
        <f t="shared" si="78"/>
        <v>Town of Cochrane</v>
      </c>
      <c r="C846" t="str">
        <f t="shared" si="79"/>
        <v>49.060500625</v>
      </c>
      <c r="D846" t="str">
        <f t="shared" si="80"/>
        <v>-81.029883125</v>
      </c>
      <c r="E846" t="str">
        <f t="shared" si="81"/>
        <v>705-272-5086</v>
      </c>
      <c r="F846" t="str">
        <f t="shared" si="82"/>
        <v>P0L 1C0</v>
      </c>
      <c r="G846" t="str">
        <f t="shared" si="83"/>
        <v>[ "Town of Cochrane", 49.060500625, -81.029883125, '705-272-5086', 'P0L 1C0'],</v>
      </c>
    </row>
    <row r="847" spans="1:7" x14ac:dyDescent="0.2">
      <c r="A847" t="s">
        <v>869</v>
      </c>
      <c r="B847" t="str">
        <f t="shared" si="78"/>
        <v>Township of Hornepayne</v>
      </c>
      <c r="C847" t="str">
        <f t="shared" si="79"/>
        <v>49.218</v>
      </c>
      <c r="D847" t="str">
        <f t="shared" si="80"/>
        <v>-84.77496</v>
      </c>
      <c r="E847" t="str">
        <f t="shared" si="81"/>
        <v>807-868-2020</v>
      </c>
      <c r="F847" t="str">
        <f t="shared" si="82"/>
        <v>P0M 1Z0</v>
      </c>
      <c r="G847" t="str">
        <f t="shared" si="83"/>
        <v>[ "Township of Hornepayne", 49.218, -84.77496, '807-868-2020', 'P0M 1Z0'],</v>
      </c>
    </row>
    <row r="848" spans="1:7" x14ac:dyDescent="0.2">
      <c r="A848" t="s">
        <v>870</v>
      </c>
      <c r="B848" t="str">
        <f t="shared" si="78"/>
        <v>Ricks Hi-Fi &amp; Decorating</v>
      </c>
      <c r="C848" t="str">
        <f t="shared" si="79"/>
        <v>48.75815325</v>
      </c>
      <c r="D848" t="str">
        <f t="shared" si="80"/>
        <v>-80.68585225</v>
      </c>
      <c r="E848" t="str">
        <f t="shared" si="81"/>
        <v>705-232-5557</v>
      </c>
      <c r="F848" t="str">
        <f t="shared" si="82"/>
        <v>P0K 1G0</v>
      </c>
      <c r="G848" t="str">
        <f t="shared" si="83"/>
        <v>[ "Ricks Hi-Fi &amp; Decorating", 48.75815325, -80.68585225, '705-232-5557', 'P0K 1G0'],</v>
      </c>
    </row>
    <row r="849" spans="1:7" x14ac:dyDescent="0.2">
      <c r="A849" t="s">
        <v>871</v>
      </c>
      <c r="B849" t="str">
        <f t="shared" si="78"/>
        <v>Home Depot</v>
      </c>
      <c r="C849" t="str">
        <f t="shared" si="79"/>
        <v>48.4698689144691</v>
      </c>
      <c r="D849" t="str">
        <f t="shared" si="80"/>
        <v>-81.4223946969216</v>
      </c>
      <c r="E849" t="str">
        <f t="shared" si="81"/>
        <v>705-360-8750</v>
      </c>
      <c r="F849" t="str">
        <f t="shared" si="82"/>
        <v>P4R 0A1</v>
      </c>
      <c r="G849" t="str">
        <f t="shared" si="83"/>
        <v>[ "Home Depot", 48.4698689144691, -81.4223946969216, '705-360-8750', 'P4R 0A1'],</v>
      </c>
    </row>
    <row r="850" spans="1:7" x14ac:dyDescent="0.2">
      <c r="A850" t="s">
        <v>872</v>
      </c>
      <c r="B850" t="str">
        <f t="shared" si="78"/>
        <v>Staples</v>
      </c>
      <c r="C850" t="str">
        <f t="shared" si="79"/>
        <v>48.4725132307692</v>
      </c>
      <c r="D850" t="str">
        <f t="shared" si="80"/>
        <v>-81.3808703076923</v>
      </c>
      <c r="E850" t="str">
        <f t="shared" si="81"/>
        <v>705-360-4200</v>
      </c>
      <c r="F850" t="str">
        <f t="shared" si="82"/>
        <v>P4R 1M8</v>
      </c>
      <c r="G850" t="str">
        <f t="shared" si="83"/>
        <v>[ "Staples", 48.4725132307692, -81.3808703076923, '705-360-4200', 'P4R 1M8'],</v>
      </c>
    </row>
    <row r="851" spans="1:7" x14ac:dyDescent="0.2">
      <c r="A851" t="s">
        <v>873</v>
      </c>
      <c r="B851" t="str">
        <f t="shared" si="78"/>
        <v>Best Buy Canada</v>
      </c>
      <c r="C851" t="str">
        <f t="shared" si="79"/>
        <v>48.4725115789474</v>
      </c>
      <c r="D851" t="str">
        <f t="shared" si="80"/>
        <v>-81.3782257894737</v>
      </c>
      <c r="E851" t="str">
        <f t="shared" si="81"/>
        <v>705-268-9111</v>
      </c>
      <c r="F851" t="str">
        <f t="shared" si="82"/>
        <v>P4R 1A5</v>
      </c>
      <c r="G851" t="str">
        <f t="shared" si="83"/>
        <v>[ "Best Buy Canada", 48.4725115789474, -81.3782257894737, '705-268-9111', 'P4R 1A5'],</v>
      </c>
    </row>
    <row r="852" spans="1:7" x14ac:dyDescent="0.2">
      <c r="A852" t="s">
        <v>874</v>
      </c>
      <c r="B852" t="str">
        <f t="shared" si="78"/>
        <v>Spectrum Telecom Group Ltd</v>
      </c>
      <c r="C852" t="str">
        <f t="shared" si="79"/>
        <v>48.4763985714286</v>
      </c>
      <c r="D852" t="str">
        <f t="shared" si="80"/>
        <v>-81.3026775510204</v>
      </c>
      <c r="E852" t="str">
        <f t="shared" si="81"/>
        <v>705-268-9090</v>
      </c>
      <c r="F852" t="str">
        <f t="shared" si="82"/>
        <v>P0N 1G0</v>
      </c>
      <c r="G852" t="str">
        <f t="shared" si="83"/>
        <v>[ "Spectrum Telecom Group Ltd", 48.4763985714286, -81.3026775510204, '705-268-9090', 'P0N 1G0'],</v>
      </c>
    </row>
    <row r="853" spans="1:7" x14ac:dyDescent="0.2">
      <c r="A853" t="s">
        <v>875</v>
      </c>
      <c r="B853" t="str">
        <f t="shared" si="78"/>
        <v>Rona</v>
      </c>
      <c r="C853" t="str">
        <f t="shared" si="79"/>
        <v>49.7743958847974</v>
      </c>
      <c r="D853" t="str">
        <f t="shared" si="80"/>
        <v>-86.5374523574809</v>
      </c>
      <c r="E853" t="str">
        <f t="shared" si="81"/>
        <v>807-876-2294</v>
      </c>
      <c r="F853" t="str">
        <f t="shared" si="82"/>
        <v>P0T 2A0</v>
      </c>
      <c r="G853" t="str">
        <f t="shared" si="83"/>
        <v>[ "Rona", 49.7743958847974, -86.5374523574809, '807-876-2294', 'P0T 2A0'],</v>
      </c>
    </row>
    <row r="854" spans="1:7" x14ac:dyDescent="0.2">
      <c r="A854" t="s">
        <v>876</v>
      </c>
      <c r="B854" t="str">
        <f t="shared" si="78"/>
        <v>Jean Coutu</v>
      </c>
      <c r="C854" t="str">
        <f t="shared" si="79"/>
        <v>48.8053180769231</v>
      </c>
      <c r="D854" t="str">
        <f t="shared" si="80"/>
        <v>-79.2010484615385</v>
      </c>
      <c r="E854" t="str">
        <f t="shared" si="81"/>
        <v>819-333-1160</v>
      </c>
      <c r="F854" t="str">
        <f t="shared" si="82"/>
        <v>J9Z 1K9</v>
      </c>
      <c r="G854" t="str">
        <f t="shared" si="83"/>
        <v>[ "Jean Coutu", 48.8053180769231, -79.2010484615385, '819-333-1160', 'J9Z 1K9'],</v>
      </c>
    </row>
    <row r="855" spans="1:7" x14ac:dyDescent="0.2">
      <c r="A855" t="s">
        <v>877</v>
      </c>
      <c r="B855" t="str">
        <f t="shared" si="78"/>
        <v>Roberge &amp; Fils Inc</v>
      </c>
      <c r="C855" t="str">
        <f t="shared" si="79"/>
        <v>48.80318</v>
      </c>
      <c r="D855" t="str">
        <f t="shared" si="80"/>
        <v>-79.2029</v>
      </c>
      <c r="E855" t="str">
        <f t="shared" si="81"/>
        <v>819-333-5405</v>
      </c>
      <c r="F855" t="str">
        <f t="shared" si="82"/>
        <v>J9Z 1M5</v>
      </c>
      <c r="G855" t="str">
        <f t="shared" si="83"/>
        <v>[ "Roberge &amp; Fils Inc", 48.80318, -79.2029, '819-333-5405', 'J9Z 1M5'],</v>
      </c>
    </row>
    <row r="856" spans="1:7" x14ac:dyDescent="0.2">
      <c r="A856" t="s">
        <v>878</v>
      </c>
      <c r="B856" t="str">
        <f t="shared" si="78"/>
        <v>Corporation du Canton de Dubreuilville</v>
      </c>
      <c r="C856" t="str">
        <f t="shared" si="79"/>
        <v>48.3511856670082</v>
      </c>
      <c r="D856" t="str">
        <f t="shared" si="80"/>
        <v>-84.5473311099727</v>
      </c>
      <c r="E856" t="str">
        <f t="shared" si="81"/>
        <v>705-884-2340</v>
      </c>
      <c r="F856" t="str">
        <f t="shared" si="82"/>
        <v>P0S 1B0</v>
      </c>
      <c r="G856" t="str">
        <f t="shared" si="83"/>
        <v>[ "Corporation du Canton de Dubreuilville", 48.3511856670082, -84.5473311099727, '705-884-2340', 'P0S 1B0'],</v>
      </c>
    </row>
    <row r="857" spans="1:7" x14ac:dyDescent="0.2">
      <c r="A857" t="s">
        <v>879</v>
      </c>
      <c r="B857" t="str">
        <f t="shared" si="78"/>
        <v>BMR Matériaux Abitibi ltée</v>
      </c>
      <c r="C857" t="str">
        <f t="shared" si="79"/>
        <v>48.75642</v>
      </c>
      <c r="D857" t="str">
        <f t="shared" si="80"/>
        <v>-79.0066658333333</v>
      </c>
      <c r="E857" t="str">
        <f t="shared" si="81"/>
        <v>819-782-4611</v>
      </c>
      <c r="F857" t="str">
        <f t="shared" si="82"/>
        <v>J0Z 2S0</v>
      </c>
      <c r="G857" t="str">
        <f t="shared" si="83"/>
        <v>[ "BMR Matériaux Abitibi ltée", 48.75642, -79.0066658333333, '819-782-4611', 'J0Z 2S0'],</v>
      </c>
    </row>
    <row r="858" spans="1:7" x14ac:dyDescent="0.2">
      <c r="A858" t="s">
        <v>880</v>
      </c>
      <c r="B858" t="str">
        <f t="shared" si="78"/>
        <v>Dépôt Nédélec</v>
      </c>
      <c r="C858" t="str">
        <f t="shared" si="79"/>
        <v>48.75043</v>
      </c>
      <c r="D858" t="str">
        <f t="shared" si="80"/>
        <v>-79.00223</v>
      </c>
      <c r="E858" t="str">
        <f t="shared" si="81"/>
        <v>--</v>
      </c>
      <c r="F858" t="str">
        <f t="shared" si="82"/>
        <v>J0Z 2Z0</v>
      </c>
      <c r="G858" t="str">
        <f t="shared" si="83"/>
        <v>[ "Dépôt Nédélec", 48.75043, -79.00223, '--', 'J0Z 2Z0'],</v>
      </c>
    </row>
    <row r="859" spans="1:7" x14ac:dyDescent="0.2">
      <c r="A859" t="s">
        <v>881</v>
      </c>
      <c r="B859" t="str">
        <f t="shared" si="78"/>
        <v>Dépôt Ste-Germaine-Boulé</v>
      </c>
      <c r="C859" t="str">
        <f t="shared" si="79"/>
        <v>48.6025182</v>
      </c>
      <c r="D859" t="str">
        <f t="shared" si="80"/>
        <v>-79.11541</v>
      </c>
      <c r="E859" t="str">
        <f t="shared" si="81"/>
        <v>--</v>
      </c>
      <c r="F859" t="str">
        <f t="shared" si="82"/>
        <v>J0Z 1M0</v>
      </c>
      <c r="G859" t="str">
        <f t="shared" si="83"/>
        <v>[ "Dépôt Ste-Germaine-Boulé", 48.6025182, -79.11541, '--', 'J0Z 1M0'],</v>
      </c>
    </row>
    <row r="860" spans="1:7" x14ac:dyDescent="0.2">
      <c r="A860" t="s">
        <v>882</v>
      </c>
      <c r="B860" t="str">
        <f t="shared" si="78"/>
        <v>The Source</v>
      </c>
      <c r="C860" t="str">
        <f t="shared" si="79"/>
        <v>48.14718</v>
      </c>
      <c r="D860" t="str">
        <f t="shared" si="80"/>
        <v>-80.0469</v>
      </c>
      <c r="E860" t="str">
        <f t="shared" si="81"/>
        <v>705-567-3060</v>
      </c>
      <c r="F860" t="str">
        <f t="shared" si="82"/>
        <v>P2N 2E9</v>
      </c>
      <c r="G860" t="str">
        <f t="shared" si="83"/>
        <v>[ "The Source", 48.14718, -80.0469, '705-567-3060', 'P2N 2E9'],</v>
      </c>
    </row>
    <row r="861" spans="1:7" x14ac:dyDescent="0.2">
      <c r="A861" t="s">
        <v>861</v>
      </c>
      <c r="B861" t="str">
        <f t="shared" si="78"/>
        <v>Pauls Music World</v>
      </c>
      <c r="C861" t="str">
        <f t="shared" si="79"/>
        <v>49.7964</v>
      </c>
      <c r="D861" t="str">
        <f t="shared" si="80"/>
        <v>-83.66066</v>
      </c>
      <c r="E861" t="str">
        <f t="shared" si="81"/>
        <v>705-362-5779</v>
      </c>
      <c r="F861" t="str">
        <f t="shared" si="82"/>
        <v>P0L 1N0</v>
      </c>
      <c r="G861" t="str">
        <f t="shared" si="83"/>
        <v>[ "Pauls Music World", 49.7964, -83.66066, '705-362-5779', 'P0L 1N0'],</v>
      </c>
    </row>
    <row r="862" spans="1:7" x14ac:dyDescent="0.2">
      <c r="A862" t="s">
        <v>862</v>
      </c>
      <c r="B862" t="str">
        <f t="shared" si="78"/>
        <v>Hearst Lumber Co.Ltd.</v>
      </c>
      <c r="C862" t="str">
        <f t="shared" si="79"/>
        <v>49.6884745463573</v>
      </c>
      <c r="D862" t="str">
        <f t="shared" si="80"/>
        <v>-83.6604700049651</v>
      </c>
      <c r="E862" t="str">
        <f t="shared" si="81"/>
        <v>705-362-4325</v>
      </c>
      <c r="F862" t="str">
        <f t="shared" si="82"/>
        <v>P0L 1N0</v>
      </c>
      <c r="G862" t="str">
        <f t="shared" si="83"/>
        <v>[ "Hearst Lumber Co.Ltd.", 49.6884745463573, -83.6604700049651, '705-362-4325', 'P0L 1N0'],</v>
      </c>
    </row>
    <row r="863" spans="1:7" x14ac:dyDescent="0.2">
      <c r="A863" t="s">
        <v>863</v>
      </c>
      <c r="B863" t="str">
        <f t="shared" si="78"/>
        <v>Hearst Public Library</v>
      </c>
      <c r="C863" t="str">
        <f t="shared" si="79"/>
        <v>49.68876</v>
      </c>
      <c r="D863" t="str">
        <f t="shared" si="80"/>
        <v>-83.66251</v>
      </c>
      <c r="E863" t="str">
        <f t="shared" si="81"/>
        <v>705-372-2843</v>
      </c>
      <c r="F863" t="str">
        <f t="shared" si="82"/>
        <v>P0L 1N0</v>
      </c>
      <c r="G863" t="str">
        <f t="shared" si="83"/>
        <v>[ "Hearst Public Library", 49.68876, -83.66251, '705-372-2843', 'P0L 1N0'],</v>
      </c>
    </row>
    <row r="864" spans="1:7" x14ac:dyDescent="0.2">
      <c r="A864" t="s">
        <v>864</v>
      </c>
      <c r="B864" t="str">
        <f t="shared" si="78"/>
        <v>The Source</v>
      </c>
      <c r="C864" t="str">
        <f t="shared" si="79"/>
        <v>49.4200538028779</v>
      </c>
      <c r="D864" t="str">
        <f t="shared" si="80"/>
        <v>-82.4197553660716</v>
      </c>
      <c r="E864" t="str">
        <f t="shared" si="81"/>
        <v>705-335-8787</v>
      </c>
      <c r="F864" t="str">
        <f t="shared" si="82"/>
        <v>P5N 2E9</v>
      </c>
      <c r="G864" t="str">
        <f t="shared" si="83"/>
        <v>[ "The Source", 49.4200538028779, -82.4197553660716, '705-335-8787', 'P5N 2E9'],</v>
      </c>
    </row>
    <row r="865" spans="1:7" x14ac:dyDescent="0.2">
      <c r="A865" t="s">
        <v>865</v>
      </c>
      <c r="B865" t="str">
        <f t="shared" si="78"/>
        <v>Canadian Tire</v>
      </c>
      <c r="C865" t="str">
        <f t="shared" si="79"/>
        <v>49.0600608</v>
      </c>
      <c r="D865" t="str">
        <f t="shared" si="80"/>
        <v>-81.045488</v>
      </c>
      <c r="E865" t="str">
        <f t="shared" si="81"/>
        <v>705-272-4341</v>
      </c>
      <c r="F865" t="str">
        <f t="shared" si="82"/>
        <v>P0L 1C0</v>
      </c>
      <c r="G865" t="str">
        <f t="shared" si="83"/>
        <v>[ "Canadian Tire", 49.0600608, -81.045488, '705-272-4341', 'P0L 1C0'],</v>
      </c>
    </row>
    <row r="866" spans="1:7" x14ac:dyDescent="0.2">
      <c r="A866" t="s">
        <v>866</v>
      </c>
      <c r="B866" t="str">
        <f t="shared" si="78"/>
        <v>Town of Cochrane</v>
      </c>
      <c r="C866" t="str">
        <f t="shared" si="79"/>
        <v>49.0632506818182</v>
      </c>
      <c r="D866" t="str">
        <f t="shared" si="80"/>
        <v>-81.0281920454545</v>
      </c>
      <c r="E866" t="str">
        <f t="shared" si="81"/>
        <v>705-272-4361</v>
      </c>
      <c r="F866" t="str">
        <f t="shared" si="82"/>
        <v>P0L 1C0</v>
      </c>
      <c r="G866" t="str">
        <f t="shared" si="83"/>
        <v>[ "Town of Cochrane", 49.0632506818182, -81.0281920454545, '705-272-4361', 'P0L 1C0'],</v>
      </c>
    </row>
    <row r="867" spans="1:7" x14ac:dyDescent="0.2">
      <c r="A867" t="s">
        <v>867</v>
      </c>
      <c r="B867" t="str">
        <f t="shared" si="78"/>
        <v>Cree Nation of Chisasibi</v>
      </c>
      <c r="C867" t="str">
        <f t="shared" si="79"/>
        <v>52.24531</v>
      </c>
      <c r="D867" t="str">
        <f t="shared" si="80"/>
        <v>-78.48449</v>
      </c>
      <c r="E867" t="str">
        <f t="shared" si="81"/>
        <v>819-855-2878</v>
      </c>
      <c r="F867" t="str">
        <f t="shared" si="82"/>
        <v>J0M 1E0</v>
      </c>
      <c r="G867" t="str">
        <f t="shared" si="83"/>
        <v>[ "Cree Nation of Chisasibi", 52.24531, -78.48449, '819-855-2878', 'J0M 1E0'],</v>
      </c>
    </row>
    <row r="868" spans="1:7" x14ac:dyDescent="0.2">
      <c r="A868" t="s">
        <v>868</v>
      </c>
      <c r="B868" t="str">
        <f t="shared" si="78"/>
        <v>Town of Cochrane</v>
      </c>
      <c r="C868" t="str">
        <f t="shared" si="79"/>
        <v>49.060500625</v>
      </c>
      <c r="D868" t="str">
        <f t="shared" si="80"/>
        <v>-81.029883125</v>
      </c>
      <c r="E868" t="str">
        <f t="shared" si="81"/>
        <v>705-272-5086</v>
      </c>
      <c r="F868" t="str">
        <f t="shared" si="82"/>
        <v>P0L 1C0</v>
      </c>
      <c r="G868" t="str">
        <f t="shared" si="83"/>
        <v>[ "Town of Cochrane", 49.060500625, -81.029883125, '705-272-5086', 'P0L 1C0'],</v>
      </c>
    </row>
    <row r="869" spans="1:7" x14ac:dyDescent="0.2">
      <c r="A869" t="s">
        <v>869</v>
      </c>
      <c r="B869" t="str">
        <f t="shared" si="78"/>
        <v>Township of Hornepayne</v>
      </c>
      <c r="C869" t="str">
        <f t="shared" si="79"/>
        <v>49.218</v>
      </c>
      <c r="D869" t="str">
        <f t="shared" si="80"/>
        <v>-84.77496</v>
      </c>
      <c r="E869" t="str">
        <f t="shared" si="81"/>
        <v>807-868-2020</v>
      </c>
      <c r="F869" t="str">
        <f t="shared" si="82"/>
        <v>P0M 1Z0</v>
      </c>
      <c r="G869" t="str">
        <f t="shared" si="83"/>
        <v>[ "Township of Hornepayne", 49.218, -84.77496, '807-868-2020', 'P0M 1Z0'],</v>
      </c>
    </row>
    <row r="870" spans="1:7" x14ac:dyDescent="0.2">
      <c r="A870" t="s">
        <v>870</v>
      </c>
      <c r="B870" t="str">
        <f t="shared" si="78"/>
        <v>Ricks Hi-Fi &amp; Decorating</v>
      </c>
      <c r="C870" t="str">
        <f t="shared" si="79"/>
        <v>48.75815325</v>
      </c>
      <c r="D870" t="str">
        <f t="shared" si="80"/>
        <v>-80.68585225</v>
      </c>
      <c r="E870" t="str">
        <f t="shared" si="81"/>
        <v>705-232-5557</v>
      </c>
      <c r="F870" t="str">
        <f t="shared" si="82"/>
        <v>P0K 1G0</v>
      </c>
      <c r="G870" t="str">
        <f t="shared" si="83"/>
        <v>[ "Ricks Hi-Fi &amp; Decorating", 48.75815325, -80.68585225, '705-232-5557', 'P0K 1G0'],</v>
      </c>
    </row>
    <row r="871" spans="1:7" x14ac:dyDescent="0.2">
      <c r="A871" t="s">
        <v>871</v>
      </c>
      <c r="B871" t="str">
        <f t="shared" si="78"/>
        <v>Home Depot</v>
      </c>
      <c r="C871" t="str">
        <f t="shared" si="79"/>
        <v>48.4698689144691</v>
      </c>
      <c r="D871" t="str">
        <f t="shared" si="80"/>
        <v>-81.4223946969216</v>
      </c>
      <c r="E871" t="str">
        <f t="shared" si="81"/>
        <v>705-360-8750</v>
      </c>
      <c r="F871" t="str">
        <f t="shared" si="82"/>
        <v>P4R 0A1</v>
      </c>
      <c r="G871" t="str">
        <f t="shared" si="83"/>
        <v>[ "Home Depot", 48.4698689144691, -81.4223946969216, '705-360-8750', 'P4R 0A1'],</v>
      </c>
    </row>
    <row r="872" spans="1:7" x14ac:dyDescent="0.2">
      <c r="A872" t="s">
        <v>872</v>
      </c>
      <c r="B872" t="str">
        <f t="shared" si="78"/>
        <v>Staples</v>
      </c>
      <c r="C872" t="str">
        <f t="shared" si="79"/>
        <v>48.4725132307692</v>
      </c>
      <c r="D872" t="str">
        <f t="shared" si="80"/>
        <v>-81.3808703076923</v>
      </c>
      <c r="E872" t="str">
        <f t="shared" si="81"/>
        <v>705-360-4200</v>
      </c>
      <c r="F872" t="str">
        <f t="shared" si="82"/>
        <v>P4R 1M8</v>
      </c>
      <c r="G872" t="str">
        <f t="shared" si="83"/>
        <v>[ "Staples", 48.4725132307692, -81.3808703076923, '705-360-4200', 'P4R 1M8'],</v>
      </c>
    </row>
    <row r="873" spans="1:7" x14ac:dyDescent="0.2">
      <c r="A873" t="s">
        <v>873</v>
      </c>
      <c r="B873" t="str">
        <f t="shared" si="78"/>
        <v>Best Buy Canada</v>
      </c>
      <c r="C873" t="str">
        <f t="shared" si="79"/>
        <v>48.4725115789474</v>
      </c>
      <c r="D873" t="str">
        <f t="shared" si="80"/>
        <v>-81.3782257894737</v>
      </c>
      <c r="E873" t="str">
        <f t="shared" si="81"/>
        <v>705-268-9111</v>
      </c>
      <c r="F873" t="str">
        <f t="shared" si="82"/>
        <v>P4R 1A5</v>
      </c>
      <c r="G873" t="str">
        <f t="shared" si="83"/>
        <v>[ "Best Buy Canada", 48.4725115789474, -81.3782257894737, '705-268-9111', 'P4R 1A5'],</v>
      </c>
    </row>
    <row r="874" spans="1:7" x14ac:dyDescent="0.2">
      <c r="A874" t="s">
        <v>874</v>
      </c>
      <c r="B874" t="str">
        <f t="shared" si="78"/>
        <v>Spectrum Telecom Group Ltd</v>
      </c>
      <c r="C874" t="str">
        <f t="shared" si="79"/>
        <v>48.4763985714286</v>
      </c>
      <c r="D874" t="str">
        <f t="shared" si="80"/>
        <v>-81.3026775510204</v>
      </c>
      <c r="E874" t="str">
        <f t="shared" si="81"/>
        <v>705-268-9090</v>
      </c>
      <c r="F874" t="str">
        <f t="shared" si="82"/>
        <v>P0N 1G0</v>
      </c>
      <c r="G874" t="str">
        <f t="shared" si="83"/>
        <v>[ "Spectrum Telecom Group Ltd", 48.4763985714286, -81.3026775510204, '705-268-9090', 'P0N 1G0'],</v>
      </c>
    </row>
    <row r="875" spans="1:7" x14ac:dyDescent="0.2">
      <c r="A875" t="s">
        <v>875</v>
      </c>
      <c r="B875" t="str">
        <f t="shared" si="78"/>
        <v>Rona</v>
      </c>
      <c r="C875" t="str">
        <f t="shared" si="79"/>
        <v>49.7743958847974</v>
      </c>
      <c r="D875" t="str">
        <f t="shared" si="80"/>
        <v>-86.5374523574809</v>
      </c>
      <c r="E875" t="str">
        <f t="shared" si="81"/>
        <v>807-876-2294</v>
      </c>
      <c r="F875" t="str">
        <f t="shared" si="82"/>
        <v>P0T 2A0</v>
      </c>
      <c r="G875" t="str">
        <f t="shared" si="83"/>
        <v>[ "Rona", 49.7743958847974, -86.5374523574809, '807-876-2294', 'P0T 2A0'],</v>
      </c>
    </row>
    <row r="876" spans="1:7" x14ac:dyDescent="0.2">
      <c r="A876" t="s">
        <v>876</v>
      </c>
      <c r="B876" t="str">
        <f t="shared" si="78"/>
        <v>Jean Coutu</v>
      </c>
      <c r="C876" t="str">
        <f t="shared" si="79"/>
        <v>48.8053180769231</v>
      </c>
      <c r="D876" t="str">
        <f t="shared" si="80"/>
        <v>-79.2010484615385</v>
      </c>
      <c r="E876" t="str">
        <f t="shared" si="81"/>
        <v>819-333-1160</v>
      </c>
      <c r="F876" t="str">
        <f t="shared" si="82"/>
        <v>J9Z 1K9</v>
      </c>
      <c r="G876" t="str">
        <f t="shared" si="83"/>
        <v>[ "Jean Coutu", 48.8053180769231, -79.2010484615385, '819-333-1160', 'J9Z 1K9'],</v>
      </c>
    </row>
    <row r="877" spans="1:7" x14ac:dyDescent="0.2">
      <c r="A877" t="s">
        <v>877</v>
      </c>
      <c r="B877" t="str">
        <f t="shared" si="78"/>
        <v>Roberge &amp; Fils Inc</v>
      </c>
      <c r="C877" t="str">
        <f t="shared" si="79"/>
        <v>48.80318</v>
      </c>
      <c r="D877" t="str">
        <f t="shared" si="80"/>
        <v>-79.2029</v>
      </c>
      <c r="E877" t="str">
        <f t="shared" si="81"/>
        <v>819-333-5405</v>
      </c>
      <c r="F877" t="str">
        <f t="shared" si="82"/>
        <v>J9Z 1M5</v>
      </c>
      <c r="G877" t="str">
        <f t="shared" si="83"/>
        <v>[ "Roberge &amp; Fils Inc", 48.80318, -79.2029, '819-333-5405', 'J9Z 1M5'],</v>
      </c>
    </row>
    <row r="878" spans="1:7" x14ac:dyDescent="0.2">
      <c r="A878" t="s">
        <v>878</v>
      </c>
      <c r="B878" t="str">
        <f t="shared" si="78"/>
        <v>Corporation du Canton de Dubreuilville</v>
      </c>
      <c r="C878" t="str">
        <f t="shared" si="79"/>
        <v>48.3511856670082</v>
      </c>
      <c r="D878" t="str">
        <f t="shared" si="80"/>
        <v>-84.5473311099727</v>
      </c>
      <c r="E878" t="str">
        <f t="shared" si="81"/>
        <v>705-884-2340</v>
      </c>
      <c r="F878" t="str">
        <f t="shared" si="82"/>
        <v>P0S 1B0</v>
      </c>
      <c r="G878" t="str">
        <f t="shared" si="83"/>
        <v>[ "Corporation du Canton de Dubreuilville", 48.3511856670082, -84.5473311099727, '705-884-2340', 'P0S 1B0'],</v>
      </c>
    </row>
    <row r="879" spans="1:7" x14ac:dyDescent="0.2">
      <c r="A879" t="s">
        <v>879</v>
      </c>
      <c r="B879" t="str">
        <f t="shared" si="78"/>
        <v>BMR Matériaux Abitibi ltée</v>
      </c>
      <c r="C879" t="str">
        <f t="shared" si="79"/>
        <v>48.75642</v>
      </c>
      <c r="D879" t="str">
        <f t="shared" si="80"/>
        <v>-79.0066658333333</v>
      </c>
      <c r="E879" t="str">
        <f t="shared" si="81"/>
        <v>819-782-4611</v>
      </c>
      <c r="F879" t="str">
        <f t="shared" si="82"/>
        <v>J0Z 2S0</v>
      </c>
      <c r="G879" t="str">
        <f t="shared" si="83"/>
        <v>[ "BMR Matériaux Abitibi ltée", 48.75642, -79.0066658333333, '819-782-4611', 'J0Z 2S0'],</v>
      </c>
    </row>
    <row r="880" spans="1:7" x14ac:dyDescent="0.2">
      <c r="A880" t="s">
        <v>880</v>
      </c>
      <c r="B880" t="str">
        <f t="shared" si="78"/>
        <v>Dépôt Nédélec</v>
      </c>
      <c r="C880" t="str">
        <f t="shared" si="79"/>
        <v>48.75043</v>
      </c>
      <c r="D880" t="str">
        <f t="shared" si="80"/>
        <v>-79.00223</v>
      </c>
      <c r="E880" t="str">
        <f t="shared" si="81"/>
        <v>--</v>
      </c>
      <c r="F880" t="str">
        <f t="shared" si="82"/>
        <v>J0Z 2Z0</v>
      </c>
      <c r="G880" t="str">
        <f t="shared" si="83"/>
        <v>[ "Dépôt Nédélec", 48.75043, -79.00223, '--', 'J0Z 2Z0'],</v>
      </c>
    </row>
    <row r="881" spans="1:7" x14ac:dyDescent="0.2">
      <c r="A881" t="s">
        <v>881</v>
      </c>
      <c r="B881" t="str">
        <f t="shared" si="78"/>
        <v>Dépôt Ste-Germaine-Boulé</v>
      </c>
      <c r="C881" t="str">
        <f t="shared" si="79"/>
        <v>48.6025182</v>
      </c>
      <c r="D881" t="str">
        <f t="shared" si="80"/>
        <v>-79.11541</v>
      </c>
      <c r="E881" t="str">
        <f t="shared" si="81"/>
        <v>--</v>
      </c>
      <c r="F881" t="str">
        <f t="shared" si="82"/>
        <v>J0Z 1M0</v>
      </c>
      <c r="G881" t="str">
        <f t="shared" si="83"/>
        <v>[ "Dépôt Ste-Germaine-Boulé", 48.6025182, -79.11541, '--', 'J0Z 1M0'],</v>
      </c>
    </row>
    <row r="882" spans="1:7" x14ac:dyDescent="0.2">
      <c r="A882" t="s">
        <v>882</v>
      </c>
      <c r="B882" t="str">
        <f t="shared" si="78"/>
        <v>The Source</v>
      </c>
      <c r="C882" t="str">
        <f t="shared" si="79"/>
        <v>48.14718</v>
      </c>
      <c r="D882" t="str">
        <f t="shared" si="80"/>
        <v>-80.0469</v>
      </c>
      <c r="E882" t="str">
        <f t="shared" si="81"/>
        <v>705-567-3060</v>
      </c>
      <c r="F882" t="str">
        <f t="shared" si="82"/>
        <v>P2N 2E9</v>
      </c>
      <c r="G882" t="str">
        <f t="shared" si="83"/>
        <v>[ "The Source", 48.14718, -80.0469, '705-567-3060', 'P2N 2E9'],</v>
      </c>
    </row>
    <row r="883" spans="1:7" x14ac:dyDescent="0.2">
      <c r="A883" t="s">
        <v>4</v>
      </c>
      <c r="B883" t="str">
        <f t="shared" si="78"/>
        <v>Ottawa Fastener Supply Ltd</v>
      </c>
      <c r="C883" t="str">
        <f t="shared" si="79"/>
        <v>45.31561</v>
      </c>
      <c r="D883" t="str">
        <f t="shared" si="80"/>
        <v>-75.84883</v>
      </c>
      <c r="E883" t="str">
        <f t="shared" si="81"/>
        <v>613-828-4117</v>
      </c>
      <c r="F883" t="str">
        <f t="shared" si="82"/>
        <v>K2H 5Z2</v>
      </c>
      <c r="G883" t="str">
        <f t="shared" si="83"/>
        <v>[ "Ottawa Fastener Supply Ltd", 45.31561, -75.84883, '613-828-4117', 'K2H 5Z2'],</v>
      </c>
    </row>
    <row r="884" spans="1:7" x14ac:dyDescent="0.2">
      <c r="A884" t="s">
        <v>5</v>
      </c>
      <c r="B884" t="str">
        <f t="shared" si="78"/>
        <v>Canadian Tire</v>
      </c>
      <c r="C884" t="str">
        <f t="shared" si="79"/>
        <v>45.31561</v>
      </c>
      <c r="D884" t="str">
        <f t="shared" si="80"/>
        <v>-75.84883</v>
      </c>
      <c r="E884" t="str">
        <f t="shared" si="81"/>
        <v>613-829-9580</v>
      </c>
      <c r="F884" t="str">
        <f t="shared" si="82"/>
        <v>K2H 5Z2</v>
      </c>
      <c r="G884" t="str">
        <f t="shared" si="83"/>
        <v>[ "Canadian Tire", 45.31561, -75.84883, '613-829-9580', 'K2H 5Z2'],</v>
      </c>
    </row>
    <row r="885" spans="1:7" x14ac:dyDescent="0.2">
      <c r="A885" t="s">
        <v>6</v>
      </c>
      <c r="B885" t="str">
        <f t="shared" si="78"/>
        <v>The Source</v>
      </c>
      <c r="C885" t="str">
        <f t="shared" si="79"/>
        <v>45.30262</v>
      </c>
      <c r="D885" t="str">
        <f t="shared" si="80"/>
        <v>-75.876055</v>
      </c>
      <c r="E885" t="str">
        <f t="shared" si="81"/>
        <v>613-254-7298</v>
      </c>
      <c r="F885" t="str">
        <f t="shared" si="82"/>
        <v>K2M 1C9</v>
      </c>
      <c r="G885" t="str">
        <f t="shared" si="83"/>
        <v>[ "The Source", 45.30262, -75.876055, '613-254-7298', 'K2M 1C9'],</v>
      </c>
    </row>
    <row r="886" spans="1:7" x14ac:dyDescent="0.2">
      <c r="A886" t="s">
        <v>7</v>
      </c>
      <c r="B886" t="str">
        <f t="shared" si="78"/>
        <v>Foxy Recycle</v>
      </c>
      <c r="C886" t="str">
        <f t="shared" si="79"/>
        <v>45.3361577807865</v>
      </c>
      <c r="D886" t="str">
        <f t="shared" si="80"/>
        <v>-75.7994028475483</v>
      </c>
      <c r="E886" t="str">
        <f t="shared" si="81"/>
        <v>613-726-3699</v>
      </c>
      <c r="F886" t="str">
        <f t="shared" si="82"/>
        <v>K2H 7T3</v>
      </c>
      <c r="G886" t="str">
        <f t="shared" si="83"/>
        <v>[ "Foxy Recycle", 45.3361577807865, -75.7994028475483, '613-726-3699', 'K2H 7T3'],</v>
      </c>
    </row>
    <row r="887" spans="1:7" x14ac:dyDescent="0.2">
      <c r="A887" t="s">
        <v>8</v>
      </c>
      <c r="B887" t="str">
        <f t="shared" si="78"/>
        <v>Best Buy Canada</v>
      </c>
      <c r="C887" t="str">
        <f t="shared" si="79"/>
        <v>45.2686415669868</v>
      </c>
      <c r="D887" t="str">
        <f t="shared" si="80"/>
        <v>-75.7511392975935</v>
      </c>
      <c r="E887" t="str">
        <f t="shared" si="81"/>
        <v>613-843-5625</v>
      </c>
      <c r="F887" t="str">
        <f t="shared" si="82"/>
        <v>K2J 4B1</v>
      </c>
      <c r="G887" t="str">
        <f t="shared" si="83"/>
        <v>[ "Best Buy Canada", 45.2686415669868, -75.7511392975935, '613-843-5625', 'K2J 4B1'],</v>
      </c>
    </row>
    <row r="888" spans="1:7" x14ac:dyDescent="0.2">
      <c r="A888" t="s">
        <v>9</v>
      </c>
      <c r="B888" t="str">
        <f t="shared" si="78"/>
        <v>Home Depot</v>
      </c>
      <c r="C888" t="str">
        <f t="shared" si="79"/>
        <v>45.2686323504802</v>
      </c>
      <c r="D888" t="str">
        <f t="shared" si="80"/>
        <v>-75.7511639463902</v>
      </c>
      <c r="E888" t="str">
        <f t="shared" si="81"/>
        <v>613-843-7900</v>
      </c>
      <c r="F888" t="str">
        <f t="shared" si="82"/>
        <v>K2J 5M4</v>
      </c>
      <c r="G888" t="str">
        <f t="shared" si="83"/>
        <v>[ "Home Depot", 45.2686323504802, -75.7511639463902, '613-843-7900', 'K2J 5M4'],</v>
      </c>
    </row>
    <row r="889" spans="1:7" x14ac:dyDescent="0.2">
      <c r="A889" t="s">
        <v>10</v>
      </c>
      <c r="B889" t="str">
        <f t="shared" si="78"/>
        <v>Canadian Tire</v>
      </c>
      <c r="C889" t="str">
        <f t="shared" si="79"/>
        <v>45.27155</v>
      </c>
      <c r="D889" t="str">
        <f t="shared" si="80"/>
        <v>-75.74702</v>
      </c>
      <c r="E889" t="str">
        <f t="shared" si="81"/>
        <v>613-823-5278</v>
      </c>
      <c r="F889" t="str">
        <f t="shared" si="82"/>
        <v>K2J 4Y6</v>
      </c>
      <c r="G889" t="str">
        <f t="shared" si="83"/>
        <v>[ "Canadian Tire", 45.27155, -75.74702, '613-823-5278', 'K2J 4Y6'],</v>
      </c>
    </row>
    <row r="890" spans="1:7" x14ac:dyDescent="0.2">
      <c r="A890" t="s">
        <v>11</v>
      </c>
      <c r="B890" t="str">
        <f t="shared" si="78"/>
        <v>The Source</v>
      </c>
      <c r="C890" t="str">
        <f t="shared" si="79"/>
        <v>45.27028</v>
      </c>
      <c r="D890" t="str">
        <f t="shared" si="80"/>
        <v>-75.74192</v>
      </c>
      <c r="E890" t="str">
        <f t="shared" si="81"/>
        <v>613-823-1995</v>
      </c>
      <c r="F890" t="str">
        <f t="shared" si="82"/>
        <v>K2J 5G5</v>
      </c>
      <c r="G890" t="str">
        <f t="shared" si="83"/>
        <v>[ "The Source", 45.27028, -75.74192, '613-823-1995', 'K2J 5G5'],</v>
      </c>
    </row>
    <row r="891" spans="1:7" x14ac:dyDescent="0.2">
      <c r="A891" t="s">
        <v>12</v>
      </c>
      <c r="B891" t="str">
        <f t="shared" si="78"/>
        <v>Staples</v>
      </c>
      <c r="C891" t="str">
        <f t="shared" si="79"/>
        <v>45.27069125</v>
      </c>
      <c r="D891" t="str">
        <f t="shared" si="80"/>
        <v>-75.7408525</v>
      </c>
      <c r="E891" t="str">
        <f t="shared" si="81"/>
        <v>613-825-0457</v>
      </c>
      <c r="F891" t="str">
        <f t="shared" si="82"/>
        <v>K2J 5G5</v>
      </c>
      <c r="G891" t="str">
        <f t="shared" si="83"/>
        <v>[ "Staples", 45.27069125, -75.7408525, '613-825-0457', 'K2J 5G5'],</v>
      </c>
    </row>
    <row r="892" spans="1:7" x14ac:dyDescent="0.2">
      <c r="A892" t="s">
        <v>13</v>
      </c>
      <c r="B892" t="str">
        <f t="shared" si="78"/>
        <v>The Source</v>
      </c>
      <c r="C892" t="str">
        <f t="shared" si="79"/>
        <v>45.34921</v>
      </c>
      <c r="D892" t="str">
        <f t="shared" si="80"/>
        <v>-75.80515</v>
      </c>
      <c r="E892" t="str">
        <f t="shared" si="81"/>
        <v>613-820-6194</v>
      </c>
      <c r="F892" t="str">
        <f t="shared" si="82"/>
        <v>K2B 8C1</v>
      </c>
      <c r="G892" t="str">
        <f t="shared" si="83"/>
        <v>[ "The Source", 45.34921, -75.80515, '613-820-6194', 'K2B 8C1'],</v>
      </c>
    </row>
    <row r="893" spans="1:7" x14ac:dyDescent="0.2">
      <c r="A893" t="s">
        <v>14</v>
      </c>
      <c r="B893" t="str">
        <f t="shared" si="78"/>
        <v>Franklin Empire</v>
      </c>
      <c r="C893" t="str">
        <f t="shared" si="79"/>
        <v>45.3169700050834</v>
      </c>
      <c r="D893" t="str">
        <f t="shared" si="80"/>
        <v>-75.8900513218109</v>
      </c>
      <c r="E893" t="str">
        <f t="shared" si="81"/>
        <v>613-596-1144</v>
      </c>
      <c r="F893" t="str">
        <f t="shared" si="82"/>
        <v>K2L 4E9</v>
      </c>
      <c r="G893" t="str">
        <f t="shared" si="83"/>
        <v>[ "Franklin Empire", 45.3169700050834, -75.8900513218109, '613-596-1144', 'K2L 4E9'],</v>
      </c>
    </row>
    <row r="894" spans="1:7" x14ac:dyDescent="0.2">
      <c r="A894" t="s">
        <v>15</v>
      </c>
      <c r="B894" t="str">
        <f t="shared" si="78"/>
        <v>ListenUp! Canada</v>
      </c>
      <c r="C894" t="str">
        <f t="shared" si="79"/>
        <v>45.3481964767298</v>
      </c>
      <c r="D894" t="str">
        <f t="shared" si="80"/>
        <v>-75.7863466375104</v>
      </c>
      <c r="E894" t="str">
        <f t="shared" si="81"/>
        <v>613-721-1052</v>
      </c>
      <c r="F894" t="str">
        <f t="shared" si="82"/>
        <v>K2C 1E6</v>
      </c>
      <c r="G894" t="str">
        <f t="shared" si="83"/>
        <v>[ "ListenUp! Canada", 45.3481964767298, -75.7863466375104, '613-721-1052', 'K2C 1E6'],</v>
      </c>
    </row>
    <row r="895" spans="1:7" x14ac:dyDescent="0.2">
      <c r="A895" t="s">
        <v>16</v>
      </c>
      <c r="B895" t="str">
        <f t="shared" si="78"/>
        <v>The Source</v>
      </c>
      <c r="C895" t="str">
        <f t="shared" si="79"/>
        <v>45.3488851541784</v>
      </c>
      <c r="D895" t="str">
        <f t="shared" si="80"/>
        <v>-75.7608445840817</v>
      </c>
      <c r="E895" t="str">
        <f t="shared" si="81"/>
        <v>613-224-1683</v>
      </c>
      <c r="F895" t="str">
        <f t="shared" si="82"/>
        <v>K2G 1V7</v>
      </c>
      <c r="G895" t="str">
        <f t="shared" si="83"/>
        <v>[ "The Source", 45.3488851541784, -75.7608445840817, '613-224-1683', 'K2G 1V7'],</v>
      </c>
    </row>
    <row r="896" spans="1:7" x14ac:dyDescent="0.2">
      <c r="A896" t="s">
        <v>17</v>
      </c>
      <c r="B896" t="str">
        <f t="shared" si="78"/>
        <v>Home Depot</v>
      </c>
      <c r="C896" t="str">
        <f t="shared" si="79"/>
        <v>45.3022741666667</v>
      </c>
      <c r="D896" t="str">
        <f t="shared" si="80"/>
        <v>-75.9142483333333</v>
      </c>
      <c r="E896" t="str">
        <f t="shared" si="81"/>
        <v>613-271-7577</v>
      </c>
      <c r="F896" t="str">
        <f t="shared" si="82"/>
        <v>K2T 1C4</v>
      </c>
      <c r="G896" t="str">
        <f t="shared" si="83"/>
        <v>[ "Home Depot", 45.3022741666667, -75.9142483333333, '613-271-7577', 'K2T 1C4'],</v>
      </c>
    </row>
    <row r="897" spans="1:7" x14ac:dyDescent="0.2">
      <c r="A897" t="s">
        <v>18</v>
      </c>
      <c r="B897" t="str">
        <f t="shared" ref="B897:B960" si="84">MID(A897,SEARCH("name"&amp;CHAR(34)&amp;":"&amp;CHAR(34),A897)+7,SEARCH(CHAR(34)&amp;", "&amp;CHAR(34)&amp;"locationlinkurl",A897)-SEARCH("name"&amp;CHAR(34)&amp;":"&amp;CHAR(34),A897)-7)</f>
        <v>RONA</v>
      </c>
      <c r="C897" t="str">
        <f t="shared" ref="C897:C960" si="85">MID(A897,SEARCH(CHAR(34)&amp;"latitude"&amp;CHAR(34)&amp;":"&amp;CHAR(34),A897)+12,SEARCH(CHAR(34)&amp;", "&amp;CHAR(34)&amp;"url"&amp;CHAR(34),A897)-SEARCH(CHAR(34)&amp;"latitude"&amp;CHAR(34)&amp;":"&amp;CHAR(34),A897)-12)</f>
        <v>45.33296</v>
      </c>
      <c r="D897" t="str">
        <f t="shared" ref="D897:D960" si="86">MID(A897,SEARCH(CHAR(34)&amp;"longitude"&amp;CHAR(34)&amp;":"&amp;CHAR(34),A897)+13,SEARCH(CHAR(34)&amp;", "&amp;CHAR(34)&amp;"uid"&amp;CHAR(34),A897)-SEARCH(CHAR(34)&amp;"longitude"&amp;CHAR(34)&amp;":"&amp;CHAR(34),A897)-13)</f>
        <v>-75.72896</v>
      </c>
      <c r="E897" t="str">
        <f t="shared" ref="E897:E960" si="87">MID(A897,SEARCH(CHAR(34)&amp;"phone"&amp;CHAR(34)&amp;":"&amp;CHAR(34),A897)+9,SEARCH(CHAR(34)&amp;", "&amp;CHAR(34)&amp;"address2"&amp;CHAR(34),A897)-SEARCH(CHAR(34)&amp;"phone"&amp;CHAR(34)&amp;":"&amp;CHAR(34),A897)-9)</f>
        <v>613-226-5636</v>
      </c>
      <c r="F897" t="str">
        <f t="shared" ref="F897:F960" si="88">MID(A897,SEARCH(CHAR(34)&amp;"postalcode"&amp;CHAR(34)&amp;":"&amp;CHAR(34),A897)+14,SEARCH(CHAR(34)&amp;", "&amp;CHAR(34)&amp;"province"&amp;CHAR(34),A897)-SEARCH(CHAR(34)&amp;"postalcode"&amp;CHAR(34)&amp;":"&amp;CHAR(34),A897)-14)</f>
        <v>K2G 5X6</v>
      </c>
      <c r="G897" t="str">
        <f t="shared" ref="G897:G960" si="89">"[ "&amp;CHAR(34)&amp;B897&amp;CHAR(34)&amp;", "&amp;C897&amp;", "&amp;D897&amp;", '"&amp;E897&amp;"', '"&amp;F897&amp;"'],"</f>
        <v>[ "RONA", 45.33296, -75.72896, '613-226-5636', 'K2G 5X6'],</v>
      </c>
    </row>
    <row r="898" spans="1:7" x14ac:dyDescent="0.2">
      <c r="A898" t="s">
        <v>19</v>
      </c>
      <c r="B898" t="str">
        <f t="shared" si="84"/>
        <v>Home Depot</v>
      </c>
      <c r="C898" t="str">
        <f t="shared" si="85"/>
        <v>45.3529242478139</v>
      </c>
      <c r="D898" t="str">
        <f t="shared" si="86"/>
        <v>-75.7593245369859</v>
      </c>
      <c r="E898" t="str">
        <f t="shared" si="87"/>
        <v>613-723-5900</v>
      </c>
      <c r="F898" t="str">
        <f t="shared" si="88"/>
        <v>K2C 0C6</v>
      </c>
      <c r="G898" t="str">
        <f t="shared" si="89"/>
        <v>[ "Home Depot", 45.3529242478139, -75.7593245369859, '613-723-5900', 'K2C 0C6'],</v>
      </c>
    </row>
    <row r="899" spans="1:7" x14ac:dyDescent="0.2">
      <c r="A899" t="s">
        <v>20</v>
      </c>
      <c r="B899" t="str">
        <f t="shared" si="84"/>
        <v>Interstate Batteries of Ont</v>
      </c>
      <c r="C899" t="str">
        <f t="shared" si="85"/>
        <v>45.3247075</v>
      </c>
      <c r="D899" t="str">
        <f t="shared" si="86"/>
        <v>-75.71596875</v>
      </c>
      <c r="E899" t="str">
        <f t="shared" si="87"/>
        <v>613-798-9700</v>
      </c>
      <c r="F899" t="str">
        <f t="shared" si="88"/>
        <v>K2E 6V4</v>
      </c>
      <c r="G899" t="str">
        <f t="shared" si="89"/>
        <v>[ "Interstate Batteries of Ont", 45.3247075, -75.71596875, '613-798-9700', 'K2E 6V4'],</v>
      </c>
    </row>
    <row r="900" spans="1:7" x14ac:dyDescent="0.2">
      <c r="A900" t="s">
        <v>21</v>
      </c>
      <c r="B900" t="str">
        <f t="shared" si="84"/>
        <v>Canadian Tire</v>
      </c>
      <c r="C900" t="str">
        <f t="shared" si="85"/>
        <v>45.3362070935906</v>
      </c>
      <c r="D900" t="str">
        <f t="shared" si="86"/>
        <v>-75.7250272826182</v>
      </c>
      <c r="E900" t="str">
        <f t="shared" si="87"/>
        <v>613-224-9330</v>
      </c>
      <c r="F900" t="str">
        <f t="shared" si="88"/>
        <v>K2G 1E6</v>
      </c>
      <c r="G900" t="str">
        <f t="shared" si="89"/>
        <v>[ "Canadian Tire", 45.3362070935906, -75.7250272826182, '613-224-9330', 'K2G 1E6'],</v>
      </c>
    </row>
    <row r="901" spans="1:7" x14ac:dyDescent="0.2">
      <c r="A901" t="s">
        <v>22</v>
      </c>
      <c r="B901" t="str">
        <f t="shared" si="84"/>
        <v>Staples</v>
      </c>
      <c r="C901" t="str">
        <f t="shared" si="85"/>
        <v>45.3077106580804</v>
      </c>
      <c r="D901" t="str">
        <f t="shared" si="86"/>
        <v>-75.9191627451347</v>
      </c>
      <c r="E901" t="str">
        <f t="shared" si="87"/>
        <v>613-592-3538</v>
      </c>
      <c r="F901" t="str">
        <f t="shared" si="88"/>
        <v>K2T 1B7</v>
      </c>
      <c r="G901" t="str">
        <f t="shared" si="89"/>
        <v>[ "Staples", 45.3077106580804, -75.9191627451347, '613-592-3538', 'K2T 1B7'],</v>
      </c>
    </row>
    <row r="902" spans="1:7" x14ac:dyDescent="0.2">
      <c r="A902" t="s">
        <v>23</v>
      </c>
      <c r="B902" t="str">
        <f t="shared" si="84"/>
        <v>Canadian Tire</v>
      </c>
      <c r="C902" t="str">
        <f t="shared" si="85"/>
        <v>45.307406755956</v>
      </c>
      <c r="D902" t="str">
        <f t="shared" si="86"/>
        <v>-75.9196711967659</v>
      </c>
      <c r="E902" t="str">
        <f t="shared" si="87"/>
        <v>613-599-5105</v>
      </c>
      <c r="F902" t="str">
        <f t="shared" si="88"/>
        <v>K2T 1B7</v>
      </c>
      <c r="G902" t="str">
        <f t="shared" si="89"/>
        <v>[ "Canadian Tire", 45.307406755956, -75.9196711967659, '613-599-5105', 'K2T 1B7'],</v>
      </c>
    </row>
    <row r="903" spans="1:7" x14ac:dyDescent="0.2">
      <c r="A903" t="s">
        <v>24</v>
      </c>
      <c r="B903" t="str">
        <f t="shared" si="84"/>
        <v>The Source</v>
      </c>
      <c r="C903" t="str">
        <f t="shared" si="85"/>
        <v>45.3456195926914</v>
      </c>
      <c r="D903" t="str">
        <f t="shared" si="86"/>
        <v>-75.7304456845579</v>
      </c>
      <c r="E903" t="str">
        <f t="shared" si="87"/>
        <v>613-224-9648</v>
      </c>
      <c r="F903" t="str">
        <f t="shared" si="88"/>
        <v>K2G 4A1</v>
      </c>
      <c r="G903" t="str">
        <f t="shared" si="89"/>
        <v>[ "The Source", 45.3456195926914, -75.7304456845579, '613-224-9648', 'K2G 4A1'],</v>
      </c>
    </row>
    <row r="904" spans="1:7" x14ac:dyDescent="0.2">
      <c r="A904" t="s">
        <v>25</v>
      </c>
      <c r="B904" t="str">
        <f t="shared" si="84"/>
        <v>uBreakiFix</v>
      </c>
      <c r="C904" t="str">
        <f t="shared" si="85"/>
        <v>45.3489677777778</v>
      </c>
      <c r="D904" t="str">
        <f t="shared" si="86"/>
        <v>-75.7324555555556</v>
      </c>
      <c r="E904" t="str">
        <f t="shared" si="87"/>
        <v>613-422-8243</v>
      </c>
      <c r="F904" t="str">
        <f t="shared" si="88"/>
        <v>K2G 5J8</v>
      </c>
      <c r="G904" t="str">
        <f t="shared" si="89"/>
        <v>[ "uBreakiFix", 45.3489677777778, -75.7324555555556, '613-422-8243', 'K2G 5J8'],</v>
      </c>
    </row>
    <row r="905" spans="1:7" x14ac:dyDescent="0.2">
      <c r="A905" t="s">
        <v>26</v>
      </c>
      <c r="B905" t="str">
        <f t="shared" si="84"/>
        <v>ListenUp! Canada</v>
      </c>
      <c r="C905" t="str">
        <f t="shared" si="85"/>
        <v>45.35091</v>
      </c>
      <c r="D905" t="str">
        <f t="shared" si="86"/>
        <v>-75.73358</v>
      </c>
      <c r="E905" t="str">
        <f t="shared" si="87"/>
        <v>613-727-3132</v>
      </c>
      <c r="F905" t="str">
        <f t="shared" si="88"/>
        <v>K2G 4B5</v>
      </c>
      <c r="G905" t="str">
        <f t="shared" si="89"/>
        <v>[ "ListenUp! Canada", 45.35091, -75.73358, '613-727-3132', 'K2G 4B5'],</v>
      </c>
    </row>
    <row r="906" spans="1:7" x14ac:dyDescent="0.2">
      <c r="A906" t="s">
        <v>27</v>
      </c>
      <c r="B906" t="str">
        <f t="shared" si="84"/>
        <v>Staples</v>
      </c>
      <c r="C906" t="str">
        <f t="shared" si="85"/>
        <v>45.35311</v>
      </c>
      <c r="D906" t="str">
        <f t="shared" si="86"/>
        <v>-75.73469</v>
      </c>
      <c r="E906" t="str">
        <f t="shared" si="87"/>
        <v>613-226-7989</v>
      </c>
      <c r="F906" t="str">
        <f t="shared" si="88"/>
        <v>K2G 3J4</v>
      </c>
      <c r="G906" t="str">
        <f t="shared" si="89"/>
        <v>[ "Staples", 45.35311, -75.73469, '613-226-7989', 'K2G 3J4'],</v>
      </c>
    </row>
    <row r="907" spans="1:7" x14ac:dyDescent="0.2">
      <c r="A907" t="s">
        <v>28</v>
      </c>
      <c r="B907" t="str">
        <f t="shared" si="84"/>
        <v>Sears (Canada)</v>
      </c>
      <c r="C907" t="str">
        <f t="shared" si="85"/>
        <v>45.3705308333333</v>
      </c>
      <c r="D907" t="str">
        <f t="shared" si="86"/>
        <v>-75.7700666666667</v>
      </c>
      <c r="E907" t="str">
        <f t="shared" si="87"/>
        <v>613-729-2561</v>
      </c>
      <c r="F907" t="str">
        <f t="shared" si="88"/>
        <v>K2A 1H2</v>
      </c>
      <c r="G907" t="str">
        <f t="shared" si="89"/>
        <v>[ "Sears (Canada)", 45.3705308333333, -75.7700666666667, '613-729-2561', 'K2A 1H2'],</v>
      </c>
    </row>
    <row r="908" spans="1:7" x14ac:dyDescent="0.2">
      <c r="A908" t="s">
        <v>29</v>
      </c>
      <c r="B908" t="str">
        <f t="shared" si="84"/>
        <v>Staples</v>
      </c>
      <c r="C908" t="str">
        <f t="shared" si="85"/>
        <v>45.37061</v>
      </c>
      <c r="D908" t="str">
        <f t="shared" si="86"/>
        <v>-75.76937</v>
      </c>
      <c r="E908" t="str">
        <f t="shared" si="87"/>
        <v>613-729-4585</v>
      </c>
      <c r="F908" t="str">
        <f t="shared" si="88"/>
        <v>K2A 1H1</v>
      </c>
      <c r="G908" t="str">
        <f t="shared" si="89"/>
        <v>[ "Staples", 45.37061, -75.76937, '613-729-4585', 'K2A 1H1'],</v>
      </c>
    </row>
    <row r="909" spans="1:7" x14ac:dyDescent="0.2">
      <c r="A909" t="s">
        <v>30</v>
      </c>
      <c r="B909" t="str">
        <f t="shared" si="84"/>
        <v>The Source</v>
      </c>
      <c r="C909" t="str">
        <f t="shared" si="85"/>
        <v>45.3710585714286</v>
      </c>
      <c r="D909" t="str">
        <f t="shared" si="86"/>
        <v>-75.7688328571429</v>
      </c>
      <c r="E909" t="str">
        <f t="shared" si="87"/>
        <v>613-722-6052</v>
      </c>
      <c r="F909" t="str">
        <f t="shared" si="88"/>
        <v>K2A 1H2</v>
      </c>
      <c r="G909" t="str">
        <f t="shared" si="89"/>
        <v>[ "The Source", 45.3710585714286, -75.7688328571429, '613-722-6052', 'K2A 1H2'],</v>
      </c>
    </row>
    <row r="910" spans="1:7" x14ac:dyDescent="0.2">
      <c r="A910" t="s">
        <v>31</v>
      </c>
      <c r="B910" t="str">
        <f t="shared" si="84"/>
        <v>Best Buy</v>
      </c>
      <c r="C910" t="str">
        <f t="shared" si="85"/>
        <v>45.372818</v>
      </c>
      <c r="D910" t="str">
        <f t="shared" si="86"/>
        <v>-75.7679092</v>
      </c>
      <c r="E910" t="str">
        <f t="shared" si="87"/>
        <v>--</v>
      </c>
      <c r="F910" t="str">
        <f t="shared" si="88"/>
        <v>K2A 1H2</v>
      </c>
      <c r="G910" t="str">
        <f t="shared" si="89"/>
        <v>[ "Best Buy", 45.372818, -75.7679092, '--', 'K2A 1H2'],</v>
      </c>
    </row>
    <row r="911" spans="1:7" x14ac:dyDescent="0.2">
      <c r="A911" t="s">
        <v>32</v>
      </c>
      <c r="B911" t="str">
        <f t="shared" si="84"/>
        <v>Jean Coutu</v>
      </c>
      <c r="C911" t="str">
        <f t="shared" si="85"/>
        <v>45.39552</v>
      </c>
      <c r="D911" t="str">
        <f t="shared" si="86"/>
        <v>-75.83552</v>
      </c>
      <c r="E911" t="str">
        <f t="shared" si="87"/>
        <v>819-684-0006</v>
      </c>
      <c r="F911" t="str">
        <f t="shared" si="88"/>
        <v>J9H 6A6</v>
      </c>
      <c r="G911" t="str">
        <f t="shared" si="89"/>
        <v>[ "Jean Coutu", 45.39552, -75.83552, '819-684-0006', 'J9H 6A6'],</v>
      </c>
    </row>
    <row r="912" spans="1:7" x14ac:dyDescent="0.2">
      <c r="A912" t="s">
        <v>33</v>
      </c>
      <c r="B912" t="str">
        <f t="shared" si="84"/>
        <v>La Source</v>
      </c>
      <c r="C912" t="str">
        <f t="shared" si="85"/>
        <v>45.39552</v>
      </c>
      <c r="D912" t="str">
        <f t="shared" si="86"/>
        <v>-75.83552</v>
      </c>
      <c r="E912" t="str">
        <f t="shared" si="87"/>
        <v>819-684-1359</v>
      </c>
      <c r="F912" t="str">
        <f t="shared" si="88"/>
        <v>J9H 6A6</v>
      </c>
      <c r="G912" t="str">
        <f t="shared" si="89"/>
        <v>[ "La Source", 45.39552, -75.83552, '819-684-1359', 'J9H 6A6'],</v>
      </c>
    </row>
    <row r="913" spans="1:7" x14ac:dyDescent="0.2">
      <c r="A913" t="s">
        <v>0</v>
      </c>
      <c r="B913" t="str">
        <f t="shared" si="84"/>
        <v>Mountain Equipment Co-op</v>
      </c>
      <c r="C913" t="str">
        <f t="shared" si="85"/>
        <v>45.3915017200558</v>
      </c>
      <c r="D913" t="str">
        <f t="shared" si="86"/>
        <v>-75.755143747251</v>
      </c>
      <c r="E913" t="str">
        <f t="shared" si="87"/>
        <v>613-729-2700</v>
      </c>
      <c r="F913" t="str">
        <f t="shared" si="88"/>
        <v>K2A 0E8</v>
      </c>
      <c r="G913" t="str">
        <f t="shared" si="89"/>
        <v>[ "Mountain Equipment Co-op", 45.3915017200558, -75.755143747251, '613-729-2700', 'K2A 0E8'],</v>
      </c>
    </row>
    <row r="914" spans="1:7" x14ac:dyDescent="0.2">
      <c r="A914" t="s">
        <v>1</v>
      </c>
      <c r="B914" t="str">
        <f t="shared" si="84"/>
        <v>Manotick Home Hardware</v>
      </c>
      <c r="C914" t="str">
        <f t="shared" si="85"/>
        <v>45.2240975</v>
      </c>
      <c r="D914" t="str">
        <f t="shared" si="86"/>
        <v>-75.68488125</v>
      </c>
      <c r="E914" t="str">
        <f t="shared" si="87"/>
        <v>613-692-3591</v>
      </c>
      <c r="F914" t="str">
        <f t="shared" si="88"/>
        <v>K4M 1A8</v>
      </c>
      <c r="G914" t="str">
        <f t="shared" si="89"/>
        <v>[ "Manotick Home Hardware", 45.2240975, -75.68488125, '613-692-3591', 'K4M 1A8'],</v>
      </c>
    </row>
    <row r="915" spans="1:7" x14ac:dyDescent="0.2">
      <c r="A915" t="s">
        <v>2</v>
      </c>
      <c r="B915" t="str">
        <f t="shared" si="84"/>
        <v>RONA</v>
      </c>
      <c r="C915" t="str">
        <f t="shared" si="85"/>
        <v>45.4116065217391</v>
      </c>
      <c r="D915" t="str">
        <f t="shared" si="86"/>
        <v>-75.818777826087</v>
      </c>
      <c r="E915" t="str">
        <f t="shared" si="87"/>
        <v>819-684-3275</v>
      </c>
      <c r="F915" t="str">
        <f t="shared" si="88"/>
        <v>J9J 3M3</v>
      </c>
      <c r="G915" t="str">
        <f t="shared" si="89"/>
        <v>[ "RONA", 45.4116065217391, -75.818777826087, '819-684-3275', 'J9J 3M3'],</v>
      </c>
    </row>
    <row r="916" spans="1:7" x14ac:dyDescent="0.2">
      <c r="A916" t="s">
        <v>3</v>
      </c>
      <c r="B916" t="str">
        <f t="shared" si="84"/>
        <v>Pharmacie Brunet</v>
      </c>
      <c r="C916" t="str">
        <f t="shared" si="85"/>
        <v>45.411005</v>
      </c>
      <c r="D916" t="str">
        <f t="shared" si="86"/>
        <v>-75.839105</v>
      </c>
      <c r="E916" t="str">
        <f t="shared" si="87"/>
        <v>819-684-8222</v>
      </c>
      <c r="F916" t="str">
        <f t="shared" si="88"/>
        <v>J9J 1V2</v>
      </c>
      <c r="G916" t="str">
        <f t="shared" si="89"/>
        <v>[ "Pharmacie Brunet", 45.411005, -75.839105, '819-684-8222', 'J9J 1V2'],</v>
      </c>
    </row>
    <row r="917" spans="1:7" x14ac:dyDescent="0.2">
      <c r="A917" t="s">
        <v>34</v>
      </c>
      <c r="B917" t="str">
        <f t="shared" si="84"/>
        <v>ListenUp! Canada</v>
      </c>
      <c r="C917" t="str">
        <f t="shared" si="85"/>
        <v>45.3997827272727</v>
      </c>
      <c r="D917" t="str">
        <f t="shared" si="86"/>
        <v>-75.7320581818182</v>
      </c>
      <c r="E917" t="str">
        <f t="shared" si="87"/>
        <v>613-728-9170</v>
      </c>
      <c r="F917" t="str">
        <f t="shared" si="88"/>
        <v>K1Y 0X6</v>
      </c>
      <c r="G917" t="str">
        <f t="shared" si="89"/>
        <v>[ "ListenUp! Canada", 45.3997827272727, -75.7320581818182, '613-728-9170', 'K1Y 0X6'],</v>
      </c>
    </row>
    <row r="918" spans="1:7" x14ac:dyDescent="0.2">
      <c r="A918" t="s">
        <v>35</v>
      </c>
      <c r="B918" t="str">
        <f t="shared" si="84"/>
        <v>Jean Coutu</v>
      </c>
      <c r="C918" t="str">
        <f t="shared" si="85"/>
        <v>45.4199387682437</v>
      </c>
      <c r="D918" t="str">
        <f t="shared" si="86"/>
        <v>-75.8095308031074</v>
      </c>
      <c r="E918" t="str">
        <f t="shared" si="87"/>
        <v>819-682-0670</v>
      </c>
      <c r="F918" t="str">
        <f t="shared" si="88"/>
        <v>J9J 1Z4</v>
      </c>
      <c r="G918" t="str">
        <f t="shared" si="89"/>
        <v>[ "Jean Coutu", 45.4199387682437, -75.8095308031074, '819-682-0670', 'J9J 1Z4'],</v>
      </c>
    </row>
    <row r="919" spans="1:7" x14ac:dyDescent="0.2">
      <c r="A919" t="s">
        <v>36</v>
      </c>
      <c r="B919" t="str">
        <f t="shared" si="84"/>
        <v>The Source</v>
      </c>
      <c r="C919" t="str">
        <f t="shared" si="85"/>
        <v>45.3573151020408</v>
      </c>
      <c r="D919" t="str">
        <f t="shared" si="86"/>
        <v>-75.6538102040816</v>
      </c>
      <c r="E919" t="str">
        <f t="shared" si="87"/>
        <v>613-733-1891</v>
      </c>
      <c r="F919" t="str">
        <f t="shared" si="88"/>
        <v>K1V 1J5</v>
      </c>
      <c r="G919" t="str">
        <f t="shared" si="89"/>
        <v>[ "The Source", 45.3573151020408, -75.6538102040816, '613-733-1891', 'K1V 1J5'],</v>
      </c>
    </row>
    <row r="920" spans="1:7" x14ac:dyDescent="0.2">
      <c r="A920" t="s">
        <v>37</v>
      </c>
      <c r="B920" t="str">
        <f t="shared" si="84"/>
        <v>Staples</v>
      </c>
      <c r="C920" t="str">
        <f t="shared" si="85"/>
        <v>45.3573151020408</v>
      </c>
      <c r="D920" t="str">
        <f t="shared" si="86"/>
        <v>-75.6538102040816</v>
      </c>
      <c r="E920" t="str">
        <f t="shared" si="87"/>
        <v>613-521-3030</v>
      </c>
      <c r="F920" t="str">
        <f t="shared" si="88"/>
        <v>K1V 1J5</v>
      </c>
      <c r="G920" t="str">
        <f t="shared" si="89"/>
        <v>[ "Staples", 45.3573151020408, -75.6538102040816, '613-521-3030', 'K1V 1J5'],</v>
      </c>
    </row>
    <row r="921" spans="1:7" x14ac:dyDescent="0.2">
      <c r="A921" t="s">
        <v>38</v>
      </c>
      <c r="B921" t="str">
        <f t="shared" si="84"/>
        <v>Home Depot</v>
      </c>
      <c r="C921" t="str">
        <f t="shared" si="85"/>
        <v>45.3633490771332</v>
      </c>
      <c r="D921" t="str">
        <f t="shared" si="86"/>
        <v>-75.658896395124</v>
      </c>
      <c r="E921" t="str">
        <f t="shared" si="87"/>
        <v>613-739-5300</v>
      </c>
      <c r="F921" t="str">
        <f t="shared" si="88"/>
        <v>K1V 7Z8</v>
      </c>
      <c r="G921" t="str">
        <f t="shared" si="89"/>
        <v>[ "Home Depot", 45.3633490771332, -75.658896395124, '613-739-5300', 'K1V 7Z8'],</v>
      </c>
    </row>
    <row r="922" spans="1:7" x14ac:dyDescent="0.2">
      <c r="A922" t="s">
        <v>39</v>
      </c>
      <c r="B922" t="str">
        <f t="shared" si="84"/>
        <v>ListenUp! Canada</v>
      </c>
      <c r="C922" t="str">
        <f t="shared" si="85"/>
        <v>45.3539</v>
      </c>
      <c r="D922" t="str">
        <f t="shared" si="86"/>
        <v>-75.64844</v>
      </c>
      <c r="E922" t="str">
        <f t="shared" si="87"/>
        <v>613-521-0904</v>
      </c>
      <c r="F922" t="str">
        <f t="shared" si="88"/>
        <v>K1V 0T7</v>
      </c>
      <c r="G922" t="str">
        <f t="shared" si="89"/>
        <v>[ "ListenUp! Canada", 45.3539, -75.64844, '613-521-0904', 'K1V 0T7'],</v>
      </c>
    </row>
    <row r="923" spans="1:7" x14ac:dyDescent="0.2">
      <c r="A923" t="s">
        <v>40</v>
      </c>
      <c r="B923" t="str">
        <f t="shared" si="84"/>
        <v>The Source</v>
      </c>
      <c r="C923" t="str">
        <f t="shared" si="85"/>
        <v>45.386778716225</v>
      </c>
      <c r="D923" t="str">
        <f t="shared" si="86"/>
        <v>-75.6796023225593</v>
      </c>
      <c r="E923" t="str">
        <f t="shared" si="87"/>
        <v>613-737-1079</v>
      </c>
      <c r="F923" t="str">
        <f t="shared" si="88"/>
        <v>K1H 8K2</v>
      </c>
      <c r="G923" t="str">
        <f t="shared" si="89"/>
        <v>[ "The Source", 45.386778716225, -75.6796023225593, '613-737-1079', 'K1H 8K2'],</v>
      </c>
    </row>
    <row r="924" spans="1:7" x14ac:dyDescent="0.2">
      <c r="A924" t="s">
        <v>41</v>
      </c>
      <c r="B924" t="str">
        <f t="shared" si="84"/>
        <v>The Source</v>
      </c>
      <c r="C924" t="str">
        <f t="shared" si="85"/>
        <v>45.3996469</v>
      </c>
      <c r="D924" t="str">
        <f t="shared" si="86"/>
        <v>-75.6837603</v>
      </c>
      <c r="E924" t="str">
        <f t="shared" si="87"/>
        <v>613-565-4808</v>
      </c>
      <c r="F924" t="str">
        <f t="shared" si="88"/>
        <v>K1S 5J3</v>
      </c>
      <c r="G924" t="str">
        <f t="shared" si="89"/>
        <v>[ "The Source", 45.3996469, -75.6837603, '613-565-4808', 'K1S 5J3'],</v>
      </c>
    </row>
    <row r="925" spans="1:7" x14ac:dyDescent="0.2">
      <c r="A925" t="s">
        <v>42</v>
      </c>
      <c r="B925" t="str">
        <f t="shared" si="84"/>
        <v>La Source</v>
      </c>
      <c r="C925" t="str">
        <f t="shared" si="85"/>
        <v>45.43336</v>
      </c>
      <c r="D925" t="str">
        <f t="shared" si="86"/>
        <v>-75.78517</v>
      </c>
      <c r="E925" t="str">
        <f t="shared" si="87"/>
        <v>819-772-4751</v>
      </c>
      <c r="F925" t="str">
        <f t="shared" si="88"/>
        <v>J9A 3G1</v>
      </c>
      <c r="G925" t="str">
        <f t="shared" si="89"/>
        <v>[ "La Source", 45.43336, -75.78517, '819-772-4751', 'J9A 3G1'],</v>
      </c>
    </row>
    <row r="926" spans="1:7" x14ac:dyDescent="0.2">
      <c r="A926" t="s">
        <v>43</v>
      </c>
      <c r="B926" t="str">
        <f t="shared" si="84"/>
        <v>Canadian Tire</v>
      </c>
      <c r="C926" t="str">
        <f t="shared" si="85"/>
        <v>45.433308</v>
      </c>
      <c r="D926" t="str">
        <f t="shared" si="86"/>
        <v>-75.779701</v>
      </c>
      <c r="E926" t="str">
        <f t="shared" si="87"/>
        <v>819-684-0660</v>
      </c>
      <c r="F926" t="str">
        <f t="shared" si="88"/>
        <v>J9A 0C7</v>
      </c>
      <c r="G926" t="str">
        <f t="shared" si="89"/>
        <v>[ "Canadian Tire", 45.433308, -75.779701, '819-684-0660', 'J9A 0C7'],</v>
      </c>
    </row>
    <row r="927" spans="1:7" x14ac:dyDescent="0.2">
      <c r="A927" t="s">
        <v>44</v>
      </c>
      <c r="B927" t="str">
        <f t="shared" si="84"/>
        <v>Jean Coutu</v>
      </c>
      <c r="C927" t="str">
        <f t="shared" si="85"/>
        <v>45.4350193869702</v>
      </c>
      <c r="D927" t="str">
        <f t="shared" si="86"/>
        <v>-75.7807949680794</v>
      </c>
      <c r="E927" t="str">
        <f t="shared" si="87"/>
        <v>819-771-4515</v>
      </c>
      <c r="F927" t="str">
        <f t="shared" si="88"/>
        <v>J9A 0N4</v>
      </c>
      <c r="G927" t="str">
        <f t="shared" si="89"/>
        <v>[ "Jean Coutu", 45.4350193869702, -75.7807949680794, '819-771-4515', 'J9A 0N4'],</v>
      </c>
    </row>
    <row r="928" spans="1:7" x14ac:dyDescent="0.2">
      <c r="A928" t="s">
        <v>45</v>
      </c>
      <c r="B928" t="str">
        <f t="shared" si="84"/>
        <v>ListenUp! Canada</v>
      </c>
      <c r="C928" t="str">
        <f t="shared" si="85"/>
        <v>45.4109122222222</v>
      </c>
      <c r="D928" t="str">
        <f t="shared" si="86"/>
        <v>-75.6928911111111</v>
      </c>
      <c r="E928" t="str">
        <f t="shared" si="87"/>
        <v>613-238-6839</v>
      </c>
      <c r="F928" t="str">
        <f t="shared" si="88"/>
        <v>K2P 1Z2</v>
      </c>
      <c r="G928" t="str">
        <f t="shared" si="89"/>
        <v>[ "ListenUp! Canada", 45.4109122222222, -75.6928911111111, '613-238-6839', 'K2P 1Z2'],</v>
      </c>
    </row>
    <row r="929" spans="1:7" x14ac:dyDescent="0.2">
      <c r="A929" t="s">
        <v>46</v>
      </c>
      <c r="B929" t="str">
        <f t="shared" si="84"/>
        <v>RONA</v>
      </c>
      <c r="C929" t="str">
        <f t="shared" si="85"/>
        <v>45.4357610482227</v>
      </c>
      <c r="D929" t="str">
        <f t="shared" si="86"/>
        <v>-75.7778724318387</v>
      </c>
      <c r="E929" t="str">
        <f t="shared" si="87"/>
        <v>819-776-3400</v>
      </c>
      <c r="F929" t="str">
        <f t="shared" si="88"/>
        <v>J9A 3G1</v>
      </c>
      <c r="G929" t="str">
        <f t="shared" si="89"/>
        <v>[ "RONA", 45.4357610482227, -75.7778724318387, '819-776-3400', 'J9A 3G1'],</v>
      </c>
    </row>
    <row r="930" spans="1:7" x14ac:dyDescent="0.2">
      <c r="A930" t="s">
        <v>47</v>
      </c>
      <c r="B930" t="str">
        <f t="shared" si="84"/>
        <v>Staples</v>
      </c>
      <c r="C930" t="str">
        <f t="shared" si="85"/>
        <v>45.4130966666667</v>
      </c>
      <c r="D930" t="str">
        <f t="shared" si="86"/>
        <v>-75.6944033333333</v>
      </c>
      <c r="E930" t="str">
        <f t="shared" si="87"/>
        <v>613-235-2525</v>
      </c>
      <c r="F930" t="str">
        <f t="shared" si="88"/>
        <v>K2P 1Y6</v>
      </c>
      <c r="G930" t="str">
        <f t="shared" si="89"/>
        <v>[ "Staples", 45.4130966666667, -75.6944033333333, '613-235-2525', 'K2P 1Y6'],</v>
      </c>
    </row>
    <row r="931" spans="1:7" x14ac:dyDescent="0.2">
      <c r="A931" t="s">
        <v>48</v>
      </c>
      <c r="B931" t="str">
        <f t="shared" si="84"/>
        <v>Bureau en Gros</v>
      </c>
      <c r="C931" t="str">
        <f t="shared" si="85"/>
        <v>45.4360653869305</v>
      </c>
      <c r="D931" t="str">
        <f t="shared" si="86"/>
        <v>-75.7730653768985</v>
      </c>
      <c r="E931" t="str">
        <f t="shared" si="87"/>
        <v>819-770-2332</v>
      </c>
      <c r="F931" t="str">
        <f t="shared" si="88"/>
        <v>J9A 3G1</v>
      </c>
      <c r="G931" t="str">
        <f t="shared" si="89"/>
        <v>[ "Bureau en Gros", 45.4360653869305, -75.7730653768985, '819-770-2332', 'J9A 3G1'],</v>
      </c>
    </row>
    <row r="932" spans="1:7" x14ac:dyDescent="0.2">
      <c r="A932" t="s">
        <v>49</v>
      </c>
      <c r="B932" t="str">
        <f t="shared" si="84"/>
        <v>Henrys</v>
      </c>
      <c r="C932" t="str">
        <f t="shared" si="85"/>
        <v>45.4158166666667</v>
      </c>
      <c r="D932" t="str">
        <f t="shared" si="86"/>
        <v>-75.6967733333333</v>
      </c>
      <c r="E932" t="str">
        <f t="shared" si="87"/>
        <v>613-232-5368</v>
      </c>
      <c r="F932" t="str">
        <f t="shared" si="88"/>
        <v>K2P 1X5</v>
      </c>
      <c r="G932" t="str">
        <f t="shared" si="89"/>
        <v>[ "Henrys", 45.4158166666667, -75.6967733333333, '613-232-5368', 'K2P 1X5'],</v>
      </c>
    </row>
    <row r="933" spans="1:7" x14ac:dyDescent="0.2">
      <c r="A933" t="s">
        <v>894</v>
      </c>
      <c r="B933" t="str">
        <f t="shared" si="84"/>
        <v>Jean Coutu</v>
      </c>
      <c r="C933" t="str">
        <f t="shared" si="85"/>
        <v>45.32124</v>
      </c>
      <c r="D933" t="str">
        <f t="shared" si="86"/>
        <v>-75.10929</v>
      </c>
      <c r="E933" t="str">
        <f t="shared" si="87"/>
        <v>613-764-5455</v>
      </c>
      <c r="F933" t="str">
        <f t="shared" si="88"/>
        <v>K0A 1M0</v>
      </c>
      <c r="G933" t="str">
        <f t="shared" si="89"/>
        <v>[ "Jean Coutu", 45.32124, -75.10929, '613-764-5455', 'K0A 1M0'],</v>
      </c>
    </row>
    <row r="934" spans="1:7" x14ac:dyDescent="0.2">
      <c r="A934" t="s">
        <v>895</v>
      </c>
      <c r="B934" t="str">
        <f t="shared" si="84"/>
        <v>Canadian Tire</v>
      </c>
      <c r="C934" t="str">
        <f t="shared" si="85"/>
        <v>45.3048483</v>
      </c>
      <c r="D934" t="str">
        <f t="shared" si="86"/>
        <v>-75.0842176</v>
      </c>
      <c r="E934" t="str">
        <f t="shared" si="87"/>
        <v>613-764-0401</v>
      </c>
      <c r="F934" t="str">
        <f t="shared" si="88"/>
        <v>K0A 1M0</v>
      </c>
      <c r="G934" t="str">
        <f t="shared" si="89"/>
        <v>[ "Canadian Tire", 45.3048483, -75.0842176, '613-764-0401', 'K0A 1M0'],</v>
      </c>
    </row>
    <row r="935" spans="1:7" x14ac:dyDescent="0.2">
      <c r="A935" t="s">
        <v>896</v>
      </c>
      <c r="B935" t="str">
        <f t="shared" si="84"/>
        <v>The Source</v>
      </c>
      <c r="C935" t="str">
        <f t="shared" si="85"/>
        <v>45.30585</v>
      </c>
      <c r="D935" t="str">
        <f t="shared" si="86"/>
        <v>-75.08342</v>
      </c>
      <c r="E935" t="str">
        <f t="shared" si="87"/>
        <v>613-764-2023</v>
      </c>
      <c r="F935" t="str">
        <f t="shared" si="88"/>
        <v>K0A 1M0</v>
      </c>
      <c r="G935" t="str">
        <f t="shared" si="89"/>
        <v>[ "The Source", 45.30585, -75.08342, '613-764-2023', 'K0A 1M0'],</v>
      </c>
    </row>
    <row r="936" spans="1:7" x14ac:dyDescent="0.2">
      <c r="A936" t="s">
        <v>897</v>
      </c>
      <c r="B936" t="str">
        <f t="shared" si="84"/>
        <v>The Source</v>
      </c>
      <c r="C936" t="str">
        <f t="shared" si="85"/>
        <v>45.26869</v>
      </c>
      <c r="D936" t="str">
        <f t="shared" si="86"/>
        <v>-75.29589</v>
      </c>
      <c r="E936" t="str">
        <f t="shared" si="87"/>
        <v>613-443-5642</v>
      </c>
      <c r="F936" t="str">
        <f t="shared" si="88"/>
        <v>K0A 1W1</v>
      </c>
      <c r="G936" t="str">
        <f t="shared" si="89"/>
        <v>[ "The Source", 45.26869, -75.29589, '613-443-5642', 'K0A 1W1'],</v>
      </c>
    </row>
    <row r="937" spans="1:7" x14ac:dyDescent="0.2">
      <c r="A937" t="s">
        <v>898</v>
      </c>
      <c r="B937" t="str">
        <f t="shared" si="84"/>
        <v>Township of Russell</v>
      </c>
      <c r="C937" t="str">
        <f t="shared" si="85"/>
        <v>45.2672597504255</v>
      </c>
      <c r="D937" t="str">
        <f t="shared" si="86"/>
        <v>-75.3059172717022</v>
      </c>
      <c r="E937" t="str">
        <f t="shared" si="87"/>
        <v>613-443-3066</v>
      </c>
      <c r="F937" t="str">
        <f t="shared" si="88"/>
        <v>K0A 1W1</v>
      </c>
      <c r="G937" t="str">
        <f t="shared" si="89"/>
        <v>[ "Township of Russell", 45.2672597504255, -75.3059172717022, '613-443-3066', 'K0A 1W1'],</v>
      </c>
    </row>
    <row r="938" spans="1:7" x14ac:dyDescent="0.2">
      <c r="A938" t="s">
        <v>899</v>
      </c>
      <c r="B938" t="str">
        <f t="shared" si="84"/>
        <v>Barrys Home Hardware</v>
      </c>
      <c r="C938" t="str">
        <f t="shared" si="85"/>
        <v>45.25691</v>
      </c>
      <c r="D938" t="str">
        <f t="shared" si="86"/>
        <v>-75.3704</v>
      </c>
      <c r="E938" t="str">
        <f t="shared" si="87"/>
        <v>613-445-2171</v>
      </c>
      <c r="F938" t="str">
        <f t="shared" si="88"/>
        <v>K4R 1A1</v>
      </c>
      <c r="G938" t="str">
        <f t="shared" si="89"/>
        <v>[ "Barrys Home Hardware", 45.25691, -75.3704, '613-445-2171', 'K4R 1A1'],</v>
      </c>
    </row>
    <row r="939" spans="1:7" x14ac:dyDescent="0.2">
      <c r="A939" t="s">
        <v>900</v>
      </c>
      <c r="B939" t="str">
        <f t="shared" si="84"/>
        <v>The Nation Municipality</v>
      </c>
      <c r="C939" t="str">
        <f t="shared" si="85"/>
        <v>45.4316955</v>
      </c>
      <c r="D939" t="str">
        <f t="shared" si="86"/>
        <v>-74.9317283</v>
      </c>
      <c r="E939" t="str">
        <f t="shared" si="87"/>
        <v>613-223-4855</v>
      </c>
      <c r="F939" t="str">
        <f t="shared" si="88"/>
        <v>K0B 1G0</v>
      </c>
      <c r="G939" t="str">
        <f t="shared" si="89"/>
        <v>[ "The Nation Municipality", 45.4316955, -74.9317283, '613-223-4855', 'K0B 1G0'],</v>
      </c>
    </row>
    <row r="940" spans="1:7" x14ac:dyDescent="0.2">
      <c r="A940" t="s">
        <v>901</v>
      </c>
      <c r="B940" t="str">
        <f t="shared" si="84"/>
        <v>Canadian Tire</v>
      </c>
      <c r="C940" t="str">
        <f t="shared" si="85"/>
        <v>45.5252195</v>
      </c>
      <c r="D940" t="str">
        <f t="shared" si="86"/>
        <v>-75.3334153</v>
      </c>
      <c r="E940" t="str">
        <f t="shared" si="87"/>
        <v>613-446-4410</v>
      </c>
      <c r="F940" t="str">
        <f t="shared" si="88"/>
        <v>K4C 1R7</v>
      </c>
      <c r="G940" t="str">
        <f t="shared" si="89"/>
        <v>[ "Canadian Tire", 45.5252195, -75.3334153, '613-446-4410', 'K4C 1R7'],</v>
      </c>
    </row>
    <row r="941" spans="1:7" x14ac:dyDescent="0.2">
      <c r="A941" t="s">
        <v>903</v>
      </c>
      <c r="B941" t="str">
        <f t="shared" si="84"/>
        <v>The Source</v>
      </c>
      <c r="C941" t="str">
        <f t="shared" si="85"/>
        <v>45.30585</v>
      </c>
      <c r="D941" t="str">
        <f t="shared" si="86"/>
        <v>-75.08342</v>
      </c>
      <c r="E941" t="str">
        <f t="shared" si="87"/>
        <v>613-764-2023</v>
      </c>
      <c r="F941" t="str">
        <f t="shared" si="88"/>
        <v>K0A 1M0</v>
      </c>
      <c r="G941" t="str">
        <f t="shared" si="89"/>
        <v>[ "The Source", 45.30585, -75.08342, '613-764-2023', 'K0A 1M0'],</v>
      </c>
    </row>
    <row r="942" spans="1:7" x14ac:dyDescent="0.2">
      <c r="A942" t="s">
        <v>904</v>
      </c>
      <c r="B942" t="str">
        <f t="shared" si="84"/>
        <v>Canadian Tire</v>
      </c>
      <c r="C942" t="str">
        <f t="shared" si="85"/>
        <v>45.3048483</v>
      </c>
      <c r="D942" t="str">
        <f t="shared" si="86"/>
        <v>-75.0842176</v>
      </c>
      <c r="E942" t="str">
        <f t="shared" si="87"/>
        <v>613-764-0401</v>
      </c>
      <c r="F942" t="str">
        <f t="shared" si="88"/>
        <v>K0A 1M0</v>
      </c>
      <c r="G942" t="str">
        <f t="shared" si="89"/>
        <v>[ "Canadian Tire", 45.3048483, -75.0842176, '613-764-0401', 'K0A 1M0'],</v>
      </c>
    </row>
    <row r="943" spans="1:7" x14ac:dyDescent="0.2">
      <c r="A943" t="s">
        <v>905</v>
      </c>
      <c r="B943" t="str">
        <f t="shared" si="84"/>
        <v>Jean Coutu</v>
      </c>
      <c r="C943" t="str">
        <f t="shared" si="85"/>
        <v>45.32124</v>
      </c>
      <c r="D943" t="str">
        <f t="shared" si="86"/>
        <v>-75.10929</v>
      </c>
      <c r="E943" t="str">
        <f t="shared" si="87"/>
        <v>613-764-5455</v>
      </c>
      <c r="F943" t="str">
        <f t="shared" si="88"/>
        <v>K0A 1M0</v>
      </c>
      <c r="G943" t="str">
        <f t="shared" si="89"/>
        <v>[ "Jean Coutu", 45.32124, -75.10929, '613-764-5455', 'K0A 1M0'],</v>
      </c>
    </row>
    <row r="944" spans="1:7" x14ac:dyDescent="0.2">
      <c r="A944" t="s">
        <v>906</v>
      </c>
      <c r="B944" t="str">
        <f t="shared" si="84"/>
        <v>The Nation Municipality</v>
      </c>
      <c r="C944" t="str">
        <f t="shared" si="85"/>
        <v>45.4316955</v>
      </c>
      <c r="D944" t="str">
        <f t="shared" si="86"/>
        <v>-74.9317283</v>
      </c>
      <c r="E944" t="str">
        <f t="shared" si="87"/>
        <v>613-223-4855</v>
      </c>
      <c r="F944" t="str">
        <f t="shared" si="88"/>
        <v>K0B 1G0</v>
      </c>
      <c r="G944" t="str">
        <f t="shared" si="89"/>
        <v>[ "The Nation Municipality", 45.4316955, -74.9317283, '613-223-4855', 'K0B 1G0'],</v>
      </c>
    </row>
    <row r="945" spans="1:7" x14ac:dyDescent="0.2">
      <c r="A945" t="s">
        <v>908</v>
      </c>
      <c r="B945" t="str">
        <f t="shared" si="84"/>
        <v>G&amp;S Tech-Tronics</v>
      </c>
      <c r="C945" t="str">
        <f t="shared" si="85"/>
        <v>45.30137</v>
      </c>
      <c r="D945" t="str">
        <f t="shared" si="86"/>
        <v>-74.62865</v>
      </c>
      <c r="E945" t="str">
        <f t="shared" si="87"/>
        <v>613-525-3852</v>
      </c>
      <c r="F945" t="str">
        <f t="shared" si="88"/>
        <v>K0C 1A0</v>
      </c>
      <c r="G945" t="str">
        <f t="shared" si="89"/>
        <v>[ "G&amp;S Tech-Tronics", 45.30137, -74.62865, '613-525-3852', 'K0C 1A0'],</v>
      </c>
    </row>
    <row r="946" spans="1:7" x14ac:dyDescent="0.2">
      <c r="A946" t="s">
        <v>909</v>
      </c>
      <c r="B946" t="str">
        <f t="shared" si="84"/>
        <v>The Nation Municipality</v>
      </c>
      <c r="C946" t="str">
        <f t="shared" si="85"/>
        <v>45.4316955</v>
      </c>
      <c r="D946" t="str">
        <f t="shared" si="86"/>
        <v>-74.9317283</v>
      </c>
      <c r="E946" t="str">
        <f t="shared" si="87"/>
        <v>613-223-4855</v>
      </c>
      <c r="F946" t="str">
        <f t="shared" si="88"/>
        <v>K0B 1G0</v>
      </c>
      <c r="G946" t="str">
        <f t="shared" si="89"/>
        <v>[ "The Nation Municipality", 45.4316955, -74.9317283, '613-223-4855', 'K0B 1G0'],</v>
      </c>
    </row>
    <row r="947" spans="1:7" x14ac:dyDescent="0.2">
      <c r="A947" t="s">
        <v>911</v>
      </c>
      <c r="B947" t="str">
        <f t="shared" si="84"/>
        <v>Home Depot</v>
      </c>
      <c r="C947" t="str">
        <f t="shared" si="85"/>
        <v>45.0379267646816</v>
      </c>
      <c r="D947" t="str">
        <f t="shared" si="86"/>
        <v>-74.7607134190964</v>
      </c>
      <c r="E947" t="str">
        <f t="shared" si="87"/>
        <v>613-930-4470</v>
      </c>
      <c r="F947" t="str">
        <f t="shared" si="88"/>
        <v>K6J 5X7</v>
      </c>
      <c r="G947" t="str">
        <f t="shared" si="89"/>
        <v>[ "Home Depot", 45.0379267646816, -74.7607134190964, '613-930-4470', 'K6J 5X7'],</v>
      </c>
    </row>
    <row r="948" spans="1:7" x14ac:dyDescent="0.2">
      <c r="A948" t="s">
        <v>912</v>
      </c>
      <c r="B948" t="str">
        <f t="shared" si="84"/>
        <v>City of Cornwall Depot</v>
      </c>
      <c r="C948" t="str">
        <f t="shared" si="85"/>
        <v>45.0381247435396</v>
      </c>
      <c r="D948" t="str">
        <f t="shared" si="86"/>
        <v>-74.8168842447786</v>
      </c>
      <c r="E948" t="str">
        <f t="shared" si="87"/>
        <v>613-930-2787</v>
      </c>
      <c r="F948" t="str">
        <f t="shared" si="88"/>
        <v>K0C 1P0</v>
      </c>
      <c r="G948" t="str">
        <f t="shared" si="89"/>
        <v>[ "City of Cornwall Depot", 45.0381247435396, -74.8168842447786, '613-930-2787', 'K0C 1P0'],</v>
      </c>
    </row>
    <row r="949" spans="1:7" x14ac:dyDescent="0.2">
      <c r="A949" t="s">
        <v>913</v>
      </c>
      <c r="B949" t="str">
        <f t="shared" si="84"/>
        <v>RONA</v>
      </c>
      <c r="C949" t="str">
        <f t="shared" si="85"/>
        <v>45.03381</v>
      </c>
      <c r="D949" t="str">
        <f t="shared" si="86"/>
        <v>-74.71658</v>
      </c>
      <c r="E949" t="str">
        <f t="shared" si="87"/>
        <v>613-938-3300</v>
      </c>
      <c r="F949" t="str">
        <f t="shared" si="88"/>
        <v>K6H 2W8</v>
      </c>
      <c r="G949" t="str">
        <f t="shared" si="89"/>
        <v>[ "RONA", 45.03381, -74.71658, '613-938-3300', 'K6H 2W8'],</v>
      </c>
    </row>
    <row r="950" spans="1:7" x14ac:dyDescent="0.2">
      <c r="A950" t="s">
        <v>914</v>
      </c>
      <c r="B950" t="str">
        <f t="shared" si="84"/>
        <v>Staples</v>
      </c>
      <c r="C950" t="str">
        <f t="shared" si="85"/>
        <v>45.0287936</v>
      </c>
      <c r="D950" t="str">
        <f t="shared" si="86"/>
        <v>-74.7346015</v>
      </c>
      <c r="E950" t="str">
        <f t="shared" si="87"/>
        <v>613-936-6952</v>
      </c>
      <c r="F950" t="str">
        <f t="shared" si="88"/>
        <v>K6H 6R3</v>
      </c>
      <c r="G950" t="str">
        <f t="shared" si="89"/>
        <v>[ "Staples", 45.0287936, -74.7346015, '613-936-6952', 'K6H 6R3'],</v>
      </c>
    </row>
    <row r="951" spans="1:7" x14ac:dyDescent="0.2">
      <c r="A951" t="s">
        <v>915</v>
      </c>
      <c r="B951" t="str">
        <f t="shared" si="84"/>
        <v>ListenUp! Canada</v>
      </c>
      <c r="C951" t="str">
        <f t="shared" si="85"/>
        <v>45.0199628571429</v>
      </c>
      <c r="D951" t="str">
        <f t="shared" si="86"/>
        <v>-74.7296728571429</v>
      </c>
      <c r="E951" t="str">
        <f t="shared" si="87"/>
        <v>613-937-0519</v>
      </c>
      <c r="F951" t="str">
        <f t="shared" si="88"/>
        <v>K6J 3R1</v>
      </c>
      <c r="G951" t="str">
        <f t="shared" si="89"/>
        <v>[ "ListenUp! Canada", 45.0199628571429, -74.7296728571429, '613-937-0519', 'K6J 3R1'],</v>
      </c>
    </row>
    <row r="952" spans="1:7" x14ac:dyDescent="0.2">
      <c r="A952" t="s">
        <v>916</v>
      </c>
      <c r="B952" t="str">
        <f t="shared" si="84"/>
        <v>G&amp;S Tech-Tronics</v>
      </c>
      <c r="C952" t="str">
        <f t="shared" si="85"/>
        <v>45.30137</v>
      </c>
      <c r="D952" t="str">
        <f t="shared" si="86"/>
        <v>-74.62865</v>
      </c>
      <c r="E952" t="str">
        <f t="shared" si="87"/>
        <v>613-525-3852</v>
      </c>
      <c r="F952" t="str">
        <f t="shared" si="88"/>
        <v>K0C 1A0</v>
      </c>
      <c r="G952" t="str">
        <f t="shared" si="89"/>
        <v>[ "G&amp;S Tech-Tronics", 45.30137, -74.62865, '613-525-3852', 'K0C 1A0'],</v>
      </c>
    </row>
    <row r="953" spans="1:7" x14ac:dyDescent="0.2">
      <c r="A953" t="s">
        <v>918</v>
      </c>
      <c r="B953" t="str">
        <f t="shared" si="84"/>
        <v>City of Cornwall Depot</v>
      </c>
      <c r="C953" t="str">
        <f t="shared" si="85"/>
        <v>45.0381247435396</v>
      </c>
      <c r="D953" t="str">
        <f t="shared" si="86"/>
        <v>-74.8168842447786</v>
      </c>
      <c r="E953" t="str">
        <f t="shared" si="87"/>
        <v>613-930-2787</v>
      </c>
      <c r="F953" t="str">
        <f t="shared" si="88"/>
        <v>K0C 1P0</v>
      </c>
      <c r="G953" t="str">
        <f t="shared" si="89"/>
        <v>[ "City of Cornwall Depot", 45.0381247435396, -74.8168842447786, '613-930-2787', 'K0C 1P0'],</v>
      </c>
    </row>
    <row r="954" spans="1:7" x14ac:dyDescent="0.2">
      <c r="A954" t="s">
        <v>919</v>
      </c>
      <c r="B954" t="str">
        <f t="shared" si="84"/>
        <v>W.L.SMITH HARDWARE</v>
      </c>
      <c r="C954" t="str">
        <f t="shared" si="85"/>
        <v>44.9298593573576</v>
      </c>
      <c r="D954" t="str">
        <f t="shared" si="86"/>
        <v>-74.8905959717505</v>
      </c>
      <c r="E954" t="str">
        <f t="shared" si="87"/>
        <v>315-769-2408</v>
      </c>
      <c r="F954" t="str">
        <f t="shared" si="88"/>
        <v>13662</v>
      </c>
      <c r="G954" t="str">
        <f t="shared" si="89"/>
        <v>[ "W.L.SMITH HARDWARE", 44.9298593573576, -74.8905959717505, '315-769-2408', '13662'],</v>
      </c>
    </row>
    <row r="955" spans="1:7" x14ac:dyDescent="0.2">
      <c r="A955" t="s">
        <v>920</v>
      </c>
      <c r="B955" t="str">
        <f t="shared" si="84"/>
        <v>Home Depot</v>
      </c>
      <c r="C955" t="str">
        <f t="shared" si="85"/>
        <v>45.0379267646816</v>
      </c>
      <c r="D955" t="str">
        <f t="shared" si="86"/>
        <v>-74.7607134190964</v>
      </c>
      <c r="E955" t="str">
        <f t="shared" si="87"/>
        <v>613-930-4470</v>
      </c>
      <c r="F955" t="str">
        <f t="shared" si="88"/>
        <v>K6J 5X7</v>
      </c>
      <c r="G955" t="str">
        <f t="shared" si="89"/>
        <v>[ "Home Depot", 45.0379267646816, -74.7607134190964, '613-930-4470', 'K6J 5X7'],</v>
      </c>
    </row>
    <row r="956" spans="1:7" x14ac:dyDescent="0.2">
      <c r="A956" t="s">
        <v>921</v>
      </c>
      <c r="B956" t="str">
        <f t="shared" si="84"/>
        <v>The Home Depot</v>
      </c>
      <c r="C956" t="str">
        <f t="shared" si="85"/>
        <v>44.9258016326531</v>
      </c>
      <c r="D956" t="str">
        <f t="shared" si="86"/>
        <v>-74.8749063265306</v>
      </c>
      <c r="E956" t="str">
        <f t="shared" si="87"/>
        <v>315-764-9930</v>
      </c>
      <c r="F956" t="str">
        <f t="shared" si="88"/>
        <v>13662</v>
      </c>
      <c r="G956" t="str">
        <f t="shared" si="89"/>
        <v>[ "The Home Depot", 44.9258016326531, -74.8749063265306, '315-764-9930', '13662'],</v>
      </c>
    </row>
    <row r="957" spans="1:7" x14ac:dyDescent="0.2">
      <c r="A957" t="s">
        <v>922</v>
      </c>
      <c r="B957" t="str">
        <f t="shared" si="84"/>
        <v>Staples</v>
      </c>
      <c r="C957" t="str">
        <f t="shared" si="85"/>
        <v>45.0287936</v>
      </c>
      <c r="D957" t="str">
        <f t="shared" si="86"/>
        <v>-74.7346015</v>
      </c>
      <c r="E957" t="str">
        <f t="shared" si="87"/>
        <v>613-936-6952</v>
      </c>
      <c r="F957" t="str">
        <f t="shared" si="88"/>
        <v>K6H 6R3</v>
      </c>
      <c r="G957" t="str">
        <f t="shared" si="89"/>
        <v>[ "Staples", 45.0287936, -74.7346015, '613-936-6952', 'K6H 6R3'],</v>
      </c>
    </row>
    <row r="958" spans="1:7" x14ac:dyDescent="0.2">
      <c r="A958" t="s">
        <v>923</v>
      </c>
      <c r="B958" t="str">
        <f t="shared" si="84"/>
        <v>ListenUp! Canada</v>
      </c>
      <c r="C958" t="str">
        <f t="shared" si="85"/>
        <v>45.0199628571429</v>
      </c>
      <c r="D958" t="str">
        <f t="shared" si="86"/>
        <v>-74.7296728571429</v>
      </c>
      <c r="E958" t="str">
        <f t="shared" si="87"/>
        <v>613-937-0519</v>
      </c>
      <c r="F958" t="str">
        <f t="shared" si="88"/>
        <v>K6J 3R1</v>
      </c>
      <c r="G958" t="str">
        <f t="shared" si="89"/>
        <v>[ "ListenUp! Canada", 45.0199628571429, -74.7296728571429, '613-937-0519', 'K6J 3R1'],</v>
      </c>
    </row>
    <row r="959" spans="1:7" x14ac:dyDescent="0.2">
      <c r="A959" t="s">
        <v>924</v>
      </c>
      <c r="B959" t="str">
        <f t="shared" si="84"/>
        <v>Massena Transfer Station</v>
      </c>
      <c r="C959" t="str">
        <f t="shared" si="85"/>
        <v>44.896373301664</v>
      </c>
      <c r="D959" t="str">
        <f t="shared" si="86"/>
        <v>-74.879431337665</v>
      </c>
      <c r="E959" t="str">
        <f t="shared" si="87"/>
        <v>315-764-7312</v>
      </c>
      <c r="F959" t="str">
        <f t="shared" si="88"/>
        <v>13662</v>
      </c>
      <c r="G959" t="str">
        <f t="shared" si="89"/>
        <v>[ "Massena Transfer Station", 44.896373301664, -74.879431337665, '315-764-7312', '13662'],</v>
      </c>
    </row>
    <row r="960" spans="1:7" x14ac:dyDescent="0.2">
      <c r="A960" t="s">
        <v>925</v>
      </c>
      <c r="B960" t="str">
        <f t="shared" si="84"/>
        <v>RONA</v>
      </c>
      <c r="C960" t="str">
        <f t="shared" si="85"/>
        <v>45.03381</v>
      </c>
      <c r="D960" t="str">
        <f t="shared" si="86"/>
        <v>-74.71658</v>
      </c>
      <c r="E960" t="str">
        <f t="shared" si="87"/>
        <v>613-938-3300</v>
      </c>
      <c r="F960" t="str">
        <f t="shared" si="88"/>
        <v>K6H 2W8</v>
      </c>
      <c r="G960" t="str">
        <f t="shared" si="89"/>
        <v>[ "RONA", 45.03381, -74.71658, '613-938-3300', 'K6H 2W8'],</v>
      </c>
    </row>
    <row r="961" spans="1:7" x14ac:dyDescent="0.2">
      <c r="A961" t="s">
        <v>927</v>
      </c>
      <c r="B961" t="str">
        <f t="shared" ref="B961:B1024" si="90">MID(A961,SEARCH("name"&amp;CHAR(34)&amp;":"&amp;CHAR(34),A961)+7,SEARCH(CHAR(34)&amp;", "&amp;CHAR(34)&amp;"locationlinkurl",A961)-SEARCH("name"&amp;CHAR(34)&amp;":"&amp;CHAR(34),A961)-7)</f>
        <v>Township of North Dundas</v>
      </c>
      <c r="C961" t="str">
        <f t="shared" ref="C961:C1014" si="91">MID(A961,SEARCH(CHAR(34)&amp;"latitude"&amp;CHAR(34)&amp;":"&amp;CHAR(34),A961)+12,SEARCH(CHAR(34)&amp;", "&amp;CHAR(34)&amp;"url"&amp;CHAR(34),A961)-SEARCH(CHAR(34)&amp;"latitude"&amp;CHAR(34)&amp;":"&amp;CHAR(34),A961)-12)</f>
        <v>45.1045758467051</v>
      </c>
      <c r="D961" t="str">
        <f t="shared" ref="D961:D1014" si="92">MID(A961,SEARCH(CHAR(34)&amp;"longitude"&amp;CHAR(34)&amp;":"&amp;CHAR(34),A961)+13,SEARCH(CHAR(34)&amp;", "&amp;CHAR(34)&amp;"uid"&amp;CHAR(34),A961)-SEARCH(CHAR(34)&amp;"longitude"&amp;CHAR(34)&amp;":"&amp;CHAR(34),A961)-13)</f>
        <v>-75.3214423553231</v>
      </c>
      <c r="E961" t="str">
        <f t="shared" ref="E961:E1014" si="93">MID(A961,SEARCH(CHAR(34)&amp;"phone"&amp;CHAR(34)&amp;":"&amp;CHAR(34),A961)+9,SEARCH(CHAR(34)&amp;", "&amp;CHAR(34)&amp;"address2"&amp;CHAR(34),A961)-SEARCH(CHAR(34)&amp;"phone"&amp;CHAR(34)&amp;":"&amp;CHAR(34),A961)-9)</f>
        <v>613-774-5157</v>
      </c>
      <c r="F961" t="str">
        <f t="shared" ref="F961:F1014" si="94">MID(A961,SEARCH(CHAR(34)&amp;"postalcode"&amp;CHAR(34)&amp;":"&amp;CHAR(34),A961)+14,SEARCH(CHAR(34)&amp;", "&amp;CHAR(34)&amp;"province"&amp;CHAR(34),A961)-SEARCH(CHAR(34)&amp;"postalcode"&amp;CHAR(34)&amp;":"&amp;CHAR(34),A961)-14)</f>
        <v>K0C 2K0</v>
      </c>
      <c r="G961" t="str">
        <f t="shared" ref="G961:G1024" si="95">"[ "&amp;CHAR(34)&amp;B961&amp;CHAR(34)&amp;", "&amp;C961&amp;", "&amp;D961&amp;", '"&amp;E961&amp;"', '"&amp;F961&amp;"'],"</f>
        <v>[ "Township of North Dundas", 45.1045758467051, -75.3214423553231, '613-774-5157', 'K0C 2K0'],</v>
      </c>
    </row>
    <row r="962" spans="1:7" x14ac:dyDescent="0.2">
      <c r="A962" t="s">
        <v>928</v>
      </c>
      <c r="B962" t="str">
        <f t="shared" si="90"/>
        <v>Barrys Home Hardware</v>
      </c>
      <c r="C962" t="str">
        <f t="shared" si="91"/>
        <v>45.25691</v>
      </c>
      <c r="D962" t="str">
        <f t="shared" si="92"/>
        <v>-75.3704</v>
      </c>
      <c r="E962" t="str">
        <f t="shared" si="93"/>
        <v>613-445-2171</v>
      </c>
      <c r="F962" t="str">
        <f t="shared" si="94"/>
        <v>K4R 1A1</v>
      </c>
      <c r="G962" t="str">
        <f t="shared" si="95"/>
        <v>[ "Barrys Home Hardware", 45.25691, -75.3704, '613-445-2171', 'K4R 1A1'],</v>
      </c>
    </row>
    <row r="963" spans="1:7" x14ac:dyDescent="0.2">
      <c r="A963" t="s">
        <v>929</v>
      </c>
      <c r="B963" t="str">
        <f t="shared" si="90"/>
        <v>Township of Russell</v>
      </c>
      <c r="C963" t="str">
        <f t="shared" si="91"/>
        <v>45.2672597504255</v>
      </c>
      <c r="D963" t="str">
        <f t="shared" si="92"/>
        <v>-75.3059172717022</v>
      </c>
      <c r="E963" t="str">
        <f t="shared" si="93"/>
        <v>613-443-3066</v>
      </c>
      <c r="F963" t="str">
        <f t="shared" si="94"/>
        <v>K0A 1W1</v>
      </c>
      <c r="G963" t="str">
        <f t="shared" si="95"/>
        <v>[ "Township of Russell", 45.2672597504255, -75.3059172717022, '613-443-3066', 'K0A 1W1'],</v>
      </c>
    </row>
    <row r="964" spans="1:7" x14ac:dyDescent="0.2">
      <c r="A964" t="s">
        <v>930</v>
      </c>
      <c r="B964" t="str">
        <f t="shared" si="90"/>
        <v>The Source</v>
      </c>
      <c r="C964" t="str">
        <f t="shared" si="91"/>
        <v>45.26869</v>
      </c>
      <c r="D964" t="str">
        <f t="shared" si="92"/>
        <v>-75.29589</v>
      </c>
      <c r="E964" t="str">
        <f t="shared" si="93"/>
        <v>613-443-5642</v>
      </c>
      <c r="F964" t="str">
        <f t="shared" si="94"/>
        <v>K0A 1W1</v>
      </c>
      <c r="G964" t="str">
        <f t="shared" si="95"/>
        <v>[ "The Source", 45.26869, -75.29589, '613-443-5642', 'K0A 1W1'],</v>
      </c>
    </row>
    <row r="965" spans="1:7" x14ac:dyDescent="0.2">
      <c r="A965" t="s">
        <v>1515</v>
      </c>
      <c r="B965" t="str">
        <f t="shared" si="90"/>
        <v>Lowes</v>
      </c>
      <c r="C965" t="str">
        <f t="shared" si="91"/>
        <v>45.4522183636364</v>
      </c>
      <c r="D965" t="str">
        <f t="shared" si="92"/>
        <v>-75.513188</v>
      </c>
      <c r="E965" t="str">
        <f t="shared" si="93"/>
        <v>613-830-6370</v>
      </c>
      <c r="F965" t="str">
        <f t="shared" si="94"/>
        <v>K1W 0C8</v>
      </c>
      <c r="G965" t="str">
        <f t="shared" si="95"/>
        <v>[ "Lowes", 45.4522183636364, -75.513188, '613-830-6370', 'K1W 0C8'],</v>
      </c>
    </row>
    <row r="966" spans="1:7" x14ac:dyDescent="0.2">
      <c r="A966" t="s">
        <v>1516</v>
      </c>
      <c r="B966" t="str">
        <f t="shared" si="90"/>
        <v>Canadian Tire</v>
      </c>
      <c r="C966" t="str">
        <f t="shared" si="91"/>
        <v>45.4534743243243</v>
      </c>
      <c r="D966" t="str">
        <f t="shared" si="92"/>
        <v>-75.5100754054054</v>
      </c>
      <c r="E966" t="str">
        <f t="shared" si="93"/>
        <v>613-830-7000</v>
      </c>
      <c r="F966" t="str">
        <f t="shared" si="94"/>
        <v>K1W 1K9</v>
      </c>
      <c r="G966" t="str">
        <f t="shared" si="95"/>
        <v>[ "Canadian Tire", 45.4534743243243, -75.5100754054054, '613-830-7000', 'K1W 1K9'],</v>
      </c>
    </row>
    <row r="967" spans="1:7" x14ac:dyDescent="0.2">
      <c r="A967" t="s">
        <v>1517</v>
      </c>
      <c r="B967" t="str">
        <f t="shared" si="90"/>
        <v>Canadian Tire</v>
      </c>
      <c r="C967" t="str">
        <f t="shared" si="91"/>
        <v>45.4534743243243</v>
      </c>
      <c r="D967" t="str">
        <f t="shared" si="92"/>
        <v>-75.5100754054054</v>
      </c>
      <c r="E967" t="str">
        <f t="shared" si="93"/>
        <v>613-830-7000</v>
      </c>
      <c r="F967" t="str">
        <f t="shared" si="94"/>
        <v>K1W 1K9</v>
      </c>
      <c r="G967" t="str">
        <f t="shared" si="95"/>
        <v>[ "Canadian Tire", 45.4534743243243, -75.5100754054054, '613-830-7000', 'K1W 1K9'],</v>
      </c>
    </row>
    <row r="968" spans="1:7" x14ac:dyDescent="0.2">
      <c r="A968" t="s">
        <v>1518</v>
      </c>
      <c r="B968" t="str">
        <f t="shared" si="90"/>
        <v>Best Buy Canada</v>
      </c>
      <c r="C968" t="str">
        <f t="shared" si="91"/>
        <v>45.4536775966727</v>
      </c>
      <c r="D968" t="str">
        <f t="shared" si="92"/>
        <v>-75.5036228822974</v>
      </c>
      <c r="E968" t="str">
        <f t="shared" si="93"/>
        <v>613-830-2706</v>
      </c>
      <c r="F968" t="str">
        <f t="shared" si="94"/>
        <v>K4A 0G2</v>
      </c>
      <c r="G968" t="str">
        <f t="shared" si="95"/>
        <v>[ "Best Buy Canada", 45.4536775966727, -75.5036228822974, '613-830-2706', 'K4A 0G2'],</v>
      </c>
    </row>
    <row r="969" spans="1:7" x14ac:dyDescent="0.2">
      <c r="A969" t="s">
        <v>1519</v>
      </c>
      <c r="B969" t="str">
        <f t="shared" si="90"/>
        <v>Home Depot</v>
      </c>
      <c r="C969" t="str">
        <f t="shared" si="91"/>
        <v>45.4570914285714</v>
      </c>
      <c r="D969" t="str">
        <f t="shared" si="92"/>
        <v>-75.4856696428571</v>
      </c>
      <c r="E969" t="str">
        <f t="shared" si="93"/>
        <v>613-590-2030</v>
      </c>
      <c r="F969" t="str">
        <f t="shared" si="94"/>
        <v>K4A 4C5</v>
      </c>
      <c r="G969" t="str">
        <f t="shared" si="95"/>
        <v>[ "Home Depot", 45.4570914285714, -75.4856696428571, '613-590-2030', 'K4A 4C5'],</v>
      </c>
    </row>
    <row r="970" spans="1:7" x14ac:dyDescent="0.2">
      <c r="A970" t="s">
        <v>1520</v>
      </c>
      <c r="B970" t="str">
        <f t="shared" si="90"/>
        <v>Staples</v>
      </c>
      <c r="C970" t="str">
        <f t="shared" si="91"/>
        <v>45.458575</v>
      </c>
      <c r="D970" t="str">
        <f t="shared" si="92"/>
        <v>-75.4846337</v>
      </c>
      <c r="E970" t="str">
        <f t="shared" si="93"/>
        <v>613-830-8100</v>
      </c>
      <c r="F970" t="str">
        <f t="shared" si="94"/>
        <v>K4A 4C5</v>
      </c>
      <c r="G970" t="str">
        <f t="shared" si="95"/>
        <v>[ "Staples", 45.458575, -75.4846337, '613-830-8100', 'K4A 4C5'],</v>
      </c>
    </row>
    <row r="971" spans="1:7" x14ac:dyDescent="0.2">
      <c r="A971" t="s">
        <v>1521</v>
      </c>
      <c r="B971" t="str">
        <f t="shared" si="90"/>
        <v>RONA</v>
      </c>
      <c r="C971" t="str">
        <f t="shared" si="91"/>
        <v>45.41724</v>
      </c>
      <c r="D971" t="str">
        <f t="shared" si="92"/>
        <v>-75.60051</v>
      </c>
      <c r="E971" t="str">
        <f t="shared" si="93"/>
        <v>613-741-6331</v>
      </c>
      <c r="F971" t="str">
        <f t="shared" si="94"/>
        <v>K1B 3K5</v>
      </c>
      <c r="G971" t="str">
        <f t="shared" si="95"/>
        <v>[ "RONA", 45.41724, -75.60051, '613-741-6331', 'K1B 3K5'],</v>
      </c>
    </row>
    <row r="972" spans="1:7" x14ac:dyDescent="0.2">
      <c r="A972" t="s">
        <v>1522</v>
      </c>
      <c r="B972" t="str">
        <f t="shared" si="90"/>
        <v>Home Depot</v>
      </c>
      <c r="C972" t="str">
        <f t="shared" si="91"/>
        <v>45.4179784782657</v>
      </c>
      <c r="D972" t="str">
        <f t="shared" si="92"/>
        <v>-75.6091016638989</v>
      </c>
      <c r="E972" t="str">
        <f t="shared" si="93"/>
        <v>613-744-1700</v>
      </c>
      <c r="F972" t="str">
        <f t="shared" si="94"/>
        <v>K1B 3L8</v>
      </c>
      <c r="G972" t="str">
        <f t="shared" si="95"/>
        <v>[ "Home Depot", 45.4179784782657, -75.6091016638989, '613-744-1700', 'K1B 3L8'],</v>
      </c>
    </row>
    <row r="973" spans="1:7" x14ac:dyDescent="0.2">
      <c r="A973" t="s">
        <v>1523</v>
      </c>
      <c r="B973" t="str">
        <f t="shared" si="90"/>
        <v>Princess Auto</v>
      </c>
      <c r="C973" t="str">
        <f t="shared" si="91"/>
        <v>45.3843547110849</v>
      </c>
      <c r="D973" t="str">
        <f t="shared" si="92"/>
        <v>-75.6101776002356</v>
      </c>
      <c r="E973" t="str">
        <f t="shared" si="93"/>
        <v>613-247-1657</v>
      </c>
      <c r="F973" t="str">
        <f t="shared" si="94"/>
        <v>K1G 6L3</v>
      </c>
      <c r="G973" t="str">
        <f t="shared" si="95"/>
        <v>[ "Princess Auto", 45.3843547110849, -75.6101776002356, '613-247-1657', 'K1G 6L3'],</v>
      </c>
    </row>
    <row r="974" spans="1:7" x14ac:dyDescent="0.2">
      <c r="A974" t="s">
        <v>1524</v>
      </c>
      <c r="B974" t="str">
        <f t="shared" si="90"/>
        <v>Beacon Hill Home Hardware</v>
      </c>
      <c r="C974" t="str">
        <f t="shared" si="91"/>
        <v>45.4460917428953</v>
      </c>
      <c r="D974" t="str">
        <f t="shared" si="92"/>
        <v>-75.5968989427697</v>
      </c>
      <c r="E974" t="str">
        <f t="shared" si="93"/>
        <v>613-421-3223</v>
      </c>
      <c r="F974" t="str">
        <f t="shared" si="94"/>
        <v>K1J 6N2</v>
      </c>
      <c r="G974" t="str">
        <f t="shared" si="95"/>
        <v>[ "Beacon Hill Home Hardware", 45.4460917428953, -75.5968989427697, '613-421-3223', 'K1J 6N2'],</v>
      </c>
    </row>
    <row r="975" spans="1:7" x14ac:dyDescent="0.2">
      <c r="A975" t="s">
        <v>1525</v>
      </c>
      <c r="B975" t="str">
        <f t="shared" si="90"/>
        <v>Best Buy</v>
      </c>
      <c r="C975" t="str">
        <f t="shared" si="91"/>
        <v>45.48038</v>
      </c>
      <c r="D975" t="str">
        <f t="shared" si="92"/>
        <v>-75.51368</v>
      </c>
      <c r="E975" t="str">
        <f t="shared" si="93"/>
        <v>--</v>
      </c>
      <c r="F975" t="str">
        <f t="shared" si="94"/>
        <v>K1C 2L9</v>
      </c>
      <c r="G975" t="str">
        <f t="shared" si="95"/>
        <v>[ "Best Buy", 45.48038, -75.51368, '--', 'K1C 2L9'],</v>
      </c>
    </row>
    <row r="976" spans="1:7" x14ac:dyDescent="0.2">
      <c r="A976" t="s">
        <v>1526</v>
      </c>
      <c r="B976" t="str">
        <f t="shared" si="90"/>
        <v>Elmvale Acres Home Hardwa</v>
      </c>
      <c r="C976" t="str">
        <f t="shared" si="91"/>
        <v>45.4002090986522</v>
      </c>
      <c r="D976" t="str">
        <f t="shared" si="92"/>
        <v>-75.6239131831087</v>
      </c>
      <c r="E976" t="str">
        <f t="shared" si="93"/>
        <v>613-731-4492</v>
      </c>
      <c r="F976" t="str">
        <f t="shared" si="94"/>
        <v>K1G 1A4</v>
      </c>
      <c r="G976" t="str">
        <f t="shared" si="95"/>
        <v>[ "Elmvale Acres Home Hardwa", 45.4002090986522, -75.6239131831087, '613-731-4492', 'K1G 1A4'],</v>
      </c>
    </row>
    <row r="977" spans="1:7" x14ac:dyDescent="0.2">
      <c r="A977" t="s">
        <v>1527</v>
      </c>
      <c r="B977" t="str">
        <f t="shared" si="90"/>
        <v>DeWalt Factory Service (Canada)</v>
      </c>
      <c r="C977" t="str">
        <f t="shared" si="91"/>
        <v>45.40523</v>
      </c>
      <c r="D977" t="str">
        <f t="shared" si="92"/>
        <v>-75.6249</v>
      </c>
      <c r="E977" t="str">
        <f t="shared" si="93"/>
        <v>613-724-7724</v>
      </c>
      <c r="F977" t="str">
        <f t="shared" si="94"/>
        <v>K1B 4K9</v>
      </c>
      <c r="G977" t="str">
        <f t="shared" si="95"/>
        <v>[ "DeWalt Factory Service (Canada)", 45.40523, -75.6249, '613-724-7724', 'K1B 4K9'],</v>
      </c>
    </row>
    <row r="978" spans="1:7" x14ac:dyDescent="0.2">
      <c r="A978" t="s">
        <v>1528</v>
      </c>
      <c r="B978" t="str">
        <f t="shared" si="90"/>
        <v>Lumen Ottawa</v>
      </c>
      <c r="C978" t="str">
        <f t="shared" si="91"/>
        <v>45.4117217563782</v>
      </c>
      <c r="D978" t="str">
        <f t="shared" si="92"/>
        <v>-75.6308675014007</v>
      </c>
      <c r="E978" t="str">
        <f t="shared" si="93"/>
        <v>613-789-7500</v>
      </c>
      <c r="F978" t="str">
        <f t="shared" si="94"/>
        <v>K1G 4A2</v>
      </c>
      <c r="G978" t="str">
        <f t="shared" si="95"/>
        <v>[ "Lumen Ottawa", 45.4117217563782, -75.6308675014007, '613-789-7500', 'K1G 4A2'],</v>
      </c>
    </row>
    <row r="979" spans="1:7" x14ac:dyDescent="0.2">
      <c r="A979" t="s">
        <v>1529</v>
      </c>
      <c r="B979" t="str">
        <f t="shared" si="90"/>
        <v>Batteries Expert</v>
      </c>
      <c r="C979" t="str">
        <f t="shared" si="91"/>
        <v>45.4886201812424</v>
      </c>
      <c r="D979" t="str">
        <f t="shared" si="92"/>
        <v>-75.4804453082725</v>
      </c>
      <c r="E979" t="str">
        <f t="shared" si="93"/>
        <v>613-590-9352</v>
      </c>
      <c r="F979" t="str">
        <f t="shared" si="94"/>
        <v>K1C 1T1</v>
      </c>
      <c r="G979" t="str">
        <f t="shared" si="95"/>
        <v>[ "Batteries Expert", 45.4886201812424, -75.4804453082725, '613-590-9352', 'K1C 1T1'],</v>
      </c>
    </row>
    <row r="980" spans="1:7" x14ac:dyDescent="0.2">
      <c r="A980" t="s">
        <v>1530</v>
      </c>
      <c r="B980" t="str">
        <f t="shared" si="90"/>
        <v>Staples</v>
      </c>
      <c r="C980" t="str">
        <f t="shared" si="91"/>
        <v>45.4290385029338</v>
      </c>
      <c r="D980" t="str">
        <f t="shared" si="92"/>
        <v>-75.637466705784</v>
      </c>
      <c r="E980" t="str">
        <f t="shared" si="93"/>
        <v>613-741-3416</v>
      </c>
      <c r="F980" t="str">
        <f t="shared" si="94"/>
        <v>K1K 4E6</v>
      </c>
      <c r="G980" t="str">
        <f t="shared" si="95"/>
        <v>[ "Staples", 45.4290385029338, -75.637466705784, '613-741-3416', 'K1K 4E6'],</v>
      </c>
    </row>
    <row r="981" spans="1:7" x14ac:dyDescent="0.2">
      <c r="A981" t="s">
        <v>1531</v>
      </c>
      <c r="B981" t="str">
        <f t="shared" si="90"/>
        <v>Turris Communications</v>
      </c>
      <c r="C981" t="str">
        <f t="shared" si="91"/>
        <v>45.4113795141984</v>
      </c>
      <c r="D981" t="str">
        <f t="shared" si="92"/>
        <v>-75.6437036475637</v>
      </c>
      <c r="E981" t="str">
        <f t="shared" si="93"/>
        <v>613-739-7243</v>
      </c>
      <c r="F981" t="str">
        <f t="shared" si="94"/>
        <v>K1G 0Y9</v>
      </c>
      <c r="G981" t="str">
        <f t="shared" si="95"/>
        <v>[ "Turris Communications", 45.4113795141984, -75.6437036475637, '613-739-7243', 'K1G 0Y9'],</v>
      </c>
    </row>
    <row r="982" spans="1:7" x14ac:dyDescent="0.2">
      <c r="A982" t="s">
        <v>1532</v>
      </c>
      <c r="B982" t="str">
        <f t="shared" si="90"/>
        <v>Fastenal</v>
      </c>
      <c r="C982" t="str">
        <f t="shared" si="91"/>
        <v>45.411733431959</v>
      </c>
      <c r="D982" t="str">
        <f t="shared" si="92"/>
        <v>-75.6472648523287</v>
      </c>
      <c r="E982" t="str">
        <f t="shared" si="93"/>
        <v>613-745-9022</v>
      </c>
      <c r="F982" t="str">
        <f t="shared" si="94"/>
        <v>K1G 0Z1</v>
      </c>
      <c r="G982" t="str">
        <f t="shared" si="95"/>
        <v>[ "Fastenal", 45.411733431959, -75.6472648523287, '613-745-9022', 'K1G 0Z1'],</v>
      </c>
    </row>
    <row r="983" spans="1:7" x14ac:dyDescent="0.2">
      <c r="A983" t="s">
        <v>1533</v>
      </c>
      <c r="B983" t="str">
        <f t="shared" si="90"/>
        <v>ListenUp! Canada</v>
      </c>
      <c r="C983" t="str">
        <f t="shared" si="91"/>
        <v>45.44226</v>
      </c>
      <c r="D983" t="str">
        <f t="shared" si="92"/>
        <v>-75.64335</v>
      </c>
      <c r="E983" t="str">
        <f t="shared" si="93"/>
        <v>613-742-6666</v>
      </c>
      <c r="F983" t="str">
        <f t="shared" si="94"/>
        <v>K1K 4K4</v>
      </c>
      <c r="G983" t="str">
        <f t="shared" si="95"/>
        <v>[ "ListenUp! Canada", 45.44226, -75.64335, '613-742-6666', 'K1K 4K4'],</v>
      </c>
    </row>
    <row r="984" spans="1:7" x14ac:dyDescent="0.2">
      <c r="A984" t="s">
        <v>1534</v>
      </c>
      <c r="B984" t="str">
        <f t="shared" si="90"/>
        <v>Uniprix</v>
      </c>
      <c r="C984" t="str">
        <f t="shared" si="91"/>
        <v>45.489553</v>
      </c>
      <c r="D984" t="str">
        <f t="shared" si="92"/>
        <v>-75.5962411</v>
      </c>
      <c r="E984" t="str">
        <f t="shared" si="93"/>
        <v>819-663-2727</v>
      </c>
      <c r="F984" t="str">
        <f t="shared" si="94"/>
        <v>J8P 1H5</v>
      </c>
      <c r="G984" t="str">
        <f t="shared" si="95"/>
        <v>[ "Uniprix", 45.489553, -75.5962411, '819-663-2727', 'J8P 1H5'],</v>
      </c>
    </row>
    <row r="985" spans="1:7" x14ac:dyDescent="0.2">
      <c r="A985" t="s">
        <v>1535</v>
      </c>
      <c r="B985" t="str">
        <f t="shared" si="90"/>
        <v>Jean Coutu</v>
      </c>
      <c r="C985" t="str">
        <f t="shared" si="91"/>
        <v>45.488788</v>
      </c>
      <c r="D985" t="str">
        <f t="shared" si="92"/>
        <v>-75.5985881</v>
      </c>
      <c r="E985" t="str">
        <f t="shared" si="93"/>
        <v>819-663-3582</v>
      </c>
      <c r="F985" t="str">
        <f t="shared" si="94"/>
        <v>J8P 1H5</v>
      </c>
      <c r="G985" t="str">
        <f t="shared" si="95"/>
        <v>[ "Jean Coutu", 45.488788, -75.5985881, '819-663-3582', 'J8P 1H5'],</v>
      </c>
    </row>
    <row r="986" spans="1:7" x14ac:dyDescent="0.2">
      <c r="A986" t="s">
        <v>1536</v>
      </c>
      <c r="B986" t="str">
        <f t="shared" si="90"/>
        <v>Jean Coutu</v>
      </c>
      <c r="C986" t="str">
        <f t="shared" si="91"/>
        <v>45.43642</v>
      </c>
      <c r="D986" t="str">
        <f t="shared" si="92"/>
        <v>-75.66076</v>
      </c>
      <c r="E986" t="str">
        <f t="shared" si="93"/>
        <v>613-749-5957</v>
      </c>
      <c r="F986" t="str">
        <f t="shared" si="94"/>
        <v>K1L 6C3</v>
      </c>
      <c r="G986" t="str">
        <f t="shared" si="95"/>
        <v>[ "Jean Coutu", 45.43642, -75.66076, '613-749-5957', 'K1L 6C3'],</v>
      </c>
    </row>
    <row r="987" spans="1:7" x14ac:dyDescent="0.2">
      <c r="A987" t="s">
        <v>1537</v>
      </c>
      <c r="B987" t="str">
        <f t="shared" si="90"/>
        <v>ListenUp! Canada</v>
      </c>
      <c r="C987" t="str">
        <f t="shared" si="91"/>
        <v>45.3539</v>
      </c>
      <c r="D987" t="str">
        <f t="shared" si="92"/>
        <v>-75.64844</v>
      </c>
      <c r="E987" t="str">
        <f t="shared" si="93"/>
        <v>613-521-0904</v>
      </c>
      <c r="F987" t="str">
        <f t="shared" si="94"/>
        <v>K1V 0T7</v>
      </c>
      <c r="G987" t="str">
        <f t="shared" si="95"/>
        <v>[ "ListenUp! Canada", 45.3539, -75.64844, '613-521-0904', 'K1V 0T7'],</v>
      </c>
    </row>
    <row r="988" spans="1:7" x14ac:dyDescent="0.2">
      <c r="A988" t="s">
        <v>1538</v>
      </c>
      <c r="B988" t="str">
        <f t="shared" si="90"/>
        <v>Staples</v>
      </c>
      <c r="C988" t="str">
        <f t="shared" si="91"/>
        <v>45.3573151020408</v>
      </c>
      <c r="D988" t="str">
        <f t="shared" si="92"/>
        <v>-75.6538102040816</v>
      </c>
      <c r="E988" t="str">
        <f t="shared" si="93"/>
        <v>613-521-3030</v>
      </c>
      <c r="F988" t="str">
        <f t="shared" si="94"/>
        <v>K1V 1J5</v>
      </c>
      <c r="G988" t="str">
        <f t="shared" si="95"/>
        <v>[ "Staples", 45.3573151020408, -75.6538102040816, '613-521-3030', 'K1V 1J5'],</v>
      </c>
    </row>
    <row r="989" spans="1:7" x14ac:dyDescent="0.2">
      <c r="A989" t="s">
        <v>1539</v>
      </c>
      <c r="B989" t="str">
        <f t="shared" si="90"/>
        <v>The Source</v>
      </c>
      <c r="C989" t="str">
        <f t="shared" si="91"/>
        <v>45.3573151020408</v>
      </c>
      <c r="D989" t="str">
        <f t="shared" si="92"/>
        <v>-75.6538102040816</v>
      </c>
      <c r="E989" t="str">
        <f t="shared" si="93"/>
        <v>613-733-1891</v>
      </c>
      <c r="F989" t="str">
        <f t="shared" si="94"/>
        <v>K1V 1J5</v>
      </c>
      <c r="G989" t="str">
        <f t="shared" si="95"/>
        <v>[ "The Source", 45.3573151020408, -75.6538102040816, '613-733-1891', 'K1V 1J5'],</v>
      </c>
    </row>
    <row r="990" spans="1:7" x14ac:dyDescent="0.2">
      <c r="A990" t="s">
        <v>1540</v>
      </c>
      <c r="B990" t="str">
        <f t="shared" si="90"/>
        <v>Home Depot</v>
      </c>
      <c r="C990" t="str">
        <f t="shared" si="91"/>
        <v>45.3633490771332</v>
      </c>
      <c r="D990" t="str">
        <f t="shared" si="92"/>
        <v>-75.658896395124</v>
      </c>
      <c r="E990" t="str">
        <f t="shared" si="93"/>
        <v>613-739-5300</v>
      </c>
      <c r="F990" t="str">
        <f t="shared" si="94"/>
        <v>K1V 7Z8</v>
      </c>
      <c r="G990" t="str">
        <f t="shared" si="95"/>
        <v>[ "Home Depot", 45.3633490771332, -75.658896395124, '613-739-5300', 'K1V 7Z8'],</v>
      </c>
    </row>
    <row r="991" spans="1:7" x14ac:dyDescent="0.2">
      <c r="A991" t="s">
        <v>1541</v>
      </c>
      <c r="B991" t="str">
        <f t="shared" si="90"/>
        <v>The Source</v>
      </c>
      <c r="C991" t="str">
        <f t="shared" si="91"/>
        <v>45.386778716225</v>
      </c>
      <c r="D991" t="str">
        <f t="shared" si="92"/>
        <v>-75.6796023225593</v>
      </c>
      <c r="E991" t="str">
        <f t="shared" si="93"/>
        <v>613-737-1079</v>
      </c>
      <c r="F991" t="str">
        <f t="shared" si="94"/>
        <v>K1H 8K2</v>
      </c>
      <c r="G991" t="str">
        <f t="shared" si="95"/>
        <v>[ "The Source", 45.386778716225, -75.6796023225593, '613-737-1079', 'K1H 8K2'],</v>
      </c>
    </row>
    <row r="992" spans="1:7" x14ac:dyDescent="0.2">
      <c r="A992" t="s">
        <v>1542</v>
      </c>
      <c r="B992" t="str">
        <f t="shared" si="90"/>
        <v>The Source</v>
      </c>
      <c r="C992" t="str">
        <f t="shared" si="91"/>
        <v>45.3996469</v>
      </c>
      <c r="D992" t="str">
        <f t="shared" si="92"/>
        <v>-75.6837603</v>
      </c>
      <c r="E992" t="str">
        <f t="shared" si="93"/>
        <v>613-565-4808</v>
      </c>
      <c r="F992" t="str">
        <f t="shared" si="94"/>
        <v>K1S 5J3</v>
      </c>
      <c r="G992" t="str">
        <f t="shared" si="95"/>
        <v>[ "The Source", 45.3996469, -75.6837603, '613-565-4808', 'K1S 5J3'],</v>
      </c>
    </row>
    <row r="993" spans="1:7" x14ac:dyDescent="0.2">
      <c r="A993" t="s">
        <v>1543</v>
      </c>
      <c r="B993" t="str">
        <f t="shared" si="90"/>
        <v>ListenUp! Canada</v>
      </c>
      <c r="C993" t="str">
        <f t="shared" si="91"/>
        <v>45.4109122222222</v>
      </c>
      <c r="D993" t="str">
        <f t="shared" si="92"/>
        <v>-75.6928911111111</v>
      </c>
      <c r="E993" t="str">
        <f t="shared" si="93"/>
        <v>613-238-6839</v>
      </c>
      <c r="F993" t="str">
        <f t="shared" si="94"/>
        <v>K2P 1Z2</v>
      </c>
      <c r="G993" t="str">
        <f t="shared" si="95"/>
        <v>[ "ListenUp! Canada", 45.4109122222222, -75.6928911111111, '613-238-6839', 'K2P 1Z2'],</v>
      </c>
    </row>
    <row r="994" spans="1:7" x14ac:dyDescent="0.2">
      <c r="A994" t="s">
        <v>1544</v>
      </c>
      <c r="B994" t="str">
        <f t="shared" si="90"/>
        <v>Staples</v>
      </c>
      <c r="C994" t="str">
        <f t="shared" si="91"/>
        <v>45.4130966666667</v>
      </c>
      <c r="D994" t="str">
        <f t="shared" si="92"/>
        <v>-75.6944033333333</v>
      </c>
      <c r="E994" t="str">
        <f t="shared" si="93"/>
        <v>613-235-2525</v>
      </c>
      <c r="F994" t="str">
        <f t="shared" si="94"/>
        <v>K2P 1Y6</v>
      </c>
      <c r="G994" t="str">
        <f t="shared" si="95"/>
        <v>[ "Staples", 45.4130966666667, -75.6944033333333, '613-235-2525', 'K2P 1Y6'],</v>
      </c>
    </row>
    <row r="995" spans="1:7" x14ac:dyDescent="0.2">
      <c r="A995" t="s">
        <v>1545</v>
      </c>
      <c r="B995" t="str">
        <f t="shared" si="90"/>
        <v>Evolu-TIC Outaouais</v>
      </c>
      <c r="C995" t="str">
        <f t="shared" si="91"/>
        <v>45.4755275</v>
      </c>
      <c r="D995" t="str">
        <f t="shared" si="92"/>
        <v>-75.665239</v>
      </c>
      <c r="E995" t="str">
        <f t="shared" si="93"/>
        <v>819-770-0103</v>
      </c>
      <c r="F995" t="str">
        <f t="shared" si="94"/>
        <v>J8P 8B3</v>
      </c>
      <c r="G995" t="str">
        <f t="shared" si="95"/>
        <v>[ "Evolu-TIC Outaouais", 45.4755275, -75.665239, '819-770-0103', 'J8P 8B3'],</v>
      </c>
    </row>
    <row r="996" spans="1:7" x14ac:dyDescent="0.2">
      <c r="A996" t="s">
        <v>1546</v>
      </c>
      <c r="B996" t="str">
        <f t="shared" si="90"/>
        <v>Henrys</v>
      </c>
      <c r="C996" t="str">
        <f t="shared" si="91"/>
        <v>45.4158166666667</v>
      </c>
      <c r="D996" t="str">
        <f t="shared" si="92"/>
        <v>-75.6967733333333</v>
      </c>
      <c r="E996" t="str">
        <f t="shared" si="93"/>
        <v>613-232-5368</v>
      </c>
      <c r="F996" t="str">
        <f t="shared" si="94"/>
        <v>K2P 1X5</v>
      </c>
      <c r="G996" t="str">
        <f t="shared" si="95"/>
        <v>[ "Henrys", 45.4158166666667, -75.6967733333333, '613-232-5368', 'K2P 1X5'],</v>
      </c>
    </row>
    <row r="997" spans="1:7" x14ac:dyDescent="0.2">
      <c r="A997" t="s">
        <v>1547</v>
      </c>
      <c r="B997" t="str">
        <f t="shared" si="90"/>
        <v>Jean Coutu</v>
      </c>
      <c r="C997" t="str">
        <f t="shared" si="91"/>
        <v>45.5356</v>
      </c>
      <c r="D997" t="str">
        <f t="shared" si="92"/>
        <v>-75.48467</v>
      </c>
      <c r="E997" t="str">
        <f t="shared" si="93"/>
        <v>819-281-1000</v>
      </c>
      <c r="F997" t="str">
        <f t="shared" si="94"/>
        <v>J8M 1W2</v>
      </c>
      <c r="G997" t="str">
        <f t="shared" si="95"/>
        <v>[ "Jean Coutu", 45.5356, -75.48467, '819-281-1000', 'J8M 1W2'],</v>
      </c>
    </row>
    <row r="998" spans="1:7" x14ac:dyDescent="0.2">
      <c r="A998" t="s">
        <v>1548</v>
      </c>
      <c r="B998" t="str">
        <f t="shared" si="90"/>
        <v>Canadian Tire</v>
      </c>
      <c r="C998" t="str">
        <f t="shared" si="91"/>
        <v>45.4805384</v>
      </c>
      <c r="D998" t="str">
        <f t="shared" si="92"/>
        <v>-75.6778769</v>
      </c>
      <c r="E998" t="str">
        <f t="shared" si="93"/>
        <v>819-246-1234</v>
      </c>
      <c r="F998" t="str">
        <f t="shared" si="94"/>
        <v>J8T 8K7</v>
      </c>
      <c r="G998" t="str">
        <f t="shared" si="95"/>
        <v>[ "Canadian Tire", 45.4805384, -75.6778769, '819-246-1234', 'J8T 8K7'],</v>
      </c>
    </row>
    <row r="999" spans="1:7" x14ac:dyDescent="0.2">
      <c r="A999" t="s">
        <v>1549</v>
      </c>
      <c r="B999" t="str">
        <f t="shared" si="90"/>
        <v>Bureau en Gros</v>
      </c>
      <c r="C999" t="str">
        <f t="shared" si="91"/>
        <v>45.4831471</v>
      </c>
      <c r="D999" t="str">
        <f t="shared" si="92"/>
        <v>-75.6771175</v>
      </c>
      <c r="E999" t="str">
        <f t="shared" si="93"/>
        <v>819-246-9470</v>
      </c>
      <c r="F999" t="str">
        <f t="shared" si="94"/>
        <v>J8P 6M7</v>
      </c>
      <c r="G999" t="str">
        <f t="shared" si="95"/>
        <v>[ "Bureau en Gros", 45.4831471, -75.6771175, '819-246-9470', 'J8P 6M7'],</v>
      </c>
    </row>
    <row r="1000" spans="1:7" x14ac:dyDescent="0.2">
      <c r="A1000" t="s">
        <v>1550</v>
      </c>
      <c r="B1000" t="str">
        <f t="shared" si="90"/>
        <v>Home Depot</v>
      </c>
      <c r="C1000" t="str">
        <f t="shared" si="91"/>
        <v>45.4843529</v>
      </c>
      <c r="D1000" t="str">
        <f t="shared" si="92"/>
        <v>-75.6769715</v>
      </c>
      <c r="E1000" t="str">
        <f t="shared" si="93"/>
        <v>819-246-4064</v>
      </c>
      <c r="F1000" t="str">
        <f t="shared" si="94"/>
        <v>J8P 6M7</v>
      </c>
      <c r="G1000" t="str">
        <f t="shared" si="95"/>
        <v>[ "Home Depot", 45.4843529, -75.6769715, '819-246-4064', 'J8P 6M7'],</v>
      </c>
    </row>
    <row r="1001" spans="1:7" x14ac:dyDescent="0.2">
      <c r="A1001" t="s">
        <v>1551</v>
      </c>
      <c r="B1001" t="str">
        <f t="shared" si="90"/>
        <v>Jean Coutu</v>
      </c>
      <c r="C1001" t="str">
        <f t="shared" si="91"/>
        <v>45.462575</v>
      </c>
      <c r="D1001" t="str">
        <f t="shared" si="92"/>
        <v>-75.699875</v>
      </c>
      <c r="E1001" t="str">
        <f t="shared" si="93"/>
        <v>819-243-3151</v>
      </c>
      <c r="F1001" t="str">
        <f t="shared" si="94"/>
        <v>J8T 3P8</v>
      </c>
      <c r="G1001" t="str">
        <f t="shared" si="95"/>
        <v>[ "Jean Coutu", 45.462575, -75.699875, '819-243-3151', 'J8T 3P8'],</v>
      </c>
    </row>
    <row r="1002" spans="1:7" x14ac:dyDescent="0.2">
      <c r="A1002" t="s">
        <v>1552</v>
      </c>
      <c r="B1002" t="str">
        <f t="shared" si="90"/>
        <v>Best Buy</v>
      </c>
      <c r="C1002" t="str">
        <f t="shared" si="91"/>
        <v>45.4794422416612</v>
      </c>
      <c r="D1002" t="str">
        <f t="shared" si="92"/>
        <v>-75.6892402711587</v>
      </c>
      <c r="E1002" t="str">
        <f t="shared" si="93"/>
        <v>819-966-2222</v>
      </c>
      <c r="F1002" t="str">
        <f t="shared" si="94"/>
        <v>J8T 3R6</v>
      </c>
      <c r="G1002" t="str">
        <f t="shared" si="95"/>
        <v>[ "Best Buy", 45.4794422416612, -75.6892402711587, '819-966-2222', 'J8T 3R6'],</v>
      </c>
    </row>
    <row r="1003" spans="1:7" x14ac:dyDescent="0.2">
      <c r="A1003" t="s">
        <v>1553</v>
      </c>
      <c r="B1003" t="str">
        <f t="shared" si="90"/>
        <v>Centre Commerciale Les Promenades</v>
      </c>
      <c r="C1003" t="str">
        <f t="shared" si="91"/>
        <v>45.4758498</v>
      </c>
      <c r="D1003" t="str">
        <f t="shared" si="92"/>
        <v>-75.6969956</v>
      </c>
      <c r="E1003" t="str">
        <f t="shared" si="93"/>
        <v>819-568-1158</v>
      </c>
      <c r="F1003" t="str">
        <f t="shared" si="94"/>
        <v>J8T 6G3</v>
      </c>
      <c r="G1003" t="str">
        <f t="shared" si="95"/>
        <v>[ "Centre Commerciale Les Promenades", 45.4758498, -75.6969956, '819-568-1158', 'J8T 6G3'],</v>
      </c>
    </row>
    <row r="1004" spans="1:7" x14ac:dyDescent="0.2">
      <c r="A1004" t="s">
        <v>1554</v>
      </c>
      <c r="B1004" t="str">
        <f t="shared" si="90"/>
        <v>RONA</v>
      </c>
      <c r="C1004" t="str">
        <f t="shared" si="91"/>
        <v>45.4917819</v>
      </c>
      <c r="D1004" t="str">
        <f t="shared" si="92"/>
        <v>-75.6833787</v>
      </c>
      <c r="E1004" t="str">
        <f t="shared" si="93"/>
        <v>819-568-3400</v>
      </c>
      <c r="F1004" t="str">
        <f t="shared" si="94"/>
        <v>J8T 8J9</v>
      </c>
      <c r="G1004" t="str">
        <f t="shared" si="95"/>
        <v>[ "RONA", 45.4917819, -75.6833787, '819-568-3400', 'J8T 8J9'],</v>
      </c>
    </row>
    <row r="1005" spans="1:7" x14ac:dyDescent="0.2">
      <c r="A1005" t="s">
        <v>1555</v>
      </c>
      <c r="B1005" t="str">
        <f t="shared" si="90"/>
        <v>La Source - Les Promenades Gatineau</v>
      </c>
      <c r="C1005" t="str">
        <f t="shared" si="91"/>
        <v>45.47756</v>
      </c>
      <c r="D1005" t="str">
        <f t="shared" si="92"/>
        <v>-75.69724</v>
      </c>
      <c r="E1005" t="str">
        <f t="shared" si="93"/>
        <v>819-561-7533</v>
      </c>
      <c r="F1005" t="str">
        <f t="shared" si="94"/>
        <v>J8T 6G3</v>
      </c>
      <c r="G1005" t="str">
        <f t="shared" si="95"/>
        <v>[ "La Source - Les Promenades Gatineau", 45.47756, -75.69724, '819-561-7533', 'J8T 6G3'],</v>
      </c>
    </row>
    <row r="1006" spans="1:7" x14ac:dyDescent="0.2">
      <c r="A1006" t="s">
        <v>1556</v>
      </c>
      <c r="B1006" t="str">
        <f t="shared" si="90"/>
        <v>Jean Coutu</v>
      </c>
      <c r="C1006" t="str">
        <f t="shared" si="91"/>
        <v>45.489127</v>
      </c>
      <c r="D1006" t="str">
        <f t="shared" si="92"/>
        <v>-75.6880919</v>
      </c>
      <c r="E1006" t="str">
        <f t="shared" si="93"/>
        <v>819-243-1881</v>
      </c>
      <c r="F1006" t="str">
        <f t="shared" si="94"/>
        <v>J8T 8M1</v>
      </c>
      <c r="G1006" t="str">
        <f t="shared" si="95"/>
        <v>[ "Jean Coutu", 45.489127, -75.6880919, '819-243-1881', 'J8T 8M1'],</v>
      </c>
    </row>
    <row r="1007" spans="1:7" x14ac:dyDescent="0.2">
      <c r="A1007" t="s">
        <v>1557</v>
      </c>
      <c r="B1007" t="str">
        <f t="shared" si="90"/>
        <v>Uniprix</v>
      </c>
      <c r="C1007" t="str">
        <f t="shared" si="91"/>
        <v>45.4779433</v>
      </c>
      <c r="D1007" t="str">
        <f t="shared" si="92"/>
        <v>-75.6999086</v>
      </c>
      <c r="E1007" t="str">
        <f t="shared" si="93"/>
        <v>819-561-1313</v>
      </c>
      <c r="F1007" t="str">
        <f t="shared" si="94"/>
        <v>J8T 8J3</v>
      </c>
      <c r="G1007" t="str">
        <f t="shared" si="95"/>
        <v>[ "Uniprix", 45.4779433, -75.6999086, '819-561-1313', 'J8T 8J3'],</v>
      </c>
    </row>
    <row r="1008" spans="1:7" x14ac:dyDescent="0.2">
      <c r="A1008" t="s">
        <v>1558</v>
      </c>
      <c r="B1008" t="str">
        <f t="shared" si="90"/>
        <v>ListenUp! Canada</v>
      </c>
      <c r="C1008" t="str">
        <f t="shared" si="91"/>
        <v>45.3997827272727</v>
      </c>
      <c r="D1008" t="str">
        <f t="shared" si="92"/>
        <v>-75.7320581818182</v>
      </c>
      <c r="E1008" t="str">
        <f t="shared" si="93"/>
        <v>613-728-9170</v>
      </c>
      <c r="F1008" t="str">
        <f t="shared" si="94"/>
        <v>K1Y 0X6</v>
      </c>
      <c r="G1008" t="str">
        <f t="shared" si="95"/>
        <v>[ "ListenUp! Canada", 45.3997827272727, -75.7320581818182, '613-728-9170', 'K1Y 0X6'],</v>
      </c>
    </row>
    <row r="1009" spans="1:7" x14ac:dyDescent="0.2">
      <c r="A1009" t="s">
        <v>1559</v>
      </c>
      <c r="B1009" t="str">
        <f t="shared" si="90"/>
        <v>Canadian Tire</v>
      </c>
      <c r="C1009" t="str">
        <f t="shared" si="91"/>
        <v>45.44199</v>
      </c>
      <c r="D1009" t="str">
        <f t="shared" si="92"/>
        <v>-75.72843</v>
      </c>
      <c r="E1009" t="str">
        <f t="shared" si="93"/>
        <v>819-777-4381</v>
      </c>
      <c r="F1009" t="str">
        <f t="shared" si="94"/>
        <v>J8Y 6W4</v>
      </c>
      <c r="G1009" t="str">
        <f t="shared" si="95"/>
        <v>[ "Canadian Tire", 45.44199, -75.72843, '819-777-4381', 'J8Y 6W4'],</v>
      </c>
    </row>
    <row r="1010" spans="1:7" x14ac:dyDescent="0.2">
      <c r="A1010" t="s">
        <v>1560</v>
      </c>
      <c r="B1010" t="str">
        <f t="shared" si="90"/>
        <v>Reno Depot</v>
      </c>
      <c r="C1010" t="str">
        <f t="shared" si="91"/>
        <v>45.4541327</v>
      </c>
      <c r="D1010" t="str">
        <f t="shared" si="92"/>
        <v>-75.7282058</v>
      </c>
      <c r="E1010" t="str">
        <f t="shared" si="93"/>
        <v>819-770-7366</v>
      </c>
      <c r="F1010" t="str">
        <f t="shared" si="94"/>
        <v>J8Y 6W7</v>
      </c>
      <c r="G1010" t="str">
        <f t="shared" si="95"/>
        <v>[ "Reno Depot", 45.4541327, -75.7282058, '819-770-7366', 'J8Y 6W7'],</v>
      </c>
    </row>
    <row r="1011" spans="1:7" x14ac:dyDescent="0.2">
      <c r="A1011" t="s">
        <v>1561</v>
      </c>
      <c r="B1011" t="str">
        <f t="shared" si="90"/>
        <v>Dépôt Gatineau</v>
      </c>
      <c r="C1011" t="str">
        <f t="shared" si="91"/>
        <v>45.4537688937289</v>
      </c>
      <c r="D1011" t="str">
        <f t="shared" si="92"/>
        <v>-75.7299707864113</v>
      </c>
      <c r="E1011" t="str">
        <f t="shared" si="93"/>
        <v>--</v>
      </c>
      <c r="F1011" t="str">
        <f t="shared" si="94"/>
        <v>J8X 3Y9</v>
      </c>
      <c r="G1011" t="str">
        <f t="shared" si="95"/>
        <v>[ "Dépôt Gatineau", 45.4537688937289, -75.7299707864113, '--', 'J8X 3Y9'],</v>
      </c>
    </row>
    <row r="1012" spans="1:7" x14ac:dyDescent="0.2">
      <c r="A1012" t="s">
        <v>1562</v>
      </c>
      <c r="B1012" t="str">
        <f t="shared" si="90"/>
        <v>Jean Coutu</v>
      </c>
      <c r="C1012" t="str">
        <f t="shared" si="91"/>
        <v>45.55383</v>
      </c>
      <c r="D1012" t="str">
        <f t="shared" si="92"/>
        <v>-75.4358</v>
      </c>
      <c r="E1012" t="str">
        <f t="shared" si="93"/>
        <v>819-281-0532</v>
      </c>
      <c r="F1012" t="str">
        <f t="shared" si="94"/>
        <v>J8M 1A2</v>
      </c>
      <c r="G1012" t="str">
        <f t="shared" si="95"/>
        <v>[ "Jean Coutu", 45.55383, -75.4358, '819-281-0532', 'J8M 1A2'],</v>
      </c>
    </row>
    <row r="1013" spans="1:7" x14ac:dyDescent="0.2">
      <c r="A1013" t="s">
        <v>1563</v>
      </c>
      <c r="B1013" t="str">
        <f t="shared" si="90"/>
        <v>The Source</v>
      </c>
      <c r="C1013" t="str">
        <f t="shared" si="91"/>
        <v>45.3456195926914</v>
      </c>
      <c r="D1013" t="str">
        <f t="shared" si="92"/>
        <v>-75.7304456845579</v>
      </c>
      <c r="E1013" t="str">
        <f t="shared" si="93"/>
        <v>613-224-9648</v>
      </c>
      <c r="F1013" t="str">
        <f t="shared" si="94"/>
        <v>K2G 4A1</v>
      </c>
      <c r="G1013" t="str">
        <f t="shared" si="95"/>
        <v>[ "The Source", 45.3456195926914, -75.7304456845579, '613-224-9648', 'K2G 4A1'],</v>
      </c>
    </row>
    <row r="1014" spans="1:7" x14ac:dyDescent="0.2">
      <c r="A1014" t="s">
        <v>1564</v>
      </c>
      <c r="B1014" t="str">
        <f t="shared" si="90"/>
        <v>Interstate Batteries of Ont</v>
      </c>
      <c r="C1014" t="str">
        <f t="shared" si="91"/>
        <v>45.3247075</v>
      </c>
      <c r="D1014" t="str">
        <f t="shared" si="92"/>
        <v>-75.71596875</v>
      </c>
      <c r="E1014" t="str">
        <f t="shared" si="93"/>
        <v>613-798-9700</v>
      </c>
      <c r="F1014" t="str">
        <f t="shared" si="94"/>
        <v>K2E 6V4</v>
      </c>
      <c r="G1014" t="str">
        <f t="shared" si="95"/>
        <v>[ "Interstate Batteries of Ont", 45.3247075, -75.71596875, '613-798-9700', 'K2E 6V4'],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/>
  <dimension ref="A1:A632"/>
  <sheetViews>
    <sheetView workbookViewId="0">
      <selection activeCell="A7" sqref="A7:A622"/>
    </sheetView>
  </sheetViews>
  <sheetFormatPr baseColWidth="10" defaultRowHeight="16" x14ac:dyDescent="0.2"/>
  <sheetData>
    <row r="1" spans="1:1" x14ac:dyDescent="0.2">
      <c r="A1" t="s">
        <v>883</v>
      </c>
    </row>
    <row r="2" spans="1:1" hidden="1" x14ac:dyDescent="0.2">
      <c r="A2" t="s">
        <v>884</v>
      </c>
    </row>
    <row r="3" spans="1:1" hidden="1" x14ac:dyDescent="0.2">
      <c r="A3" t="s">
        <v>51</v>
      </c>
    </row>
    <row r="4" spans="1:1" hidden="1" x14ac:dyDescent="0.2">
      <c r="A4" t="s">
        <v>150</v>
      </c>
    </row>
    <row r="5" spans="1:1" hidden="1" x14ac:dyDescent="0.2">
      <c r="A5" t="s">
        <v>53</v>
      </c>
    </row>
    <row r="6" spans="1:1" hidden="1" x14ac:dyDescent="0.2">
      <c r="A6" t="s">
        <v>54</v>
      </c>
    </row>
    <row r="7" spans="1:1" x14ac:dyDescent="0.2">
      <c r="A7" t="s">
        <v>4</v>
      </c>
    </row>
    <row r="8" spans="1:1" hidden="1" x14ac:dyDescent="0.2">
      <c r="A8" t="s">
        <v>885</v>
      </c>
    </row>
    <row r="9" spans="1:1" hidden="1" x14ac:dyDescent="0.2">
      <c r="A9" t="s">
        <v>886</v>
      </c>
    </row>
    <row r="10" spans="1:1" hidden="1" x14ac:dyDescent="0.2">
      <c r="A10" t="s">
        <v>887</v>
      </c>
    </row>
    <row r="11" spans="1:1" x14ac:dyDescent="0.2">
      <c r="A11" t="s">
        <v>5</v>
      </c>
    </row>
    <row r="12" spans="1:1" hidden="1" x14ac:dyDescent="0.2">
      <c r="A12" t="s">
        <v>885</v>
      </c>
    </row>
    <row r="13" spans="1:1" hidden="1" x14ac:dyDescent="0.2">
      <c r="A13" t="s">
        <v>886</v>
      </c>
    </row>
    <row r="14" spans="1:1" hidden="1" x14ac:dyDescent="0.2">
      <c r="A14" t="s">
        <v>887</v>
      </c>
    </row>
    <row r="15" spans="1:1" x14ac:dyDescent="0.2">
      <c r="A15" t="s">
        <v>6</v>
      </c>
    </row>
    <row r="16" spans="1:1" hidden="1" x14ac:dyDescent="0.2">
      <c r="A16" t="s">
        <v>885</v>
      </c>
    </row>
    <row r="17" spans="1:1" hidden="1" x14ac:dyDescent="0.2">
      <c r="A17" t="s">
        <v>886</v>
      </c>
    </row>
    <row r="18" spans="1:1" hidden="1" x14ac:dyDescent="0.2">
      <c r="A18" t="s">
        <v>887</v>
      </c>
    </row>
    <row r="19" spans="1:1" x14ac:dyDescent="0.2">
      <c r="A19" t="s">
        <v>7</v>
      </c>
    </row>
    <row r="20" spans="1:1" hidden="1" x14ac:dyDescent="0.2">
      <c r="A20" t="s">
        <v>885</v>
      </c>
    </row>
    <row r="21" spans="1:1" hidden="1" x14ac:dyDescent="0.2">
      <c r="A21" t="s">
        <v>886</v>
      </c>
    </row>
    <row r="22" spans="1:1" hidden="1" x14ac:dyDescent="0.2">
      <c r="A22" t="s">
        <v>887</v>
      </c>
    </row>
    <row r="23" spans="1:1" x14ac:dyDescent="0.2">
      <c r="A23" t="s">
        <v>8</v>
      </c>
    </row>
    <row r="24" spans="1:1" hidden="1" x14ac:dyDescent="0.2">
      <c r="A24" t="s">
        <v>885</v>
      </c>
    </row>
    <row r="25" spans="1:1" hidden="1" x14ac:dyDescent="0.2">
      <c r="A25" t="s">
        <v>886</v>
      </c>
    </row>
    <row r="26" spans="1:1" hidden="1" x14ac:dyDescent="0.2">
      <c r="A26" t="s">
        <v>887</v>
      </c>
    </row>
    <row r="27" spans="1:1" x14ac:dyDescent="0.2">
      <c r="A27" t="s">
        <v>9</v>
      </c>
    </row>
    <row r="28" spans="1:1" hidden="1" x14ac:dyDescent="0.2">
      <c r="A28" t="s">
        <v>885</v>
      </c>
    </row>
    <row r="29" spans="1:1" hidden="1" x14ac:dyDescent="0.2">
      <c r="A29" t="s">
        <v>886</v>
      </c>
    </row>
    <row r="30" spans="1:1" hidden="1" x14ac:dyDescent="0.2">
      <c r="A30" t="s">
        <v>887</v>
      </c>
    </row>
    <row r="31" spans="1:1" x14ac:dyDescent="0.2">
      <c r="A31" t="s">
        <v>10</v>
      </c>
    </row>
    <row r="32" spans="1:1" hidden="1" x14ac:dyDescent="0.2">
      <c r="A32" t="s">
        <v>885</v>
      </c>
    </row>
    <row r="33" spans="1:1" hidden="1" x14ac:dyDescent="0.2">
      <c r="A33" t="s">
        <v>886</v>
      </c>
    </row>
    <row r="34" spans="1:1" hidden="1" x14ac:dyDescent="0.2">
      <c r="A34" t="s">
        <v>887</v>
      </c>
    </row>
    <row r="35" spans="1:1" x14ac:dyDescent="0.2">
      <c r="A35" t="s">
        <v>11</v>
      </c>
    </row>
    <row r="36" spans="1:1" hidden="1" x14ac:dyDescent="0.2">
      <c r="A36" t="s">
        <v>885</v>
      </c>
    </row>
    <row r="37" spans="1:1" hidden="1" x14ac:dyDescent="0.2">
      <c r="A37" t="s">
        <v>886</v>
      </c>
    </row>
    <row r="38" spans="1:1" hidden="1" x14ac:dyDescent="0.2">
      <c r="A38" t="s">
        <v>887</v>
      </c>
    </row>
    <row r="39" spans="1:1" x14ac:dyDescent="0.2">
      <c r="A39" t="s">
        <v>12</v>
      </c>
    </row>
    <row r="40" spans="1:1" hidden="1" x14ac:dyDescent="0.2">
      <c r="A40" t="s">
        <v>885</v>
      </c>
    </row>
    <row r="41" spans="1:1" hidden="1" x14ac:dyDescent="0.2">
      <c r="A41" t="s">
        <v>886</v>
      </c>
    </row>
    <row r="42" spans="1:1" hidden="1" x14ac:dyDescent="0.2">
      <c r="A42" t="s">
        <v>887</v>
      </c>
    </row>
    <row r="43" spans="1:1" x14ac:dyDescent="0.2">
      <c r="A43" t="s">
        <v>13</v>
      </c>
    </row>
    <row r="44" spans="1:1" hidden="1" x14ac:dyDescent="0.2">
      <c r="A44" t="s">
        <v>885</v>
      </c>
    </row>
    <row r="45" spans="1:1" hidden="1" x14ac:dyDescent="0.2">
      <c r="A45" t="s">
        <v>886</v>
      </c>
    </row>
    <row r="46" spans="1:1" hidden="1" x14ac:dyDescent="0.2">
      <c r="A46" t="s">
        <v>887</v>
      </c>
    </row>
    <row r="47" spans="1:1" x14ac:dyDescent="0.2">
      <c r="A47" t="s">
        <v>14</v>
      </c>
    </row>
    <row r="48" spans="1:1" hidden="1" x14ac:dyDescent="0.2">
      <c r="A48" t="s">
        <v>885</v>
      </c>
    </row>
    <row r="49" spans="1:1" hidden="1" x14ac:dyDescent="0.2">
      <c r="A49" t="s">
        <v>886</v>
      </c>
    </row>
    <row r="50" spans="1:1" hidden="1" x14ac:dyDescent="0.2">
      <c r="A50" t="s">
        <v>887</v>
      </c>
    </row>
    <row r="51" spans="1:1" x14ac:dyDescent="0.2">
      <c r="A51" t="s">
        <v>15</v>
      </c>
    </row>
    <row r="52" spans="1:1" hidden="1" x14ac:dyDescent="0.2">
      <c r="A52" t="s">
        <v>885</v>
      </c>
    </row>
    <row r="53" spans="1:1" hidden="1" x14ac:dyDescent="0.2">
      <c r="A53" t="s">
        <v>886</v>
      </c>
    </row>
    <row r="54" spans="1:1" hidden="1" x14ac:dyDescent="0.2">
      <c r="A54" t="s">
        <v>887</v>
      </c>
    </row>
    <row r="55" spans="1:1" x14ac:dyDescent="0.2">
      <c r="A55" t="s">
        <v>16</v>
      </c>
    </row>
    <row r="56" spans="1:1" hidden="1" x14ac:dyDescent="0.2">
      <c r="A56" t="s">
        <v>885</v>
      </c>
    </row>
    <row r="57" spans="1:1" hidden="1" x14ac:dyDescent="0.2">
      <c r="A57" t="s">
        <v>886</v>
      </c>
    </row>
    <row r="58" spans="1:1" hidden="1" x14ac:dyDescent="0.2">
      <c r="A58" t="s">
        <v>887</v>
      </c>
    </row>
    <row r="59" spans="1:1" x14ac:dyDescent="0.2">
      <c r="A59" t="s">
        <v>17</v>
      </c>
    </row>
    <row r="60" spans="1:1" hidden="1" x14ac:dyDescent="0.2">
      <c r="A60" t="s">
        <v>885</v>
      </c>
    </row>
    <row r="61" spans="1:1" hidden="1" x14ac:dyDescent="0.2">
      <c r="A61" t="s">
        <v>886</v>
      </c>
    </row>
    <row r="62" spans="1:1" hidden="1" x14ac:dyDescent="0.2">
      <c r="A62" t="s">
        <v>887</v>
      </c>
    </row>
    <row r="63" spans="1:1" x14ac:dyDescent="0.2">
      <c r="A63" t="s">
        <v>18</v>
      </c>
    </row>
    <row r="64" spans="1:1" hidden="1" x14ac:dyDescent="0.2">
      <c r="A64" t="s">
        <v>885</v>
      </c>
    </row>
    <row r="65" spans="1:1" hidden="1" x14ac:dyDescent="0.2">
      <c r="A65" t="s">
        <v>886</v>
      </c>
    </row>
    <row r="66" spans="1:1" hidden="1" x14ac:dyDescent="0.2">
      <c r="A66" t="s">
        <v>887</v>
      </c>
    </row>
    <row r="67" spans="1:1" x14ac:dyDescent="0.2">
      <c r="A67" t="s">
        <v>19</v>
      </c>
    </row>
    <row r="68" spans="1:1" hidden="1" x14ac:dyDescent="0.2">
      <c r="A68" t="s">
        <v>885</v>
      </c>
    </row>
    <row r="69" spans="1:1" hidden="1" x14ac:dyDescent="0.2">
      <c r="A69" t="s">
        <v>886</v>
      </c>
    </row>
    <row r="70" spans="1:1" hidden="1" x14ac:dyDescent="0.2">
      <c r="A70" t="s">
        <v>887</v>
      </c>
    </row>
    <row r="71" spans="1:1" x14ac:dyDescent="0.2">
      <c r="A71" t="s">
        <v>20</v>
      </c>
    </row>
    <row r="72" spans="1:1" hidden="1" x14ac:dyDescent="0.2">
      <c r="A72" t="s">
        <v>885</v>
      </c>
    </row>
    <row r="73" spans="1:1" hidden="1" x14ac:dyDescent="0.2">
      <c r="A73" t="s">
        <v>886</v>
      </c>
    </row>
    <row r="74" spans="1:1" hidden="1" x14ac:dyDescent="0.2">
      <c r="A74" t="s">
        <v>887</v>
      </c>
    </row>
    <row r="75" spans="1:1" x14ac:dyDescent="0.2">
      <c r="A75" t="s">
        <v>21</v>
      </c>
    </row>
    <row r="76" spans="1:1" hidden="1" x14ac:dyDescent="0.2">
      <c r="A76" t="s">
        <v>885</v>
      </c>
    </row>
    <row r="77" spans="1:1" hidden="1" x14ac:dyDescent="0.2">
      <c r="A77" t="s">
        <v>886</v>
      </c>
    </row>
    <row r="78" spans="1:1" hidden="1" x14ac:dyDescent="0.2">
      <c r="A78" t="s">
        <v>887</v>
      </c>
    </row>
    <row r="79" spans="1:1" x14ac:dyDescent="0.2">
      <c r="A79" t="s">
        <v>22</v>
      </c>
    </row>
    <row r="80" spans="1:1" hidden="1" x14ac:dyDescent="0.2">
      <c r="A80" t="s">
        <v>885</v>
      </c>
    </row>
    <row r="81" spans="1:1" hidden="1" x14ac:dyDescent="0.2">
      <c r="A81" t="s">
        <v>886</v>
      </c>
    </row>
    <row r="82" spans="1:1" hidden="1" x14ac:dyDescent="0.2">
      <c r="A82" t="s">
        <v>887</v>
      </c>
    </row>
    <row r="83" spans="1:1" x14ac:dyDescent="0.2">
      <c r="A83" t="s">
        <v>23</v>
      </c>
    </row>
    <row r="84" spans="1:1" hidden="1" x14ac:dyDescent="0.2">
      <c r="A84" t="s">
        <v>885</v>
      </c>
    </row>
    <row r="85" spans="1:1" hidden="1" x14ac:dyDescent="0.2">
      <c r="A85" t="s">
        <v>886</v>
      </c>
    </row>
    <row r="86" spans="1:1" hidden="1" x14ac:dyDescent="0.2">
      <c r="A86" t="s">
        <v>887</v>
      </c>
    </row>
    <row r="87" spans="1:1" x14ac:dyDescent="0.2">
      <c r="A87" t="s">
        <v>24</v>
      </c>
    </row>
    <row r="88" spans="1:1" hidden="1" x14ac:dyDescent="0.2">
      <c r="A88" t="s">
        <v>885</v>
      </c>
    </row>
    <row r="89" spans="1:1" hidden="1" x14ac:dyDescent="0.2">
      <c r="A89" t="s">
        <v>886</v>
      </c>
    </row>
    <row r="90" spans="1:1" hidden="1" x14ac:dyDescent="0.2">
      <c r="A90" t="s">
        <v>887</v>
      </c>
    </row>
    <row r="91" spans="1:1" x14ac:dyDescent="0.2">
      <c r="A91" t="s">
        <v>25</v>
      </c>
    </row>
    <row r="92" spans="1:1" hidden="1" x14ac:dyDescent="0.2">
      <c r="A92" t="s">
        <v>885</v>
      </c>
    </row>
    <row r="93" spans="1:1" hidden="1" x14ac:dyDescent="0.2">
      <c r="A93" t="s">
        <v>886</v>
      </c>
    </row>
    <row r="94" spans="1:1" hidden="1" x14ac:dyDescent="0.2">
      <c r="A94" t="s">
        <v>887</v>
      </c>
    </row>
    <row r="95" spans="1:1" x14ac:dyDescent="0.2">
      <c r="A95" t="s">
        <v>26</v>
      </c>
    </row>
    <row r="96" spans="1:1" hidden="1" x14ac:dyDescent="0.2">
      <c r="A96" t="s">
        <v>885</v>
      </c>
    </row>
    <row r="97" spans="1:1" hidden="1" x14ac:dyDescent="0.2">
      <c r="A97" t="s">
        <v>886</v>
      </c>
    </row>
    <row r="98" spans="1:1" hidden="1" x14ac:dyDescent="0.2">
      <c r="A98" t="s">
        <v>887</v>
      </c>
    </row>
    <row r="99" spans="1:1" x14ac:dyDescent="0.2">
      <c r="A99" t="s">
        <v>27</v>
      </c>
    </row>
    <row r="100" spans="1:1" hidden="1" x14ac:dyDescent="0.2">
      <c r="A100" t="s">
        <v>885</v>
      </c>
    </row>
    <row r="101" spans="1:1" hidden="1" x14ac:dyDescent="0.2">
      <c r="A101" t="s">
        <v>886</v>
      </c>
    </row>
    <row r="102" spans="1:1" hidden="1" x14ac:dyDescent="0.2">
      <c r="A102" t="s">
        <v>887</v>
      </c>
    </row>
    <row r="103" spans="1:1" x14ac:dyDescent="0.2">
      <c r="A103" t="s">
        <v>28</v>
      </c>
    </row>
    <row r="104" spans="1:1" hidden="1" x14ac:dyDescent="0.2">
      <c r="A104" t="s">
        <v>885</v>
      </c>
    </row>
    <row r="105" spans="1:1" hidden="1" x14ac:dyDescent="0.2">
      <c r="A105" t="s">
        <v>886</v>
      </c>
    </row>
    <row r="106" spans="1:1" hidden="1" x14ac:dyDescent="0.2">
      <c r="A106" t="s">
        <v>887</v>
      </c>
    </row>
    <row r="107" spans="1:1" x14ac:dyDescent="0.2">
      <c r="A107" t="s">
        <v>29</v>
      </c>
    </row>
    <row r="108" spans="1:1" hidden="1" x14ac:dyDescent="0.2">
      <c r="A108" t="s">
        <v>885</v>
      </c>
    </row>
    <row r="109" spans="1:1" hidden="1" x14ac:dyDescent="0.2">
      <c r="A109" t="s">
        <v>886</v>
      </c>
    </row>
    <row r="110" spans="1:1" hidden="1" x14ac:dyDescent="0.2">
      <c r="A110" t="s">
        <v>887</v>
      </c>
    </row>
    <row r="111" spans="1:1" x14ac:dyDescent="0.2">
      <c r="A111" t="s">
        <v>30</v>
      </c>
    </row>
    <row r="112" spans="1:1" hidden="1" x14ac:dyDescent="0.2">
      <c r="A112" t="s">
        <v>885</v>
      </c>
    </row>
    <row r="113" spans="1:1" hidden="1" x14ac:dyDescent="0.2">
      <c r="A113" t="s">
        <v>886</v>
      </c>
    </row>
    <row r="114" spans="1:1" hidden="1" x14ac:dyDescent="0.2">
      <c r="A114" t="s">
        <v>887</v>
      </c>
    </row>
    <row r="115" spans="1:1" x14ac:dyDescent="0.2">
      <c r="A115" t="s">
        <v>31</v>
      </c>
    </row>
    <row r="116" spans="1:1" hidden="1" x14ac:dyDescent="0.2">
      <c r="A116" t="s">
        <v>885</v>
      </c>
    </row>
    <row r="117" spans="1:1" hidden="1" x14ac:dyDescent="0.2">
      <c r="A117" t="s">
        <v>886</v>
      </c>
    </row>
    <row r="118" spans="1:1" hidden="1" x14ac:dyDescent="0.2">
      <c r="A118" t="s">
        <v>887</v>
      </c>
    </row>
    <row r="119" spans="1:1" x14ac:dyDescent="0.2">
      <c r="A119" t="s">
        <v>32</v>
      </c>
    </row>
    <row r="120" spans="1:1" hidden="1" x14ac:dyDescent="0.2">
      <c r="A120" t="s">
        <v>885</v>
      </c>
    </row>
    <row r="121" spans="1:1" hidden="1" x14ac:dyDescent="0.2">
      <c r="A121" t="s">
        <v>886</v>
      </c>
    </row>
    <row r="122" spans="1:1" hidden="1" x14ac:dyDescent="0.2">
      <c r="A122" t="s">
        <v>887</v>
      </c>
    </row>
    <row r="123" spans="1:1" x14ac:dyDescent="0.2">
      <c r="A123" t="s">
        <v>33</v>
      </c>
    </row>
    <row r="124" spans="1:1" hidden="1" x14ac:dyDescent="0.2">
      <c r="A124" t="s">
        <v>885</v>
      </c>
    </row>
    <row r="125" spans="1:1" hidden="1" x14ac:dyDescent="0.2">
      <c r="A125" t="s">
        <v>886</v>
      </c>
    </row>
    <row r="126" spans="1:1" hidden="1" x14ac:dyDescent="0.2">
      <c r="A126" t="s">
        <v>887</v>
      </c>
    </row>
    <row r="127" spans="1:1" x14ac:dyDescent="0.2">
      <c r="A127" t="s">
        <v>0</v>
      </c>
    </row>
    <row r="128" spans="1:1" hidden="1" x14ac:dyDescent="0.2">
      <c r="A128" t="s">
        <v>885</v>
      </c>
    </row>
    <row r="129" spans="1:1" hidden="1" x14ac:dyDescent="0.2">
      <c r="A129" t="s">
        <v>886</v>
      </c>
    </row>
    <row r="130" spans="1:1" hidden="1" x14ac:dyDescent="0.2">
      <c r="A130" t="s">
        <v>887</v>
      </c>
    </row>
    <row r="131" spans="1:1" x14ac:dyDescent="0.2">
      <c r="A131" t="s">
        <v>1</v>
      </c>
    </row>
    <row r="132" spans="1:1" hidden="1" x14ac:dyDescent="0.2">
      <c r="A132" t="s">
        <v>885</v>
      </c>
    </row>
    <row r="133" spans="1:1" hidden="1" x14ac:dyDescent="0.2">
      <c r="A133" t="s">
        <v>886</v>
      </c>
    </row>
    <row r="134" spans="1:1" hidden="1" x14ac:dyDescent="0.2">
      <c r="A134" t="s">
        <v>887</v>
      </c>
    </row>
    <row r="135" spans="1:1" x14ac:dyDescent="0.2">
      <c r="A135" t="s">
        <v>2</v>
      </c>
    </row>
    <row r="136" spans="1:1" hidden="1" x14ac:dyDescent="0.2">
      <c r="A136" t="s">
        <v>885</v>
      </c>
    </row>
    <row r="137" spans="1:1" hidden="1" x14ac:dyDescent="0.2">
      <c r="A137" t="s">
        <v>886</v>
      </c>
    </row>
    <row r="138" spans="1:1" hidden="1" x14ac:dyDescent="0.2">
      <c r="A138" t="s">
        <v>887</v>
      </c>
    </row>
    <row r="139" spans="1:1" x14ac:dyDescent="0.2">
      <c r="A139" t="s">
        <v>3</v>
      </c>
    </row>
    <row r="140" spans="1:1" hidden="1" x14ac:dyDescent="0.2">
      <c r="A140" t="s">
        <v>885</v>
      </c>
    </row>
    <row r="141" spans="1:1" hidden="1" x14ac:dyDescent="0.2">
      <c r="A141" t="s">
        <v>886</v>
      </c>
    </row>
    <row r="142" spans="1:1" hidden="1" x14ac:dyDescent="0.2">
      <c r="A142" t="s">
        <v>887</v>
      </c>
    </row>
    <row r="143" spans="1:1" x14ac:dyDescent="0.2">
      <c r="A143" t="s">
        <v>34</v>
      </c>
    </row>
    <row r="144" spans="1:1" hidden="1" x14ac:dyDescent="0.2">
      <c r="A144" t="s">
        <v>885</v>
      </c>
    </row>
    <row r="145" spans="1:1" hidden="1" x14ac:dyDescent="0.2">
      <c r="A145" t="s">
        <v>886</v>
      </c>
    </row>
    <row r="146" spans="1:1" hidden="1" x14ac:dyDescent="0.2">
      <c r="A146" t="s">
        <v>887</v>
      </c>
    </row>
    <row r="147" spans="1:1" x14ac:dyDescent="0.2">
      <c r="A147" t="s">
        <v>35</v>
      </c>
    </row>
    <row r="148" spans="1:1" hidden="1" x14ac:dyDescent="0.2">
      <c r="A148" t="s">
        <v>885</v>
      </c>
    </row>
    <row r="149" spans="1:1" hidden="1" x14ac:dyDescent="0.2">
      <c r="A149" t="s">
        <v>886</v>
      </c>
    </row>
    <row r="150" spans="1:1" hidden="1" x14ac:dyDescent="0.2">
      <c r="A150" t="s">
        <v>887</v>
      </c>
    </row>
    <row r="151" spans="1:1" x14ac:dyDescent="0.2">
      <c r="A151" t="s">
        <v>36</v>
      </c>
    </row>
    <row r="152" spans="1:1" hidden="1" x14ac:dyDescent="0.2">
      <c r="A152" t="s">
        <v>885</v>
      </c>
    </row>
    <row r="153" spans="1:1" hidden="1" x14ac:dyDescent="0.2">
      <c r="A153" t="s">
        <v>886</v>
      </c>
    </row>
    <row r="154" spans="1:1" hidden="1" x14ac:dyDescent="0.2">
      <c r="A154" t="s">
        <v>887</v>
      </c>
    </row>
    <row r="155" spans="1:1" x14ac:dyDescent="0.2">
      <c r="A155" t="s">
        <v>37</v>
      </c>
    </row>
    <row r="156" spans="1:1" hidden="1" x14ac:dyDescent="0.2">
      <c r="A156" t="s">
        <v>885</v>
      </c>
    </row>
    <row r="157" spans="1:1" hidden="1" x14ac:dyDescent="0.2">
      <c r="A157" t="s">
        <v>886</v>
      </c>
    </row>
    <row r="158" spans="1:1" hidden="1" x14ac:dyDescent="0.2">
      <c r="A158" t="s">
        <v>887</v>
      </c>
    </row>
    <row r="159" spans="1:1" x14ac:dyDescent="0.2">
      <c r="A159" t="s">
        <v>38</v>
      </c>
    </row>
    <row r="160" spans="1:1" hidden="1" x14ac:dyDescent="0.2">
      <c r="A160" t="s">
        <v>885</v>
      </c>
    </row>
    <row r="161" spans="1:1" hidden="1" x14ac:dyDescent="0.2">
      <c r="A161" t="s">
        <v>886</v>
      </c>
    </row>
    <row r="162" spans="1:1" hidden="1" x14ac:dyDescent="0.2">
      <c r="A162" t="s">
        <v>887</v>
      </c>
    </row>
    <row r="163" spans="1:1" x14ac:dyDescent="0.2">
      <c r="A163" t="s">
        <v>39</v>
      </c>
    </row>
    <row r="164" spans="1:1" hidden="1" x14ac:dyDescent="0.2">
      <c r="A164" t="s">
        <v>885</v>
      </c>
    </row>
    <row r="165" spans="1:1" hidden="1" x14ac:dyDescent="0.2">
      <c r="A165" t="s">
        <v>886</v>
      </c>
    </row>
    <row r="166" spans="1:1" hidden="1" x14ac:dyDescent="0.2">
      <c r="A166" t="s">
        <v>887</v>
      </c>
    </row>
    <row r="167" spans="1:1" x14ac:dyDescent="0.2">
      <c r="A167" t="s">
        <v>40</v>
      </c>
    </row>
    <row r="168" spans="1:1" hidden="1" x14ac:dyDescent="0.2">
      <c r="A168" t="s">
        <v>885</v>
      </c>
    </row>
    <row r="169" spans="1:1" hidden="1" x14ac:dyDescent="0.2">
      <c r="A169" t="s">
        <v>886</v>
      </c>
    </row>
    <row r="170" spans="1:1" hidden="1" x14ac:dyDescent="0.2">
      <c r="A170" t="s">
        <v>887</v>
      </c>
    </row>
    <row r="171" spans="1:1" x14ac:dyDescent="0.2">
      <c r="A171" t="s">
        <v>41</v>
      </c>
    </row>
    <row r="172" spans="1:1" hidden="1" x14ac:dyDescent="0.2">
      <c r="A172" t="s">
        <v>885</v>
      </c>
    </row>
    <row r="173" spans="1:1" hidden="1" x14ac:dyDescent="0.2">
      <c r="A173" t="s">
        <v>886</v>
      </c>
    </row>
    <row r="174" spans="1:1" hidden="1" x14ac:dyDescent="0.2">
      <c r="A174" t="s">
        <v>887</v>
      </c>
    </row>
    <row r="175" spans="1:1" x14ac:dyDescent="0.2">
      <c r="A175" t="s">
        <v>42</v>
      </c>
    </row>
    <row r="176" spans="1:1" hidden="1" x14ac:dyDescent="0.2">
      <c r="A176" t="s">
        <v>885</v>
      </c>
    </row>
    <row r="177" spans="1:1" hidden="1" x14ac:dyDescent="0.2">
      <c r="A177" t="s">
        <v>886</v>
      </c>
    </row>
    <row r="178" spans="1:1" hidden="1" x14ac:dyDescent="0.2">
      <c r="A178" t="s">
        <v>887</v>
      </c>
    </row>
    <row r="179" spans="1:1" x14ac:dyDescent="0.2">
      <c r="A179" t="s">
        <v>43</v>
      </c>
    </row>
    <row r="180" spans="1:1" hidden="1" x14ac:dyDescent="0.2">
      <c r="A180" t="s">
        <v>885</v>
      </c>
    </row>
    <row r="181" spans="1:1" hidden="1" x14ac:dyDescent="0.2">
      <c r="A181" t="s">
        <v>886</v>
      </c>
    </row>
    <row r="182" spans="1:1" hidden="1" x14ac:dyDescent="0.2">
      <c r="A182" t="s">
        <v>887</v>
      </c>
    </row>
    <row r="183" spans="1:1" x14ac:dyDescent="0.2">
      <c r="A183" t="s">
        <v>44</v>
      </c>
    </row>
    <row r="184" spans="1:1" hidden="1" x14ac:dyDescent="0.2">
      <c r="A184" t="s">
        <v>885</v>
      </c>
    </row>
    <row r="185" spans="1:1" hidden="1" x14ac:dyDescent="0.2">
      <c r="A185" t="s">
        <v>886</v>
      </c>
    </row>
    <row r="186" spans="1:1" hidden="1" x14ac:dyDescent="0.2">
      <c r="A186" t="s">
        <v>887</v>
      </c>
    </row>
    <row r="187" spans="1:1" x14ac:dyDescent="0.2">
      <c r="A187" t="s">
        <v>45</v>
      </c>
    </row>
    <row r="188" spans="1:1" hidden="1" x14ac:dyDescent="0.2">
      <c r="A188" t="s">
        <v>885</v>
      </c>
    </row>
    <row r="189" spans="1:1" hidden="1" x14ac:dyDescent="0.2">
      <c r="A189" t="s">
        <v>886</v>
      </c>
    </row>
    <row r="190" spans="1:1" hidden="1" x14ac:dyDescent="0.2">
      <c r="A190" t="s">
        <v>887</v>
      </c>
    </row>
    <row r="191" spans="1:1" x14ac:dyDescent="0.2">
      <c r="A191" t="s">
        <v>46</v>
      </c>
    </row>
    <row r="192" spans="1:1" hidden="1" x14ac:dyDescent="0.2">
      <c r="A192" t="s">
        <v>885</v>
      </c>
    </row>
    <row r="193" spans="1:1" hidden="1" x14ac:dyDescent="0.2">
      <c r="A193" t="s">
        <v>886</v>
      </c>
    </row>
    <row r="194" spans="1:1" hidden="1" x14ac:dyDescent="0.2">
      <c r="A194" t="s">
        <v>887</v>
      </c>
    </row>
    <row r="195" spans="1:1" x14ac:dyDescent="0.2">
      <c r="A195" t="s">
        <v>47</v>
      </c>
    </row>
    <row r="196" spans="1:1" hidden="1" x14ac:dyDescent="0.2">
      <c r="A196" t="s">
        <v>885</v>
      </c>
    </row>
    <row r="197" spans="1:1" hidden="1" x14ac:dyDescent="0.2">
      <c r="A197" t="s">
        <v>886</v>
      </c>
    </row>
    <row r="198" spans="1:1" hidden="1" x14ac:dyDescent="0.2">
      <c r="A198" t="s">
        <v>887</v>
      </c>
    </row>
    <row r="199" spans="1:1" x14ac:dyDescent="0.2">
      <c r="A199" t="s">
        <v>48</v>
      </c>
    </row>
    <row r="200" spans="1:1" hidden="1" x14ac:dyDescent="0.2">
      <c r="A200" t="s">
        <v>885</v>
      </c>
    </row>
    <row r="201" spans="1:1" hidden="1" x14ac:dyDescent="0.2">
      <c r="A201" t="s">
        <v>886</v>
      </c>
    </row>
    <row r="202" spans="1:1" hidden="1" x14ac:dyDescent="0.2">
      <c r="A202" t="s">
        <v>887</v>
      </c>
    </row>
    <row r="203" spans="1:1" x14ac:dyDescent="0.2">
      <c r="A203" t="s">
        <v>49</v>
      </c>
    </row>
    <row r="204" spans="1:1" hidden="1" x14ac:dyDescent="0.2">
      <c r="A204" t="s">
        <v>885</v>
      </c>
    </row>
    <row r="205" spans="1:1" hidden="1" x14ac:dyDescent="0.2">
      <c r="A205" t="s">
        <v>888</v>
      </c>
    </row>
    <row r="206" spans="1:1" hidden="1" x14ac:dyDescent="0.2">
      <c r="A206" t="s">
        <v>889</v>
      </c>
    </row>
    <row r="207" spans="1:1" hidden="1" x14ac:dyDescent="0.2">
      <c r="A207" t="s">
        <v>890</v>
      </c>
    </row>
    <row r="208" spans="1:1" hidden="1" x14ac:dyDescent="0.2">
      <c r="A208" t="s">
        <v>885</v>
      </c>
    </row>
    <row r="209" spans="1:1" hidden="1" x14ac:dyDescent="0.2">
      <c r="A209" t="s">
        <v>891</v>
      </c>
    </row>
    <row r="210" spans="1:1" hidden="1" x14ac:dyDescent="0.2">
      <c r="A210" t="s">
        <v>892</v>
      </c>
    </row>
    <row r="211" spans="1:1" hidden="1" x14ac:dyDescent="0.2">
      <c r="A211" t="s">
        <v>50</v>
      </c>
    </row>
    <row r="212" spans="1:1" hidden="1" x14ac:dyDescent="0.2">
      <c r="A212" t="s">
        <v>893</v>
      </c>
    </row>
    <row r="213" spans="1:1" hidden="1" x14ac:dyDescent="0.2"/>
    <row r="214" spans="1:1" hidden="1" x14ac:dyDescent="0.2">
      <c r="A214" t="s">
        <v>883</v>
      </c>
    </row>
    <row r="215" spans="1:1" hidden="1" x14ac:dyDescent="0.2">
      <c r="A215" t="s">
        <v>884</v>
      </c>
    </row>
    <row r="216" spans="1:1" hidden="1" x14ac:dyDescent="0.2">
      <c r="A216" t="s">
        <v>51</v>
      </c>
    </row>
    <row r="217" spans="1:1" hidden="1" x14ac:dyDescent="0.2">
      <c r="A217" t="s">
        <v>743</v>
      </c>
    </row>
    <row r="218" spans="1:1" hidden="1" x14ac:dyDescent="0.2">
      <c r="A218" t="s">
        <v>53</v>
      </c>
    </row>
    <row r="219" spans="1:1" hidden="1" x14ac:dyDescent="0.2">
      <c r="A219" t="s">
        <v>54</v>
      </c>
    </row>
    <row r="220" spans="1:1" x14ac:dyDescent="0.2">
      <c r="A220" t="s">
        <v>894</v>
      </c>
    </row>
    <row r="221" spans="1:1" hidden="1" x14ac:dyDescent="0.2">
      <c r="A221" t="s">
        <v>885</v>
      </c>
    </row>
    <row r="222" spans="1:1" hidden="1" x14ac:dyDescent="0.2">
      <c r="A222" t="s">
        <v>886</v>
      </c>
    </row>
    <row r="223" spans="1:1" hidden="1" x14ac:dyDescent="0.2">
      <c r="A223" t="s">
        <v>887</v>
      </c>
    </row>
    <row r="224" spans="1:1" x14ac:dyDescent="0.2">
      <c r="A224" t="s">
        <v>895</v>
      </c>
    </row>
    <row r="225" spans="1:1" hidden="1" x14ac:dyDescent="0.2">
      <c r="A225" t="s">
        <v>885</v>
      </c>
    </row>
    <row r="226" spans="1:1" hidden="1" x14ac:dyDescent="0.2">
      <c r="A226" t="s">
        <v>886</v>
      </c>
    </row>
    <row r="227" spans="1:1" hidden="1" x14ac:dyDescent="0.2">
      <c r="A227" t="s">
        <v>887</v>
      </c>
    </row>
    <row r="228" spans="1:1" x14ac:dyDescent="0.2">
      <c r="A228" t="s">
        <v>896</v>
      </c>
    </row>
    <row r="229" spans="1:1" hidden="1" x14ac:dyDescent="0.2">
      <c r="A229" t="s">
        <v>885</v>
      </c>
    </row>
    <row r="230" spans="1:1" hidden="1" x14ac:dyDescent="0.2">
      <c r="A230" t="s">
        <v>886</v>
      </c>
    </row>
    <row r="231" spans="1:1" hidden="1" x14ac:dyDescent="0.2">
      <c r="A231" t="s">
        <v>887</v>
      </c>
    </row>
    <row r="232" spans="1:1" x14ac:dyDescent="0.2">
      <c r="A232" t="s">
        <v>897</v>
      </c>
    </row>
    <row r="233" spans="1:1" hidden="1" x14ac:dyDescent="0.2">
      <c r="A233" t="s">
        <v>885</v>
      </c>
    </row>
    <row r="234" spans="1:1" hidden="1" x14ac:dyDescent="0.2">
      <c r="A234" t="s">
        <v>886</v>
      </c>
    </row>
    <row r="235" spans="1:1" hidden="1" x14ac:dyDescent="0.2">
      <c r="A235" t="s">
        <v>887</v>
      </c>
    </row>
    <row r="236" spans="1:1" x14ac:dyDescent="0.2">
      <c r="A236" t="s">
        <v>898</v>
      </c>
    </row>
    <row r="237" spans="1:1" hidden="1" x14ac:dyDescent="0.2">
      <c r="A237" t="s">
        <v>885</v>
      </c>
    </row>
    <row r="238" spans="1:1" hidden="1" x14ac:dyDescent="0.2">
      <c r="A238" t="s">
        <v>886</v>
      </c>
    </row>
    <row r="239" spans="1:1" hidden="1" x14ac:dyDescent="0.2">
      <c r="A239" t="s">
        <v>887</v>
      </c>
    </row>
    <row r="240" spans="1:1" x14ac:dyDescent="0.2">
      <c r="A240" t="s">
        <v>899</v>
      </c>
    </row>
    <row r="241" spans="1:1" hidden="1" x14ac:dyDescent="0.2">
      <c r="A241" t="s">
        <v>885</v>
      </c>
    </row>
    <row r="242" spans="1:1" hidden="1" x14ac:dyDescent="0.2">
      <c r="A242" t="s">
        <v>886</v>
      </c>
    </row>
    <row r="243" spans="1:1" hidden="1" x14ac:dyDescent="0.2">
      <c r="A243" t="s">
        <v>887</v>
      </c>
    </row>
    <row r="244" spans="1:1" x14ac:dyDescent="0.2">
      <c r="A244" t="s">
        <v>900</v>
      </c>
    </row>
    <row r="245" spans="1:1" hidden="1" x14ac:dyDescent="0.2">
      <c r="A245" t="s">
        <v>885</v>
      </c>
    </row>
    <row r="246" spans="1:1" hidden="1" x14ac:dyDescent="0.2">
      <c r="A246" t="s">
        <v>886</v>
      </c>
    </row>
    <row r="247" spans="1:1" hidden="1" x14ac:dyDescent="0.2">
      <c r="A247" t="s">
        <v>887</v>
      </c>
    </row>
    <row r="248" spans="1:1" x14ac:dyDescent="0.2">
      <c r="A248" t="s">
        <v>901</v>
      </c>
    </row>
    <row r="249" spans="1:1" hidden="1" x14ac:dyDescent="0.2">
      <c r="A249" t="s">
        <v>885</v>
      </c>
    </row>
    <row r="250" spans="1:1" hidden="1" x14ac:dyDescent="0.2">
      <c r="A250" t="s">
        <v>888</v>
      </c>
    </row>
    <row r="251" spans="1:1" hidden="1" x14ac:dyDescent="0.2">
      <c r="A251" t="s">
        <v>889</v>
      </c>
    </row>
    <row r="252" spans="1:1" hidden="1" x14ac:dyDescent="0.2">
      <c r="A252" t="s">
        <v>902</v>
      </c>
    </row>
    <row r="253" spans="1:1" hidden="1" x14ac:dyDescent="0.2">
      <c r="A253" t="s">
        <v>885</v>
      </c>
    </row>
    <row r="254" spans="1:1" hidden="1" x14ac:dyDescent="0.2">
      <c r="A254" t="s">
        <v>891</v>
      </c>
    </row>
    <row r="255" spans="1:1" hidden="1" x14ac:dyDescent="0.2">
      <c r="A255" t="s">
        <v>892</v>
      </c>
    </row>
    <row r="256" spans="1:1" hidden="1" x14ac:dyDescent="0.2">
      <c r="A256" t="s">
        <v>50</v>
      </c>
    </row>
    <row r="257" spans="1:1" hidden="1" x14ac:dyDescent="0.2">
      <c r="A257" t="s">
        <v>893</v>
      </c>
    </row>
    <row r="258" spans="1:1" hidden="1" x14ac:dyDescent="0.2"/>
    <row r="259" spans="1:1" hidden="1" x14ac:dyDescent="0.2">
      <c r="A259" t="s">
        <v>883</v>
      </c>
    </row>
    <row r="260" spans="1:1" hidden="1" x14ac:dyDescent="0.2">
      <c r="A260" t="s">
        <v>884</v>
      </c>
    </row>
    <row r="261" spans="1:1" hidden="1" x14ac:dyDescent="0.2">
      <c r="A261" t="s">
        <v>51</v>
      </c>
    </row>
    <row r="262" spans="1:1" hidden="1" x14ac:dyDescent="0.2">
      <c r="A262" t="s">
        <v>109</v>
      </c>
    </row>
    <row r="263" spans="1:1" hidden="1" x14ac:dyDescent="0.2">
      <c r="A263" t="s">
        <v>53</v>
      </c>
    </row>
    <row r="264" spans="1:1" hidden="1" x14ac:dyDescent="0.2">
      <c r="A264" t="s">
        <v>54</v>
      </c>
    </row>
    <row r="265" spans="1:1" x14ac:dyDescent="0.2">
      <c r="A265" t="s">
        <v>903</v>
      </c>
    </row>
    <row r="266" spans="1:1" hidden="1" x14ac:dyDescent="0.2">
      <c r="A266" t="s">
        <v>885</v>
      </c>
    </row>
    <row r="267" spans="1:1" hidden="1" x14ac:dyDescent="0.2">
      <c r="A267" t="s">
        <v>886</v>
      </c>
    </row>
    <row r="268" spans="1:1" hidden="1" x14ac:dyDescent="0.2">
      <c r="A268" t="s">
        <v>887</v>
      </c>
    </row>
    <row r="269" spans="1:1" x14ac:dyDescent="0.2">
      <c r="A269" t="s">
        <v>904</v>
      </c>
    </row>
    <row r="270" spans="1:1" hidden="1" x14ac:dyDescent="0.2">
      <c r="A270" t="s">
        <v>885</v>
      </c>
    </row>
    <row r="271" spans="1:1" hidden="1" x14ac:dyDescent="0.2">
      <c r="A271" t="s">
        <v>886</v>
      </c>
    </row>
    <row r="272" spans="1:1" hidden="1" x14ac:dyDescent="0.2">
      <c r="A272" t="s">
        <v>887</v>
      </c>
    </row>
    <row r="273" spans="1:1" x14ac:dyDescent="0.2">
      <c r="A273" t="s">
        <v>905</v>
      </c>
    </row>
    <row r="274" spans="1:1" hidden="1" x14ac:dyDescent="0.2">
      <c r="A274" t="s">
        <v>885</v>
      </c>
    </row>
    <row r="275" spans="1:1" hidden="1" x14ac:dyDescent="0.2">
      <c r="A275" t="s">
        <v>886</v>
      </c>
    </row>
    <row r="276" spans="1:1" hidden="1" x14ac:dyDescent="0.2">
      <c r="A276" t="s">
        <v>887</v>
      </c>
    </row>
    <row r="277" spans="1:1" x14ac:dyDescent="0.2">
      <c r="A277" t="s">
        <v>906</v>
      </c>
    </row>
    <row r="278" spans="1:1" hidden="1" x14ac:dyDescent="0.2">
      <c r="A278" t="s">
        <v>885</v>
      </c>
    </row>
    <row r="279" spans="1:1" hidden="1" x14ac:dyDescent="0.2">
      <c r="A279" t="s">
        <v>888</v>
      </c>
    </row>
    <row r="280" spans="1:1" hidden="1" x14ac:dyDescent="0.2">
      <c r="A280" t="s">
        <v>889</v>
      </c>
    </row>
    <row r="281" spans="1:1" hidden="1" x14ac:dyDescent="0.2">
      <c r="A281" t="s">
        <v>907</v>
      </c>
    </row>
    <row r="282" spans="1:1" hidden="1" x14ac:dyDescent="0.2">
      <c r="A282" t="s">
        <v>885</v>
      </c>
    </row>
    <row r="283" spans="1:1" hidden="1" x14ac:dyDescent="0.2">
      <c r="A283" t="s">
        <v>891</v>
      </c>
    </row>
    <row r="284" spans="1:1" hidden="1" x14ac:dyDescent="0.2">
      <c r="A284" t="s">
        <v>892</v>
      </c>
    </row>
    <row r="285" spans="1:1" hidden="1" x14ac:dyDescent="0.2">
      <c r="A285" t="s">
        <v>50</v>
      </c>
    </row>
    <row r="286" spans="1:1" hidden="1" x14ac:dyDescent="0.2">
      <c r="A286" t="s">
        <v>893</v>
      </c>
    </row>
    <row r="287" spans="1:1" hidden="1" x14ac:dyDescent="0.2"/>
    <row r="288" spans="1:1" hidden="1" x14ac:dyDescent="0.2">
      <c r="A288" t="s">
        <v>883</v>
      </c>
    </row>
    <row r="289" spans="1:1" hidden="1" x14ac:dyDescent="0.2">
      <c r="A289" t="s">
        <v>884</v>
      </c>
    </row>
    <row r="290" spans="1:1" hidden="1" x14ac:dyDescent="0.2">
      <c r="A290" t="s">
        <v>51</v>
      </c>
    </row>
    <row r="291" spans="1:1" hidden="1" x14ac:dyDescent="0.2">
      <c r="A291" t="s">
        <v>471</v>
      </c>
    </row>
    <row r="292" spans="1:1" hidden="1" x14ac:dyDescent="0.2">
      <c r="A292" t="s">
        <v>53</v>
      </c>
    </row>
    <row r="293" spans="1:1" hidden="1" x14ac:dyDescent="0.2">
      <c r="A293" t="s">
        <v>54</v>
      </c>
    </row>
    <row r="294" spans="1:1" x14ac:dyDescent="0.2">
      <c r="A294" t="s">
        <v>908</v>
      </c>
    </row>
    <row r="295" spans="1:1" hidden="1" x14ac:dyDescent="0.2">
      <c r="A295" t="s">
        <v>885</v>
      </c>
    </row>
    <row r="296" spans="1:1" hidden="1" x14ac:dyDescent="0.2">
      <c r="A296" t="s">
        <v>886</v>
      </c>
    </row>
    <row r="297" spans="1:1" hidden="1" x14ac:dyDescent="0.2">
      <c r="A297" t="s">
        <v>887</v>
      </c>
    </row>
    <row r="298" spans="1:1" x14ac:dyDescent="0.2">
      <c r="A298" t="s">
        <v>909</v>
      </c>
    </row>
    <row r="299" spans="1:1" hidden="1" x14ac:dyDescent="0.2">
      <c r="A299" t="s">
        <v>885</v>
      </c>
    </row>
    <row r="300" spans="1:1" hidden="1" x14ac:dyDescent="0.2">
      <c r="A300" t="s">
        <v>888</v>
      </c>
    </row>
    <row r="301" spans="1:1" hidden="1" x14ac:dyDescent="0.2">
      <c r="A301" t="s">
        <v>889</v>
      </c>
    </row>
    <row r="302" spans="1:1" hidden="1" x14ac:dyDescent="0.2">
      <c r="A302" t="s">
        <v>910</v>
      </c>
    </row>
    <row r="303" spans="1:1" hidden="1" x14ac:dyDescent="0.2">
      <c r="A303" t="s">
        <v>885</v>
      </c>
    </row>
    <row r="304" spans="1:1" hidden="1" x14ac:dyDescent="0.2">
      <c r="A304" t="s">
        <v>891</v>
      </c>
    </row>
    <row r="305" spans="1:1" hidden="1" x14ac:dyDescent="0.2">
      <c r="A305" t="s">
        <v>892</v>
      </c>
    </row>
    <row r="306" spans="1:1" hidden="1" x14ac:dyDescent="0.2">
      <c r="A306" t="s">
        <v>50</v>
      </c>
    </row>
    <row r="307" spans="1:1" hidden="1" x14ac:dyDescent="0.2">
      <c r="A307" t="s">
        <v>893</v>
      </c>
    </row>
    <row r="308" spans="1:1" hidden="1" x14ac:dyDescent="0.2"/>
    <row r="309" spans="1:1" hidden="1" x14ac:dyDescent="0.2">
      <c r="A309" t="s">
        <v>883</v>
      </c>
    </row>
    <row r="310" spans="1:1" hidden="1" x14ac:dyDescent="0.2">
      <c r="A310" t="s">
        <v>884</v>
      </c>
    </row>
    <row r="311" spans="1:1" hidden="1" x14ac:dyDescent="0.2">
      <c r="A311" t="s">
        <v>51</v>
      </c>
    </row>
    <row r="312" spans="1:1" hidden="1" x14ac:dyDescent="0.2">
      <c r="A312" t="s">
        <v>78</v>
      </c>
    </row>
    <row r="313" spans="1:1" hidden="1" x14ac:dyDescent="0.2">
      <c r="A313" t="s">
        <v>53</v>
      </c>
    </row>
    <row r="314" spans="1:1" hidden="1" x14ac:dyDescent="0.2">
      <c r="A314" t="s">
        <v>54</v>
      </c>
    </row>
    <row r="315" spans="1:1" x14ac:dyDescent="0.2">
      <c r="A315" t="s">
        <v>911</v>
      </c>
    </row>
    <row r="316" spans="1:1" hidden="1" x14ac:dyDescent="0.2">
      <c r="A316" t="s">
        <v>885</v>
      </c>
    </row>
    <row r="317" spans="1:1" hidden="1" x14ac:dyDescent="0.2">
      <c r="A317" t="s">
        <v>886</v>
      </c>
    </row>
    <row r="318" spans="1:1" hidden="1" x14ac:dyDescent="0.2">
      <c r="A318" t="s">
        <v>887</v>
      </c>
    </row>
    <row r="319" spans="1:1" x14ac:dyDescent="0.2">
      <c r="A319" t="s">
        <v>912</v>
      </c>
    </row>
    <row r="320" spans="1:1" hidden="1" x14ac:dyDescent="0.2">
      <c r="A320" t="s">
        <v>885</v>
      </c>
    </row>
    <row r="321" spans="1:1" hidden="1" x14ac:dyDescent="0.2">
      <c r="A321" t="s">
        <v>886</v>
      </c>
    </row>
    <row r="322" spans="1:1" hidden="1" x14ac:dyDescent="0.2">
      <c r="A322" t="s">
        <v>887</v>
      </c>
    </row>
    <row r="323" spans="1:1" x14ac:dyDescent="0.2">
      <c r="A323" t="s">
        <v>913</v>
      </c>
    </row>
    <row r="324" spans="1:1" hidden="1" x14ac:dyDescent="0.2">
      <c r="A324" t="s">
        <v>885</v>
      </c>
    </row>
    <row r="325" spans="1:1" hidden="1" x14ac:dyDescent="0.2">
      <c r="A325" t="s">
        <v>886</v>
      </c>
    </row>
    <row r="326" spans="1:1" hidden="1" x14ac:dyDescent="0.2">
      <c r="A326" t="s">
        <v>887</v>
      </c>
    </row>
    <row r="327" spans="1:1" x14ac:dyDescent="0.2">
      <c r="A327" t="s">
        <v>914</v>
      </c>
    </row>
    <row r="328" spans="1:1" hidden="1" x14ac:dyDescent="0.2">
      <c r="A328" t="s">
        <v>885</v>
      </c>
    </row>
    <row r="329" spans="1:1" hidden="1" x14ac:dyDescent="0.2">
      <c r="A329" t="s">
        <v>886</v>
      </c>
    </row>
    <row r="330" spans="1:1" hidden="1" x14ac:dyDescent="0.2">
      <c r="A330" t="s">
        <v>887</v>
      </c>
    </row>
    <row r="331" spans="1:1" x14ac:dyDescent="0.2">
      <c r="A331" t="s">
        <v>915</v>
      </c>
    </row>
    <row r="332" spans="1:1" hidden="1" x14ac:dyDescent="0.2">
      <c r="A332" t="s">
        <v>885</v>
      </c>
    </row>
    <row r="333" spans="1:1" hidden="1" x14ac:dyDescent="0.2">
      <c r="A333" t="s">
        <v>886</v>
      </c>
    </row>
    <row r="334" spans="1:1" hidden="1" x14ac:dyDescent="0.2">
      <c r="A334" t="s">
        <v>887</v>
      </c>
    </row>
    <row r="335" spans="1:1" x14ac:dyDescent="0.2">
      <c r="A335" t="s">
        <v>916</v>
      </c>
    </row>
    <row r="336" spans="1:1" hidden="1" x14ac:dyDescent="0.2">
      <c r="A336" t="s">
        <v>885</v>
      </c>
    </row>
    <row r="337" spans="1:1" hidden="1" x14ac:dyDescent="0.2">
      <c r="A337" t="s">
        <v>888</v>
      </c>
    </row>
    <row r="338" spans="1:1" hidden="1" x14ac:dyDescent="0.2">
      <c r="A338" t="s">
        <v>889</v>
      </c>
    </row>
    <row r="339" spans="1:1" hidden="1" x14ac:dyDescent="0.2">
      <c r="A339" t="s">
        <v>917</v>
      </c>
    </row>
    <row r="340" spans="1:1" hidden="1" x14ac:dyDescent="0.2">
      <c r="A340" t="s">
        <v>885</v>
      </c>
    </row>
    <row r="341" spans="1:1" hidden="1" x14ac:dyDescent="0.2">
      <c r="A341" t="s">
        <v>891</v>
      </c>
    </row>
    <row r="342" spans="1:1" hidden="1" x14ac:dyDescent="0.2">
      <c r="A342" t="s">
        <v>892</v>
      </c>
    </row>
    <row r="343" spans="1:1" hidden="1" x14ac:dyDescent="0.2">
      <c r="A343" t="s">
        <v>50</v>
      </c>
    </row>
    <row r="344" spans="1:1" hidden="1" x14ac:dyDescent="0.2">
      <c r="A344" t="s">
        <v>893</v>
      </c>
    </row>
    <row r="345" spans="1:1" hidden="1" x14ac:dyDescent="0.2"/>
    <row r="346" spans="1:1" hidden="1" x14ac:dyDescent="0.2">
      <c r="A346" t="s">
        <v>883</v>
      </c>
    </row>
    <row r="347" spans="1:1" hidden="1" x14ac:dyDescent="0.2">
      <c r="A347" t="s">
        <v>884</v>
      </c>
    </row>
    <row r="348" spans="1:1" hidden="1" x14ac:dyDescent="0.2">
      <c r="A348" t="s">
        <v>51</v>
      </c>
    </row>
    <row r="349" spans="1:1" hidden="1" x14ac:dyDescent="0.2">
      <c r="A349" t="s">
        <v>743</v>
      </c>
    </row>
    <row r="350" spans="1:1" hidden="1" x14ac:dyDescent="0.2">
      <c r="A350" t="s">
        <v>53</v>
      </c>
    </row>
    <row r="351" spans="1:1" hidden="1" x14ac:dyDescent="0.2">
      <c r="A351" t="s">
        <v>54</v>
      </c>
    </row>
    <row r="352" spans="1:1" x14ac:dyDescent="0.2">
      <c r="A352" t="s">
        <v>918</v>
      </c>
    </row>
    <row r="353" spans="1:1" hidden="1" x14ac:dyDescent="0.2">
      <c r="A353" t="s">
        <v>885</v>
      </c>
    </row>
    <row r="354" spans="1:1" hidden="1" x14ac:dyDescent="0.2">
      <c r="A354" t="s">
        <v>886</v>
      </c>
    </row>
    <row r="355" spans="1:1" hidden="1" x14ac:dyDescent="0.2">
      <c r="A355" t="s">
        <v>887</v>
      </c>
    </row>
    <row r="356" spans="1:1" x14ac:dyDescent="0.2">
      <c r="A356" t="s">
        <v>919</v>
      </c>
    </row>
    <row r="357" spans="1:1" hidden="1" x14ac:dyDescent="0.2">
      <c r="A357" t="s">
        <v>885</v>
      </c>
    </row>
    <row r="358" spans="1:1" hidden="1" x14ac:dyDescent="0.2">
      <c r="A358" t="s">
        <v>886</v>
      </c>
    </row>
    <row r="359" spans="1:1" hidden="1" x14ac:dyDescent="0.2">
      <c r="A359" t="s">
        <v>887</v>
      </c>
    </row>
    <row r="360" spans="1:1" x14ac:dyDescent="0.2">
      <c r="A360" t="s">
        <v>920</v>
      </c>
    </row>
    <row r="361" spans="1:1" hidden="1" x14ac:dyDescent="0.2">
      <c r="A361" t="s">
        <v>885</v>
      </c>
    </row>
    <row r="362" spans="1:1" hidden="1" x14ac:dyDescent="0.2">
      <c r="A362" t="s">
        <v>886</v>
      </c>
    </row>
    <row r="363" spans="1:1" hidden="1" x14ac:dyDescent="0.2">
      <c r="A363" t="s">
        <v>887</v>
      </c>
    </row>
    <row r="364" spans="1:1" x14ac:dyDescent="0.2">
      <c r="A364" t="s">
        <v>921</v>
      </c>
    </row>
    <row r="365" spans="1:1" hidden="1" x14ac:dyDescent="0.2">
      <c r="A365" t="s">
        <v>885</v>
      </c>
    </row>
    <row r="366" spans="1:1" hidden="1" x14ac:dyDescent="0.2">
      <c r="A366" t="s">
        <v>886</v>
      </c>
    </row>
    <row r="367" spans="1:1" hidden="1" x14ac:dyDescent="0.2">
      <c r="A367" t="s">
        <v>887</v>
      </c>
    </row>
    <row r="368" spans="1:1" x14ac:dyDescent="0.2">
      <c r="A368" t="s">
        <v>922</v>
      </c>
    </row>
    <row r="369" spans="1:1" hidden="1" x14ac:dyDescent="0.2">
      <c r="A369" t="s">
        <v>885</v>
      </c>
    </row>
    <row r="370" spans="1:1" hidden="1" x14ac:dyDescent="0.2">
      <c r="A370" t="s">
        <v>886</v>
      </c>
    </row>
    <row r="371" spans="1:1" hidden="1" x14ac:dyDescent="0.2">
      <c r="A371" t="s">
        <v>887</v>
      </c>
    </row>
    <row r="372" spans="1:1" x14ac:dyDescent="0.2">
      <c r="A372" t="s">
        <v>923</v>
      </c>
    </row>
    <row r="373" spans="1:1" hidden="1" x14ac:dyDescent="0.2">
      <c r="A373" t="s">
        <v>885</v>
      </c>
    </row>
    <row r="374" spans="1:1" hidden="1" x14ac:dyDescent="0.2">
      <c r="A374" t="s">
        <v>886</v>
      </c>
    </row>
    <row r="375" spans="1:1" hidden="1" x14ac:dyDescent="0.2">
      <c r="A375" t="s">
        <v>887</v>
      </c>
    </row>
    <row r="376" spans="1:1" x14ac:dyDescent="0.2">
      <c r="A376" t="s">
        <v>924</v>
      </c>
    </row>
    <row r="377" spans="1:1" hidden="1" x14ac:dyDescent="0.2">
      <c r="A377" t="s">
        <v>885</v>
      </c>
    </row>
    <row r="378" spans="1:1" hidden="1" x14ac:dyDescent="0.2">
      <c r="A378" t="s">
        <v>886</v>
      </c>
    </row>
    <row r="379" spans="1:1" hidden="1" x14ac:dyDescent="0.2">
      <c r="A379" t="s">
        <v>887</v>
      </c>
    </row>
    <row r="380" spans="1:1" x14ac:dyDescent="0.2">
      <c r="A380" t="s">
        <v>925</v>
      </c>
    </row>
    <row r="381" spans="1:1" hidden="1" x14ac:dyDescent="0.2">
      <c r="A381" t="s">
        <v>885</v>
      </c>
    </row>
    <row r="382" spans="1:1" hidden="1" x14ac:dyDescent="0.2">
      <c r="A382" t="s">
        <v>888</v>
      </c>
    </row>
    <row r="383" spans="1:1" hidden="1" x14ac:dyDescent="0.2">
      <c r="A383" t="s">
        <v>889</v>
      </c>
    </row>
    <row r="384" spans="1:1" hidden="1" x14ac:dyDescent="0.2">
      <c r="A384" t="s">
        <v>926</v>
      </c>
    </row>
    <row r="385" spans="1:1" hidden="1" x14ac:dyDescent="0.2">
      <c r="A385" t="s">
        <v>885</v>
      </c>
    </row>
    <row r="386" spans="1:1" hidden="1" x14ac:dyDescent="0.2">
      <c r="A386" t="s">
        <v>891</v>
      </c>
    </row>
    <row r="387" spans="1:1" hidden="1" x14ac:dyDescent="0.2">
      <c r="A387" t="s">
        <v>892</v>
      </c>
    </row>
    <row r="388" spans="1:1" hidden="1" x14ac:dyDescent="0.2">
      <c r="A388" t="s">
        <v>50</v>
      </c>
    </row>
    <row r="389" spans="1:1" hidden="1" x14ac:dyDescent="0.2">
      <c r="A389" t="s">
        <v>893</v>
      </c>
    </row>
    <row r="390" spans="1:1" hidden="1" x14ac:dyDescent="0.2"/>
    <row r="391" spans="1:1" hidden="1" x14ac:dyDescent="0.2">
      <c r="A391" t="s">
        <v>883</v>
      </c>
    </row>
    <row r="392" spans="1:1" hidden="1" x14ac:dyDescent="0.2">
      <c r="A392" t="s">
        <v>884</v>
      </c>
    </row>
    <row r="393" spans="1:1" hidden="1" x14ac:dyDescent="0.2">
      <c r="A393" t="s">
        <v>51</v>
      </c>
    </row>
    <row r="394" spans="1:1" hidden="1" x14ac:dyDescent="0.2">
      <c r="A394" t="s">
        <v>109</v>
      </c>
    </row>
    <row r="395" spans="1:1" hidden="1" x14ac:dyDescent="0.2">
      <c r="A395" t="s">
        <v>53</v>
      </c>
    </row>
    <row r="396" spans="1:1" hidden="1" x14ac:dyDescent="0.2">
      <c r="A396" t="s">
        <v>54</v>
      </c>
    </row>
    <row r="397" spans="1:1" x14ac:dyDescent="0.2">
      <c r="A397" t="s">
        <v>927</v>
      </c>
    </row>
    <row r="398" spans="1:1" hidden="1" x14ac:dyDescent="0.2">
      <c r="A398" t="s">
        <v>885</v>
      </c>
    </row>
    <row r="399" spans="1:1" hidden="1" x14ac:dyDescent="0.2">
      <c r="A399" t="s">
        <v>886</v>
      </c>
    </row>
    <row r="400" spans="1:1" hidden="1" x14ac:dyDescent="0.2">
      <c r="A400" t="s">
        <v>887</v>
      </c>
    </row>
    <row r="401" spans="1:1" x14ac:dyDescent="0.2">
      <c r="A401" t="s">
        <v>928</v>
      </c>
    </row>
    <row r="402" spans="1:1" hidden="1" x14ac:dyDescent="0.2">
      <c r="A402" t="s">
        <v>885</v>
      </c>
    </row>
    <row r="403" spans="1:1" hidden="1" x14ac:dyDescent="0.2">
      <c r="A403" t="s">
        <v>886</v>
      </c>
    </row>
    <row r="404" spans="1:1" hidden="1" x14ac:dyDescent="0.2">
      <c r="A404" t="s">
        <v>887</v>
      </c>
    </row>
    <row r="405" spans="1:1" x14ac:dyDescent="0.2">
      <c r="A405" t="s">
        <v>929</v>
      </c>
    </row>
    <row r="406" spans="1:1" hidden="1" x14ac:dyDescent="0.2">
      <c r="A406" t="s">
        <v>885</v>
      </c>
    </row>
    <row r="407" spans="1:1" hidden="1" x14ac:dyDescent="0.2">
      <c r="A407" t="s">
        <v>886</v>
      </c>
    </row>
    <row r="408" spans="1:1" hidden="1" x14ac:dyDescent="0.2">
      <c r="A408" t="s">
        <v>887</v>
      </c>
    </row>
    <row r="409" spans="1:1" x14ac:dyDescent="0.2">
      <c r="A409" t="s">
        <v>930</v>
      </c>
    </row>
    <row r="410" spans="1:1" hidden="1" x14ac:dyDescent="0.2">
      <c r="A410" t="s">
        <v>885</v>
      </c>
    </row>
    <row r="411" spans="1:1" hidden="1" x14ac:dyDescent="0.2">
      <c r="A411" t="s">
        <v>888</v>
      </c>
    </row>
    <row r="412" spans="1:1" hidden="1" x14ac:dyDescent="0.2">
      <c r="A412" t="s">
        <v>889</v>
      </c>
    </row>
    <row r="413" spans="1:1" hidden="1" x14ac:dyDescent="0.2">
      <c r="A413" t="s">
        <v>931</v>
      </c>
    </row>
    <row r="414" spans="1:1" hidden="1" x14ac:dyDescent="0.2">
      <c r="A414" t="s">
        <v>885</v>
      </c>
    </row>
    <row r="415" spans="1:1" hidden="1" x14ac:dyDescent="0.2">
      <c r="A415" t="s">
        <v>891</v>
      </c>
    </row>
    <row r="416" spans="1:1" hidden="1" x14ac:dyDescent="0.2">
      <c r="A416" t="s">
        <v>892</v>
      </c>
    </row>
    <row r="417" spans="1:1" hidden="1" x14ac:dyDescent="0.2">
      <c r="A417" t="s">
        <v>50</v>
      </c>
    </row>
    <row r="418" spans="1:1" hidden="1" x14ac:dyDescent="0.2">
      <c r="A418" t="s">
        <v>893</v>
      </c>
    </row>
    <row r="419" spans="1:1" hidden="1" x14ac:dyDescent="0.2"/>
    <row r="420" spans="1:1" hidden="1" x14ac:dyDescent="0.2">
      <c r="A420" t="s">
        <v>883</v>
      </c>
    </row>
    <row r="421" spans="1:1" hidden="1" x14ac:dyDescent="0.2">
      <c r="A421" t="s">
        <v>884</v>
      </c>
    </row>
    <row r="422" spans="1:1" hidden="1" x14ac:dyDescent="0.2">
      <c r="A422" t="s">
        <v>51</v>
      </c>
    </row>
    <row r="423" spans="1:1" hidden="1" x14ac:dyDescent="0.2">
      <c r="A423" t="s">
        <v>150</v>
      </c>
    </row>
    <row r="424" spans="1:1" hidden="1" x14ac:dyDescent="0.2">
      <c r="A424" t="s">
        <v>53</v>
      </c>
    </row>
    <row r="425" spans="1:1" hidden="1" x14ac:dyDescent="0.2">
      <c r="A425" t="s">
        <v>54</v>
      </c>
    </row>
    <row r="426" spans="1:1" x14ac:dyDescent="0.2">
      <c r="A426" t="s">
        <v>1515</v>
      </c>
    </row>
    <row r="427" spans="1:1" hidden="1" x14ac:dyDescent="0.2">
      <c r="A427" t="s">
        <v>885</v>
      </c>
    </row>
    <row r="428" spans="1:1" hidden="1" x14ac:dyDescent="0.2">
      <c r="A428" t="s">
        <v>886</v>
      </c>
    </row>
    <row r="429" spans="1:1" hidden="1" x14ac:dyDescent="0.2">
      <c r="A429" t="s">
        <v>887</v>
      </c>
    </row>
    <row r="430" spans="1:1" x14ac:dyDescent="0.2">
      <c r="A430" t="s">
        <v>1516</v>
      </c>
    </row>
    <row r="431" spans="1:1" hidden="1" x14ac:dyDescent="0.2">
      <c r="A431" t="s">
        <v>885</v>
      </c>
    </row>
    <row r="432" spans="1:1" hidden="1" x14ac:dyDescent="0.2">
      <c r="A432" t="s">
        <v>886</v>
      </c>
    </row>
    <row r="433" spans="1:1" hidden="1" x14ac:dyDescent="0.2">
      <c r="A433" t="s">
        <v>887</v>
      </c>
    </row>
    <row r="434" spans="1:1" x14ac:dyDescent="0.2">
      <c r="A434" t="s">
        <v>1517</v>
      </c>
    </row>
    <row r="435" spans="1:1" hidden="1" x14ac:dyDescent="0.2">
      <c r="A435" t="s">
        <v>885</v>
      </c>
    </row>
    <row r="436" spans="1:1" hidden="1" x14ac:dyDescent="0.2">
      <c r="A436" t="s">
        <v>886</v>
      </c>
    </row>
    <row r="437" spans="1:1" hidden="1" x14ac:dyDescent="0.2">
      <c r="A437" t="s">
        <v>887</v>
      </c>
    </row>
    <row r="438" spans="1:1" x14ac:dyDescent="0.2">
      <c r="A438" t="s">
        <v>1518</v>
      </c>
    </row>
    <row r="439" spans="1:1" hidden="1" x14ac:dyDescent="0.2">
      <c r="A439" t="s">
        <v>885</v>
      </c>
    </row>
    <row r="440" spans="1:1" hidden="1" x14ac:dyDescent="0.2">
      <c r="A440" t="s">
        <v>886</v>
      </c>
    </row>
    <row r="441" spans="1:1" hidden="1" x14ac:dyDescent="0.2">
      <c r="A441" t="s">
        <v>887</v>
      </c>
    </row>
    <row r="442" spans="1:1" x14ac:dyDescent="0.2">
      <c r="A442" t="s">
        <v>1519</v>
      </c>
    </row>
    <row r="443" spans="1:1" hidden="1" x14ac:dyDescent="0.2">
      <c r="A443" t="s">
        <v>885</v>
      </c>
    </row>
    <row r="444" spans="1:1" hidden="1" x14ac:dyDescent="0.2">
      <c r="A444" t="s">
        <v>886</v>
      </c>
    </row>
    <row r="445" spans="1:1" hidden="1" x14ac:dyDescent="0.2">
      <c r="A445" t="s">
        <v>887</v>
      </c>
    </row>
    <row r="446" spans="1:1" x14ac:dyDescent="0.2">
      <c r="A446" t="s">
        <v>1520</v>
      </c>
    </row>
    <row r="447" spans="1:1" hidden="1" x14ac:dyDescent="0.2">
      <c r="A447" t="s">
        <v>885</v>
      </c>
    </row>
    <row r="448" spans="1:1" hidden="1" x14ac:dyDescent="0.2">
      <c r="A448" t="s">
        <v>886</v>
      </c>
    </row>
    <row r="449" spans="1:1" hidden="1" x14ac:dyDescent="0.2">
      <c r="A449" t="s">
        <v>887</v>
      </c>
    </row>
    <row r="450" spans="1:1" x14ac:dyDescent="0.2">
      <c r="A450" t="s">
        <v>1521</v>
      </c>
    </row>
    <row r="451" spans="1:1" hidden="1" x14ac:dyDescent="0.2">
      <c r="A451" t="s">
        <v>885</v>
      </c>
    </row>
    <row r="452" spans="1:1" hidden="1" x14ac:dyDescent="0.2">
      <c r="A452" t="s">
        <v>886</v>
      </c>
    </row>
    <row r="453" spans="1:1" hidden="1" x14ac:dyDescent="0.2">
      <c r="A453" t="s">
        <v>887</v>
      </c>
    </row>
    <row r="454" spans="1:1" x14ac:dyDescent="0.2">
      <c r="A454" t="s">
        <v>1522</v>
      </c>
    </row>
    <row r="455" spans="1:1" hidden="1" x14ac:dyDescent="0.2">
      <c r="A455" t="s">
        <v>885</v>
      </c>
    </row>
    <row r="456" spans="1:1" hidden="1" x14ac:dyDescent="0.2">
      <c r="A456" t="s">
        <v>886</v>
      </c>
    </row>
    <row r="457" spans="1:1" hidden="1" x14ac:dyDescent="0.2">
      <c r="A457" t="s">
        <v>887</v>
      </c>
    </row>
    <row r="458" spans="1:1" x14ac:dyDescent="0.2">
      <c r="A458" t="s">
        <v>1523</v>
      </c>
    </row>
    <row r="459" spans="1:1" hidden="1" x14ac:dyDescent="0.2">
      <c r="A459" t="s">
        <v>885</v>
      </c>
    </row>
    <row r="460" spans="1:1" hidden="1" x14ac:dyDescent="0.2">
      <c r="A460" t="s">
        <v>886</v>
      </c>
    </row>
    <row r="461" spans="1:1" hidden="1" x14ac:dyDescent="0.2">
      <c r="A461" t="s">
        <v>887</v>
      </c>
    </row>
    <row r="462" spans="1:1" x14ac:dyDescent="0.2">
      <c r="A462" t="s">
        <v>1524</v>
      </c>
    </row>
    <row r="463" spans="1:1" hidden="1" x14ac:dyDescent="0.2">
      <c r="A463" t="s">
        <v>885</v>
      </c>
    </row>
    <row r="464" spans="1:1" hidden="1" x14ac:dyDescent="0.2">
      <c r="A464" t="s">
        <v>886</v>
      </c>
    </row>
    <row r="465" spans="1:1" hidden="1" x14ac:dyDescent="0.2">
      <c r="A465" t="s">
        <v>887</v>
      </c>
    </row>
    <row r="466" spans="1:1" x14ac:dyDescent="0.2">
      <c r="A466" t="s">
        <v>1525</v>
      </c>
    </row>
    <row r="467" spans="1:1" hidden="1" x14ac:dyDescent="0.2">
      <c r="A467" t="s">
        <v>885</v>
      </c>
    </row>
    <row r="468" spans="1:1" hidden="1" x14ac:dyDescent="0.2">
      <c r="A468" t="s">
        <v>886</v>
      </c>
    </row>
    <row r="469" spans="1:1" hidden="1" x14ac:dyDescent="0.2">
      <c r="A469" t="s">
        <v>887</v>
      </c>
    </row>
    <row r="470" spans="1:1" x14ac:dyDescent="0.2">
      <c r="A470" t="s">
        <v>1526</v>
      </c>
    </row>
    <row r="471" spans="1:1" hidden="1" x14ac:dyDescent="0.2">
      <c r="A471" t="s">
        <v>885</v>
      </c>
    </row>
    <row r="472" spans="1:1" hidden="1" x14ac:dyDescent="0.2">
      <c r="A472" t="s">
        <v>886</v>
      </c>
    </row>
    <row r="473" spans="1:1" hidden="1" x14ac:dyDescent="0.2">
      <c r="A473" t="s">
        <v>887</v>
      </c>
    </row>
    <row r="474" spans="1:1" x14ac:dyDescent="0.2">
      <c r="A474" t="s">
        <v>1527</v>
      </c>
    </row>
    <row r="475" spans="1:1" hidden="1" x14ac:dyDescent="0.2">
      <c r="A475" t="s">
        <v>885</v>
      </c>
    </row>
    <row r="476" spans="1:1" hidden="1" x14ac:dyDescent="0.2">
      <c r="A476" t="s">
        <v>886</v>
      </c>
    </row>
    <row r="477" spans="1:1" hidden="1" x14ac:dyDescent="0.2">
      <c r="A477" t="s">
        <v>887</v>
      </c>
    </row>
    <row r="478" spans="1:1" x14ac:dyDescent="0.2">
      <c r="A478" t="s">
        <v>1528</v>
      </c>
    </row>
    <row r="479" spans="1:1" hidden="1" x14ac:dyDescent="0.2">
      <c r="A479" t="s">
        <v>885</v>
      </c>
    </row>
    <row r="480" spans="1:1" hidden="1" x14ac:dyDescent="0.2">
      <c r="A480" t="s">
        <v>886</v>
      </c>
    </row>
    <row r="481" spans="1:1" hidden="1" x14ac:dyDescent="0.2">
      <c r="A481" t="s">
        <v>887</v>
      </c>
    </row>
    <row r="482" spans="1:1" x14ac:dyDescent="0.2">
      <c r="A482" t="s">
        <v>1529</v>
      </c>
    </row>
    <row r="483" spans="1:1" hidden="1" x14ac:dyDescent="0.2">
      <c r="A483" t="s">
        <v>885</v>
      </c>
    </row>
    <row r="484" spans="1:1" hidden="1" x14ac:dyDescent="0.2">
      <c r="A484" t="s">
        <v>886</v>
      </c>
    </row>
    <row r="485" spans="1:1" hidden="1" x14ac:dyDescent="0.2">
      <c r="A485" t="s">
        <v>887</v>
      </c>
    </row>
    <row r="486" spans="1:1" x14ac:dyDescent="0.2">
      <c r="A486" t="s">
        <v>1530</v>
      </c>
    </row>
    <row r="487" spans="1:1" hidden="1" x14ac:dyDescent="0.2">
      <c r="A487" t="s">
        <v>885</v>
      </c>
    </row>
    <row r="488" spans="1:1" hidden="1" x14ac:dyDescent="0.2">
      <c r="A488" t="s">
        <v>886</v>
      </c>
    </row>
    <row r="489" spans="1:1" hidden="1" x14ac:dyDescent="0.2">
      <c r="A489" t="s">
        <v>887</v>
      </c>
    </row>
    <row r="490" spans="1:1" x14ac:dyDescent="0.2">
      <c r="A490" t="s">
        <v>1531</v>
      </c>
    </row>
    <row r="491" spans="1:1" hidden="1" x14ac:dyDescent="0.2">
      <c r="A491" t="s">
        <v>885</v>
      </c>
    </row>
    <row r="492" spans="1:1" hidden="1" x14ac:dyDescent="0.2">
      <c r="A492" t="s">
        <v>886</v>
      </c>
    </row>
    <row r="493" spans="1:1" hidden="1" x14ac:dyDescent="0.2">
      <c r="A493" t="s">
        <v>887</v>
      </c>
    </row>
    <row r="494" spans="1:1" x14ac:dyDescent="0.2">
      <c r="A494" t="s">
        <v>1532</v>
      </c>
    </row>
    <row r="495" spans="1:1" hidden="1" x14ac:dyDescent="0.2">
      <c r="A495" t="s">
        <v>885</v>
      </c>
    </row>
    <row r="496" spans="1:1" hidden="1" x14ac:dyDescent="0.2">
      <c r="A496" t="s">
        <v>886</v>
      </c>
    </row>
    <row r="497" spans="1:1" hidden="1" x14ac:dyDescent="0.2">
      <c r="A497" t="s">
        <v>887</v>
      </c>
    </row>
    <row r="498" spans="1:1" x14ac:dyDescent="0.2">
      <c r="A498" t="s">
        <v>1533</v>
      </c>
    </row>
    <row r="499" spans="1:1" hidden="1" x14ac:dyDescent="0.2">
      <c r="A499" t="s">
        <v>885</v>
      </c>
    </row>
    <row r="500" spans="1:1" hidden="1" x14ac:dyDescent="0.2">
      <c r="A500" t="s">
        <v>886</v>
      </c>
    </row>
    <row r="501" spans="1:1" hidden="1" x14ac:dyDescent="0.2">
      <c r="A501" t="s">
        <v>887</v>
      </c>
    </row>
    <row r="502" spans="1:1" x14ac:dyDescent="0.2">
      <c r="A502" t="s">
        <v>1534</v>
      </c>
    </row>
    <row r="503" spans="1:1" hidden="1" x14ac:dyDescent="0.2">
      <c r="A503" t="s">
        <v>885</v>
      </c>
    </row>
    <row r="504" spans="1:1" hidden="1" x14ac:dyDescent="0.2">
      <c r="A504" t="s">
        <v>886</v>
      </c>
    </row>
    <row r="505" spans="1:1" hidden="1" x14ac:dyDescent="0.2">
      <c r="A505" t="s">
        <v>887</v>
      </c>
    </row>
    <row r="506" spans="1:1" x14ac:dyDescent="0.2">
      <c r="A506" t="s">
        <v>1535</v>
      </c>
    </row>
    <row r="507" spans="1:1" hidden="1" x14ac:dyDescent="0.2">
      <c r="A507" t="s">
        <v>885</v>
      </c>
    </row>
    <row r="508" spans="1:1" hidden="1" x14ac:dyDescent="0.2">
      <c r="A508" t="s">
        <v>886</v>
      </c>
    </row>
    <row r="509" spans="1:1" hidden="1" x14ac:dyDescent="0.2">
      <c r="A509" t="s">
        <v>887</v>
      </c>
    </row>
    <row r="510" spans="1:1" x14ac:dyDescent="0.2">
      <c r="A510" t="s">
        <v>1536</v>
      </c>
    </row>
    <row r="511" spans="1:1" hidden="1" x14ac:dyDescent="0.2">
      <c r="A511" t="s">
        <v>885</v>
      </c>
    </row>
    <row r="512" spans="1:1" hidden="1" x14ac:dyDescent="0.2">
      <c r="A512" t="s">
        <v>886</v>
      </c>
    </row>
    <row r="513" spans="1:1" hidden="1" x14ac:dyDescent="0.2">
      <c r="A513" t="s">
        <v>887</v>
      </c>
    </row>
    <row r="514" spans="1:1" x14ac:dyDescent="0.2">
      <c r="A514" t="s">
        <v>1537</v>
      </c>
    </row>
    <row r="515" spans="1:1" hidden="1" x14ac:dyDescent="0.2">
      <c r="A515" t="s">
        <v>885</v>
      </c>
    </row>
    <row r="516" spans="1:1" hidden="1" x14ac:dyDescent="0.2">
      <c r="A516" t="s">
        <v>886</v>
      </c>
    </row>
    <row r="517" spans="1:1" hidden="1" x14ac:dyDescent="0.2">
      <c r="A517" t="s">
        <v>887</v>
      </c>
    </row>
    <row r="518" spans="1:1" x14ac:dyDescent="0.2">
      <c r="A518" t="s">
        <v>1538</v>
      </c>
    </row>
    <row r="519" spans="1:1" hidden="1" x14ac:dyDescent="0.2">
      <c r="A519" t="s">
        <v>885</v>
      </c>
    </row>
    <row r="520" spans="1:1" hidden="1" x14ac:dyDescent="0.2">
      <c r="A520" t="s">
        <v>886</v>
      </c>
    </row>
    <row r="521" spans="1:1" hidden="1" x14ac:dyDescent="0.2">
      <c r="A521" t="s">
        <v>887</v>
      </c>
    </row>
    <row r="522" spans="1:1" x14ac:dyDescent="0.2">
      <c r="A522" t="s">
        <v>1539</v>
      </c>
    </row>
    <row r="523" spans="1:1" hidden="1" x14ac:dyDescent="0.2">
      <c r="A523" t="s">
        <v>885</v>
      </c>
    </row>
    <row r="524" spans="1:1" hidden="1" x14ac:dyDescent="0.2">
      <c r="A524" t="s">
        <v>886</v>
      </c>
    </row>
    <row r="525" spans="1:1" hidden="1" x14ac:dyDescent="0.2">
      <c r="A525" t="s">
        <v>887</v>
      </c>
    </row>
    <row r="526" spans="1:1" x14ac:dyDescent="0.2">
      <c r="A526" t="s">
        <v>1540</v>
      </c>
    </row>
    <row r="527" spans="1:1" hidden="1" x14ac:dyDescent="0.2">
      <c r="A527" t="s">
        <v>885</v>
      </c>
    </row>
    <row r="528" spans="1:1" hidden="1" x14ac:dyDescent="0.2">
      <c r="A528" t="s">
        <v>886</v>
      </c>
    </row>
    <row r="529" spans="1:1" hidden="1" x14ac:dyDescent="0.2">
      <c r="A529" t="s">
        <v>887</v>
      </c>
    </row>
    <row r="530" spans="1:1" x14ac:dyDescent="0.2">
      <c r="A530" t="s">
        <v>1541</v>
      </c>
    </row>
    <row r="531" spans="1:1" hidden="1" x14ac:dyDescent="0.2">
      <c r="A531" t="s">
        <v>885</v>
      </c>
    </row>
    <row r="532" spans="1:1" hidden="1" x14ac:dyDescent="0.2">
      <c r="A532" t="s">
        <v>886</v>
      </c>
    </row>
    <row r="533" spans="1:1" hidden="1" x14ac:dyDescent="0.2">
      <c r="A533" t="s">
        <v>887</v>
      </c>
    </row>
    <row r="534" spans="1:1" x14ac:dyDescent="0.2">
      <c r="A534" t="s">
        <v>1542</v>
      </c>
    </row>
    <row r="535" spans="1:1" hidden="1" x14ac:dyDescent="0.2">
      <c r="A535" t="s">
        <v>885</v>
      </c>
    </row>
    <row r="536" spans="1:1" hidden="1" x14ac:dyDescent="0.2">
      <c r="A536" t="s">
        <v>886</v>
      </c>
    </row>
    <row r="537" spans="1:1" hidden="1" x14ac:dyDescent="0.2">
      <c r="A537" t="s">
        <v>887</v>
      </c>
    </row>
    <row r="538" spans="1:1" x14ac:dyDescent="0.2">
      <c r="A538" t="s">
        <v>1543</v>
      </c>
    </row>
    <row r="539" spans="1:1" hidden="1" x14ac:dyDescent="0.2">
      <c r="A539" t="s">
        <v>885</v>
      </c>
    </row>
    <row r="540" spans="1:1" hidden="1" x14ac:dyDescent="0.2">
      <c r="A540" t="s">
        <v>886</v>
      </c>
    </row>
    <row r="541" spans="1:1" hidden="1" x14ac:dyDescent="0.2">
      <c r="A541" t="s">
        <v>887</v>
      </c>
    </row>
    <row r="542" spans="1:1" x14ac:dyDescent="0.2">
      <c r="A542" t="s">
        <v>1544</v>
      </c>
    </row>
    <row r="543" spans="1:1" hidden="1" x14ac:dyDescent="0.2">
      <c r="A543" t="s">
        <v>885</v>
      </c>
    </row>
    <row r="544" spans="1:1" hidden="1" x14ac:dyDescent="0.2">
      <c r="A544" t="s">
        <v>886</v>
      </c>
    </row>
    <row r="545" spans="1:1" hidden="1" x14ac:dyDescent="0.2">
      <c r="A545" t="s">
        <v>887</v>
      </c>
    </row>
    <row r="546" spans="1:1" x14ac:dyDescent="0.2">
      <c r="A546" t="s">
        <v>1545</v>
      </c>
    </row>
    <row r="547" spans="1:1" hidden="1" x14ac:dyDescent="0.2">
      <c r="A547" t="s">
        <v>885</v>
      </c>
    </row>
    <row r="548" spans="1:1" hidden="1" x14ac:dyDescent="0.2">
      <c r="A548" t="s">
        <v>886</v>
      </c>
    </row>
    <row r="549" spans="1:1" hidden="1" x14ac:dyDescent="0.2">
      <c r="A549" t="s">
        <v>887</v>
      </c>
    </row>
    <row r="550" spans="1:1" x14ac:dyDescent="0.2">
      <c r="A550" t="s">
        <v>1546</v>
      </c>
    </row>
    <row r="551" spans="1:1" hidden="1" x14ac:dyDescent="0.2">
      <c r="A551" t="s">
        <v>885</v>
      </c>
    </row>
    <row r="552" spans="1:1" hidden="1" x14ac:dyDescent="0.2">
      <c r="A552" t="s">
        <v>886</v>
      </c>
    </row>
    <row r="553" spans="1:1" hidden="1" x14ac:dyDescent="0.2">
      <c r="A553" t="s">
        <v>887</v>
      </c>
    </row>
    <row r="554" spans="1:1" x14ac:dyDescent="0.2">
      <c r="A554" t="s">
        <v>1547</v>
      </c>
    </row>
    <row r="555" spans="1:1" hidden="1" x14ac:dyDescent="0.2">
      <c r="A555" t="s">
        <v>885</v>
      </c>
    </row>
    <row r="556" spans="1:1" hidden="1" x14ac:dyDescent="0.2">
      <c r="A556" t="s">
        <v>886</v>
      </c>
    </row>
    <row r="557" spans="1:1" hidden="1" x14ac:dyDescent="0.2">
      <c r="A557" t="s">
        <v>887</v>
      </c>
    </row>
    <row r="558" spans="1:1" x14ac:dyDescent="0.2">
      <c r="A558" t="s">
        <v>1548</v>
      </c>
    </row>
    <row r="559" spans="1:1" hidden="1" x14ac:dyDescent="0.2">
      <c r="A559" t="s">
        <v>885</v>
      </c>
    </row>
    <row r="560" spans="1:1" hidden="1" x14ac:dyDescent="0.2">
      <c r="A560" t="s">
        <v>886</v>
      </c>
    </row>
    <row r="561" spans="1:1" hidden="1" x14ac:dyDescent="0.2">
      <c r="A561" t="s">
        <v>887</v>
      </c>
    </row>
    <row r="562" spans="1:1" x14ac:dyDescent="0.2">
      <c r="A562" t="s">
        <v>1549</v>
      </c>
    </row>
    <row r="563" spans="1:1" hidden="1" x14ac:dyDescent="0.2">
      <c r="A563" t="s">
        <v>885</v>
      </c>
    </row>
    <row r="564" spans="1:1" hidden="1" x14ac:dyDescent="0.2">
      <c r="A564" t="s">
        <v>886</v>
      </c>
    </row>
    <row r="565" spans="1:1" hidden="1" x14ac:dyDescent="0.2">
      <c r="A565" t="s">
        <v>887</v>
      </c>
    </row>
    <row r="566" spans="1:1" x14ac:dyDescent="0.2">
      <c r="A566" t="s">
        <v>1550</v>
      </c>
    </row>
    <row r="567" spans="1:1" hidden="1" x14ac:dyDescent="0.2">
      <c r="A567" t="s">
        <v>885</v>
      </c>
    </row>
    <row r="568" spans="1:1" hidden="1" x14ac:dyDescent="0.2">
      <c r="A568" t="s">
        <v>886</v>
      </c>
    </row>
    <row r="569" spans="1:1" hidden="1" x14ac:dyDescent="0.2">
      <c r="A569" t="s">
        <v>887</v>
      </c>
    </row>
    <row r="570" spans="1:1" x14ac:dyDescent="0.2">
      <c r="A570" t="s">
        <v>1551</v>
      </c>
    </row>
    <row r="571" spans="1:1" hidden="1" x14ac:dyDescent="0.2">
      <c r="A571" t="s">
        <v>885</v>
      </c>
    </row>
    <row r="572" spans="1:1" hidden="1" x14ac:dyDescent="0.2">
      <c r="A572" t="s">
        <v>886</v>
      </c>
    </row>
    <row r="573" spans="1:1" hidden="1" x14ac:dyDescent="0.2">
      <c r="A573" t="s">
        <v>887</v>
      </c>
    </row>
    <row r="574" spans="1:1" x14ac:dyDescent="0.2">
      <c r="A574" t="s">
        <v>1552</v>
      </c>
    </row>
    <row r="575" spans="1:1" hidden="1" x14ac:dyDescent="0.2">
      <c r="A575" t="s">
        <v>885</v>
      </c>
    </row>
    <row r="576" spans="1:1" hidden="1" x14ac:dyDescent="0.2">
      <c r="A576" t="s">
        <v>886</v>
      </c>
    </row>
    <row r="577" spans="1:1" hidden="1" x14ac:dyDescent="0.2">
      <c r="A577" t="s">
        <v>887</v>
      </c>
    </row>
    <row r="578" spans="1:1" x14ac:dyDescent="0.2">
      <c r="A578" t="s">
        <v>1553</v>
      </c>
    </row>
    <row r="579" spans="1:1" hidden="1" x14ac:dyDescent="0.2">
      <c r="A579" t="s">
        <v>885</v>
      </c>
    </row>
    <row r="580" spans="1:1" hidden="1" x14ac:dyDescent="0.2">
      <c r="A580" t="s">
        <v>886</v>
      </c>
    </row>
    <row r="581" spans="1:1" hidden="1" x14ac:dyDescent="0.2">
      <c r="A581" t="s">
        <v>887</v>
      </c>
    </row>
    <row r="582" spans="1:1" x14ac:dyDescent="0.2">
      <c r="A582" t="s">
        <v>1554</v>
      </c>
    </row>
    <row r="583" spans="1:1" hidden="1" x14ac:dyDescent="0.2">
      <c r="A583" t="s">
        <v>885</v>
      </c>
    </row>
    <row r="584" spans="1:1" hidden="1" x14ac:dyDescent="0.2">
      <c r="A584" t="s">
        <v>886</v>
      </c>
    </row>
    <row r="585" spans="1:1" hidden="1" x14ac:dyDescent="0.2">
      <c r="A585" t="s">
        <v>887</v>
      </c>
    </row>
    <row r="586" spans="1:1" x14ac:dyDescent="0.2">
      <c r="A586" t="s">
        <v>1555</v>
      </c>
    </row>
    <row r="587" spans="1:1" hidden="1" x14ac:dyDescent="0.2">
      <c r="A587" t="s">
        <v>885</v>
      </c>
    </row>
    <row r="588" spans="1:1" hidden="1" x14ac:dyDescent="0.2">
      <c r="A588" t="s">
        <v>886</v>
      </c>
    </row>
    <row r="589" spans="1:1" hidden="1" x14ac:dyDescent="0.2">
      <c r="A589" t="s">
        <v>887</v>
      </c>
    </row>
    <row r="590" spans="1:1" x14ac:dyDescent="0.2">
      <c r="A590" t="s">
        <v>1556</v>
      </c>
    </row>
    <row r="591" spans="1:1" hidden="1" x14ac:dyDescent="0.2">
      <c r="A591" t="s">
        <v>885</v>
      </c>
    </row>
    <row r="592" spans="1:1" hidden="1" x14ac:dyDescent="0.2">
      <c r="A592" t="s">
        <v>886</v>
      </c>
    </row>
    <row r="593" spans="1:1" hidden="1" x14ac:dyDescent="0.2">
      <c r="A593" t="s">
        <v>887</v>
      </c>
    </row>
    <row r="594" spans="1:1" x14ac:dyDescent="0.2">
      <c r="A594" t="s">
        <v>1557</v>
      </c>
    </row>
    <row r="595" spans="1:1" hidden="1" x14ac:dyDescent="0.2">
      <c r="A595" t="s">
        <v>885</v>
      </c>
    </row>
    <row r="596" spans="1:1" hidden="1" x14ac:dyDescent="0.2">
      <c r="A596" t="s">
        <v>886</v>
      </c>
    </row>
    <row r="597" spans="1:1" hidden="1" x14ac:dyDescent="0.2">
      <c r="A597" t="s">
        <v>887</v>
      </c>
    </row>
    <row r="598" spans="1:1" x14ac:dyDescent="0.2">
      <c r="A598" t="s">
        <v>1558</v>
      </c>
    </row>
    <row r="599" spans="1:1" hidden="1" x14ac:dyDescent="0.2">
      <c r="A599" t="s">
        <v>885</v>
      </c>
    </row>
    <row r="600" spans="1:1" hidden="1" x14ac:dyDescent="0.2">
      <c r="A600" t="s">
        <v>886</v>
      </c>
    </row>
    <row r="601" spans="1:1" hidden="1" x14ac:dyDescent="0.2">
      <c r="A601" t="s">
        <v>887</v>
      </c>
    </row>
    <row r="602" spans="1:1" x14ac:dyDescent="0.2">
      <c r="A602" t="s">
        <v>1559</v>
      </c>
    </row>
    <row r="603" spans="1:1" hidden="1" x14ac:dyDescent="0.2">
      <c r="A603" t="s">
        <v>885</v>
      </c>
    </row>
    <row r="604" spans="1:1" hidden="1" x14ac:dyDescent="0.2">
      <c r="A604" t="s">
        <v>886</v>
      </c>
    </row>
    <row r="605" spans="1:1" hidden="1" x14ac:dyDescent="0.2">
      <c r="A605" t="s">
        <v>887</v>
      </c>
    </row>
    <row r="606" spans="1:1" x14ac:dyDescent="0.2">
      <c r="A606" t="s">
        <v>1560</v>
      </c>
    </row>
    <row r="607" spans="1:1" hidden="1" x14ac:dyDescent="0.2">
      <c r="A607" t="s">
        <v>885</v>
      </c>
    </row>
    <row r="608" spans="1:1" hidden="1" x14ac:dyDescent="0.2">
      <c r="A608" t="s">
        <v>886</v>
      </c>
    </row>
    <row r="609" spans="1:1" hidden="1" x14ac:dyDescent="0.2">
      <c r="A609" t="s">
        <v>887</v>
      </c>
    </row>
    <row r="610" spans="1:1" x14ac:dyDescent="0.2">
      <c r="A610" t="s">
        <v>1561</v>
      </c>
    </row>
    <row r="611" spans="1:1" hidden="1" x14ac:dyDescent="0.2">
      <c r="A611" t="s">
        <v>885</v>
      </c>
    </row>
    <row r="612" spans="1:1" hidden="1" x14ac:dyDescent="0.2">
      <c r="A612" t="s">
        <v>886</v>
      </c>
    </row>
    <row r="613" spans="1:1" hidden="1" x14ac:dyDescent="0.2">
      <c r="A613" t="s">
        <v>887</v>
      </c>
    </row>
    <row r="614" spans="1:1" x14ac:dyDescent="0.2">
      <c r="A614" t="s">
        <v>1562</v>
      </c>
    </row>
    <row r="615" spans="1:1" hidden="1" x14ac:dyDescent="0.2">
      <c r="A615" t="s">
        <v>885</v>
      </c>
    </row>
    <row r="616" spans="1:1" hidden="1" x14ac:dyDescent="0.2">
      <c r="A616" t="s">
        <v>886</v>
      </c>
    </row>
    <row r="617" spans="1:1" hidden="1" x14ac:dyDescent="0.2">
      <c r="A617" t="s">
        <v>887</v>
      </c>
    </row>
    <row r="618" spans="1:1" x14ac:dyDescent="0.2">
      <c r="A618" t="s">
        <v>1563</v>
      </c>
    </row>
    <row r="619" spans="1:1" hidden="1" x14ac:dyDescent="0.2">
      <c r="A619" t="s">
        <v>885</v>
      </c>
    </row>
    <row r="620" spans="1:1" hidden="1" x14ac:dyDescent="0.2">
      <c r="A620" t="s">
        <v>886</v>
      </c>
    </row>
    <row r="621" spans="1:1" hidden="1" x14ac:dyDescent="0.2">
      <c r="A621" t="s">
        <v>887</v>
      </c>
    </row>
    <row r="622" spans="1:1" x14ac:dyDescent="0.2">
      <c r="A622" t="s">
        <v>1564</v>
      </c>
    </row>
    <row r="623" spans="1:1" hidden="1" x14ac:dyDescent="0.2">
      <c r="A623" t="s">
        <v>885</v>
      </c>
    </row>
    <row r="624" spans="1:1" hidden="1" x14ac:dyDescent="0.2">
      <c r="A624" t="s">
        <v>888</v>
      </c>
    </row>
    <row r="625" spans="1:1" hidden="1" x14ac:dyDescent="0.2">
      <c r="A625" t="s">
        <v>889</v>
      </c>
    </row>
    <row r="626" spans="1:1" hidden="1" x14ac:dyDescent="0.2">
      <c r="A626" t="s">
        <v>1565</v>
      </c>
    </row>
    <row r="627" spans="1:1" hidden="1" x14ac:dyDescent="0.2">
      <c r="A627" t="s">
        <v>885</v>
      </c>
    </row>
    <row r="628" spans="1:1" hidden="1" x14ac:dyDescent="0.2">
      <c r="A628" t="s">
        <v>891</v>
      </c>
    </row>
    <row r="629" spans="1:1" hidden="1" x14ac:dyDescent="0.2">
      <c r="A629" t="s">
        <v>892</v>
      </c>
    </row>
    <row r="630" spans="1:1" hidden="1" x14ac:dyDescent="0.2">
      <c r="A630" t="s">
        <v>50</v>
      </c>
    </row>
    <row r="631" spans="1:1" hidden="1" x14ac:dyDescent="0.2">
      <c r="A631" t="s">
        <v>893</v>
      </c>
    </row>
    <row r="632" spans="1:1" hidden="1" x14ac:dyDescent="0.2"/>
  </sheetData>
  <autoFilter xmlns:x14="http://schemas.microsoft.com/office/spreadsheetml/2009/9/main" ref="A1:A632">
    <filterColumn colId="0">
      <mc:AlternateContent xmlns:mc="http://schemas.openxmlformats.org/markup-compatibility/2006">
        <mc:Choice Requires="x14">
          <filters>
            <x14:filter val="&quot;rechargeable&quot;: &quot;Y&quot;, &quot;nationalimageurl&quot;:null, &quot;glasses&quot;:&quot;N&quot;, &quot;hoursthurs&quot;:&quot;10h à 21h&quot;, &quot;state&quot;:null, &quot;retailerimageurl&quot;:null, &quot;hoursfri&quot;:&quot;10h à 21h&quot;, &quot;acceptedmaterialsurl&quot;:&quot;http://www.thesource.ca/estore/tradeupandsave.aspx&quot;, &quot;latitude&quot;:&quot;45.39552&quot;, &quot;url&quot;:&quot;http://www.thesource.ca&quot;, &quot;postalcode&quot;:&quot;J9H 6A6&quot;, &quot;province&quot;:&quot;QC&quot;, &quot;sustainabilityurl&quot;:&quot;http://www.thesource.ca/sitelets/jobs/environment.asp&quot;, &quot;hoursmon&quot;:&quot;10h à 18h&quot;, &quot;longitude&quot;:&quot;-75.83552&quot;, &quot;uid&quot;:947268765, &quot;retailerlinkurl&quot;:null, &quot;hourssat&quot;:&quot;9h à 17h&quot;, &quot;clientkey&quot;:&quot;2545&quot;, &quot;name&quot;:&quot;La Source&quot;, &quot;locationlinkurl&quot;:null, &quot;address1&quot;:&quot;181 Rue Principale Unit A-2&quot;, &quot;icon&quot;:&quot;preferred&quot;, &quot;bho&quot;:null, &quot;_distanceuom&quot;:&quot;mile&quot;, &quot;hourssun&quot;:&quot;12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684-1359&quot;, &quot;address2&quot;:null, &quot;locationimageurl&quot;:null, &quot;_distance&quot;:&quot;7.38&quot;, &quot;inktoner&quot;:&quot;N&quot;, &quot;nationalinkurl&quot;:null, &quot;regionallinkurl&quot;:null, &quot;cellphones&quot;:&quot;Y&quot;, &quot;hourstues&quot;:&quot;10h à 18h&quot;, &quot;consumerelectronics&quot;:&quot;Y&quot;, &quot;hourswed&quot;:&quot;10h à 18h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4.9258016326531&quot;, &quot;url&quot;:&quot;http://www.homedepot.com&quot;, &quot;postalcode&quot;:&quot;13662&quot;, &quot;province&quot;:null, &quot;sustainabilityurl&quot;:&quot;https://corporate.homedepot.com/CorporateResponsibility/Environment/Pages/default.aspx&quot;, &quot;hoursmon&quot;:&quot;6:00am-10:00pm&quot;, &quot;longitude&quot;:&quot;-74.8749063265306&quot;, &quot;uid&quot;:1182182473, &quot;retailerlinkurl&quot;:null, &quot;hourssat&quot;:&quot;6:00am-10:00pm&quot;, &quot;clientkey&quot;:&quot;77769&quot;, &quot;name&quot;:&quot;The Home Depot&quot;, &quot;locationlinkurl&quot;:null, &quot;address1&quot;:&quot;41 Stephenville St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Massena&quot;, &quot;singleuse&quot;:&quot;N&quot;, &quot;fax&quot;:null, &quot;country&quot;:&quot;US&quot;, &quot;logourl&quot;:&quot;http://www.call2recycle.org/notpress/where2getit/homedepot.png&quot;, &quot;phone&quot;:&quot;315-764-9930&quot;, &quot;address2&quot;:null, &quot;locationimageurl&quot;:null, &quot;_distance&quot;:&quot;12.5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27155&quot;, &quot;url&quot;:&quot;http://www.canadiantire.ca&quot;, &quot;postalcode&quot;:&quot;K2J 4Y6&quot;, &quot;province&quot;:&quot;ON&quot;, &quot;sustainabilityurl&quot;:null, &quot;hoursmon&quot;:&quot;8:00am-9:00pm&quot;, &quot;longitude&quot;:&quot;-75.74702&quot;, &quot;uid&quot;:-451185972, &quot;retailerlinkurl&quot;:null, &quot;hourssat&quot;:&quot;Please Call&quot;, &quot;clientkey&quot;:&quot;163961&quot;, &quot;name&quot;:&quot;Canadian Tire&quot;, &quot;locationlinkurl&quot;:null, &quot;address1&quot;:&quot;2501 Greenbank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3-5278&quot;, &quot;address2&quot;:null, &quot;locationimageurl&quot;:null, &quot;_distance&quot;:&quot;3.4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5.8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5.8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7406755956&quot;, &quot;url&quot;:&quot;http://www.canadiantire.ca&quot;, &quot;postalcode&quot;:&quot;K2T 1B7&quot;, &quot;province&quot;:&quot;ON&quot;, &quot;sustainabilityurl&quot;:null, &quot;hoursmon&quot;:&quot;8:00am-9:00pm&quot;, &quot;longitude&quot;:&quot;-75.9196711967659&quot;, &quot;uid&quot;:-1050672914, &quot;retailerlinkurl&quot;:null, &quot;hourssat&quot;:&quot;Please Call&quot;, &quot;clientkey&quot;:&quot;1561&quot;, &quot;name&quot;:&quot;Canadian Tire&quot;, &quot;locationlinkurl&quot;:null, &quot;address1&quot;:&quot;8181 Campeau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anata&quot;, &quot;singleuse&quot;:&quot;Y&quot;, &quot;fax&quot;:null, &quot;country&quot;:&quot;CA&quot;, &quot;logourl&quot;:&quot;http://www.call2recycle.org/notpress/where2getit/canadiantire.png&quot;, &quot;phone&quot;:&quot;613-599-5105&quot;, &quot;address2&quot;:null, &quot;locationimageurl&quot;:null, &quot;_distance&quot;:&quot;5.3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1561&quot;, &quot;url&quot;:&quot;http://www.canadiantire.ca&quot;, &quot;postalcode&quot;:&quot;K2H 5Z2&quot;, &quot;province&quot;:&quot;ON&quot;, &quot;sustainabilityurl&quot;:null, &quot;hoursmon&quot;:&quot;8:00am-9:00pm&quot;, &quot;longitude&quot;:&quot;-75.84883&quot;, &quot;uid&quot;:372104883, &quot;retailerlinkurl&quot;:null, &quot;hourssat&quot;:&quot;Please Call&quot;, &quot;clientkey&quot;:&quot;164063&quot;, &quot;name&quot;:&quot;Canadian Tire&quot;, &quot;locationlinkurl&quot;:null, &quot;address1&quot;:&quot;2135 Robertson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9-9580&quot;, &quot;address2&quot;:null, &quot;locationimageurl&quot;:null, &quot;_distance&quot;:&quot;2.5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62070935906&quot;, &quot;url&quot;:&quot;http://www.canadiantire.ca&quot;, &quot;postalcode&quot;:&quot;K2G 1E6&quot;, &quot;province&quot;:&quot;ON&quot;, &quot;sustainabilityurl&quot;:null, &quot;hoursmon&quot;:&quot;8:00am-9:00pm&quot;, &quot;longitude&quot;:&quot;-75.7250272826182&quot;, &quot;uid&quot;:1182180623, &quot;retailerlinkurl&quot;:null, &quot;hourssat&quot;:&quot;Please Call&quot;, &quot;clientkey&quot;:&quot;1352&quot;, &quot;name&quot;:&quot;Canadian Tire&quot;, &quot;locationlinkurl&quot;:null, &quot;address1&quot;:&quot;1820 Merival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224-9330&quot;, &quot;address2&quot;:null, &quot;locationimageurl&quot;:null, &quot;_distance&quot;:&quot;5.3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534743243243&quot;, &quot;url&quot;:&quot;http://www.canadiantire.ca&quot;, &quot;postalcode&quot;:&quot;K1W 1K9&quot;, &quot;province&quot;:&quot;ON&quot;, &quot;sustainabilityurl&quot;:null, &quot;hoursmon&quot;:&quot;8:00am-9:00pm&quot;, &quot;longitude&quot;:&quot;-75.5100754054054&quot;, &quot;uid&quot;:1913164372, &quot;retailerlinkurl&quot;:null, &quot;hourssat&quot;:&quot;Please Call&quot;, &quot;clientkey&quot;:&quot;154400&quot;, &quot;name&quot;:&quot;Canadian Tire&quot;, &quot;locationlinkurl&quot;:null, &quot;address1&quot;:&quot;3910 Inne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léans&quot;, &quot;singleuse&quot;:&quot;Y&quot;, &quot;fax&quot;:null, &quot;country&quot;:&quot;CA&quot;, &quot;logourl&quot;:&quot;http://www.call2recycle.org/notpress/where2getit/canadiantire.png&quot;, &quot;phone&quot;:&quot;613-830-7000&quot;, &quot;address2&quot;:null, &quot;locationimageurl&quot;:null, &quot;_distance&quot;:&quot;3.3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534743243243&quot;, &quot;url&quot;:&quot;http://www.canadiantire.ca&quot;, &quot;postalcode&quot;:&quot;K1W 1K9&quot;, &quot;province&quot;:&quot;ON&quot;, &quot;sustainabilityurl&quot;:null, &quot;hoursmon&quot;:&quot;8:00am-9:00pm&quot;, &quot;longitude&quot;:&quot;-75.5100754054054&quot;, &quot;uid&quot;:2022535187, &quot;retailerlinkurl&quot;:null, &quot;hourssat&quot;:&quot;Please Call&quot;, &quot;clientkey&quot;:&quot;1382&quot;, &quot;name&quot;:&quot;Canadian Tire&quot;, &quot;locationlinkurl&quot;:null, &quot;address1&quot;:&quot;3910 Innes Roa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léans&quot;, &quot;singleuse&quot;:&quot;Y&quot;, &quot;fax&quot;:null, &quot;country&quot;:&quot;CA&quot;, &quot;logourl&quot;:&quot;http://www.call2recycle.org/notpress/where2getit/canadiantire.png&quot;, &quot;phone&quot;:&quot;613-830-7000&quot;, &quot;address2&quot;:null, &quot;locationimageurl&quot;:null, &quot;_distance&quot;:&quot;3.3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5252195&quot;, &quot;url&quot;:&quot;http://www.canadiantire.ca&quot;, &quot;postalcode&quot;:&quot;K4C 1R7&quot;, &quot;province&quot;:&quot;ON&quot;, &quot;sustainabilityurl&quot;:null, &quot;hoursmon&quot;:&quot;8:00am-9:00pm&quot;, &quot;longitude&quot;:&quot;-75.3334153&quot;, &quot;uid&quot;:1789924784, &quot;retailerlinkurl&quot;:null, &quot;hourssat&quot;:&quot;Please Call&quot;, &quot;clientkey&quot;:&quot;153513&quot;, &quot;name&quot;:&quot;Canadian Tire&quot;, &quot;locationlinkurl&quot;:null, &quot;address1&quot;:&quot;9040 County Rd. #17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umberland&quot;, &quot;singleuse&quot;:&quot;Y&quot;, &quot;fax&quot;:null, &quot;country&quot;:&quot;CA&quot;, &quot;logourl&quot;:&quot;http://www.call2recycle.org/notpress/where2getit/canadiantire.png&quot;, &quot;phone&quot;:&quot;613-446-4410&quot;, &quot;address2&quot;:null, &quot;locationimageurl&quot;:null, &quot;_distance&quot;:&quot;14.9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&quot;http://www.rona.ca/corporate/social-engagement&quot;, &quot;latitude&quot;:&quot;45.4116065217391&quot;, &quot;url&quot;:&quot;http://www.rona.ca&quot;, &quot;postalcode&quot;:&quot;J9J 3M3&quot;, &quot;province&quot;:&quot;QC&quot;, &quot;sustainabilityurl&quot;:&quot;http://www.rona.ca/corporate/corporate-responsibility&quot;, &quot;hoursmon&quot;:&quot;8h à 18h&quot;, &quot;longitude&quot;:&quot;-75.818777826087&quot;, &quot;uid&quot;:1182180000, &quot;retailerlinkurl&quot;:null, &quot;hourssat&quot;:&quot;8h à 17h&quot;, &quot;clientkey&quot;:&quot;121793&quot;, &quot;name&quot;:&quot;RONA&quot;, &quot;locationlinkurl&quot;:null, &quot;address1&quot;:&quot;435 Ch McConnell&quot;, &quot;icon&quot;:&quot;preferred&quot;, &quot;bho&quot;:null, &quot;_distanceuom&quot;:&quot;mile&quot;, &quot;hourssun&quot;:&quot;Veuillez appeler le point de dépôt.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684-3275&quot;, &quot;address2&quot;:null, &quot;locationimageurl&quot;:null, &quot;_distance&quot;:&quot;8.41&quot;, &quot;inktoner&quot;:&quot;N&quot;, &quot;nationalinkurl&quot;:null, &quot;regionallinkurl&quot;:null, &quot;cellphones&quot;:&quot;Y&quot;, &quot;hourstues&quot;:&quot;8h à 18h&quot;, &quot;consumerelectronics&quot;:&quot;N&quot;, &quot;hourswed&quot;:&quot;8h à 18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&quot;http://www.rona.ca/corporate/social-engagement&quot;, &quot;latitude&quot;:&quot;45.4541327&quot;, &quot;url&quot;:&quot;http://www.rona.ca&quot;, &quot;postalcode&quot;:&quot;J8Y 6W7&quot;, &quot;province&quot;:&quot;QC&quot;, &quot;sustainabilityurl&quot;:&quot;http://www.rona.ca/corporate/corporate-responsibility&quot;, &quot;hoursmon&quot;:&quot;8h à 21h&quot;, &quot;longitude&quot;:&quot;-75.7282058&quot;, &quot;uid&quot;:1182193907, &quot;retailerlinkurl&quot;:null, &quot;hourssat&quot;:&quot;8h à 17h&quot;, &quot;clientkey&quot;:&quot;120157&quot;, &quot;name&quot;:&quot;Reno Depot&quot;, &quot;locationlinkurl&quot;:null, &quot;address1&quot;:&quot;95 Rue Atawe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770-7366&quot;, &quot;address2&quot;:null, &quot;locationimageurl&quot;:null, &quot;_distance&quot;:&quot;10.75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null, &quot;latitude&quot;:&quot;45.4360653869305&quot;, &quot;url&quot;:null, &quot;postalcode&quot;:&quot;J9A 3G1&quot;, &quot;province&quot;:&quot;QC&quot;, &quot;sustainabilityurl&quot;:null, &quot;hoursmon&quot;:&quot;8h à 21h&quot;, &quot;longitude&quot;:&quot;-75.7730653768985&quot;, &quot;uid&quot;:1524026992, &quot;retailerlinkurl&quot;:null, &quot;hourssat&quot;:&quot;9h à 17h&quot;, &quot;clientkey&quot;:&quot;67912&quot;, &quot;name&quot;:&quot;Bureau en Gros&quot;, &quot;locationlinkurl&quot;:null, &quot;address1&quot;:&quot;55 Boul Du Plateau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staples.png&quot;, &quot;phone&quot;:&quot;819-770-2332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8h à 21h&quot;, &quot;acceptedmaterialsurl&quot;:null, &quot;latitude&quot;:&quot;45.4831471&quot;, &quot;url&quot;:null, &quot;postalcode&quot;:&quot;J8P 6M7&quot;, &quot;province&quot;:&quot;QC&quot;, &quot;sustainabilityurl&quot;:null, &quot;hoursmon&quot;:&quot;8h à 21h&quot;, &quot;longitude&quot;:&quot;-75.6771175&quot;, &quot;uid&quot;:1503278015, &quot;retailerlinkurl&quot;:null, &quot;hourssat&quot;:&quot;9h à 17h&quot;, &quot;clientkey&quot;:&quot;148862&quot;, &quot;name&quot;:&quot;Bureau en Gros&quot;, &quot;locationlinkurl&quot;:null, &quot;address1&quot;:&quot;235 Montee Paiement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staples.png&quot;, &quot;phone&quot;:&quot;819-246-9470&quot;, &quot;address2&quot;:null, &quot;locationimageurl&quot;:null, &quot;_distance&quot;:&quot;9.40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&quot;http://www.rona.ca/corporate/social-engagement&quot;, &quot;latitude&quot;:&quot;45.4357610482227&quot;, &quot;url&quot;:&quot;http://www.rona.ca&quot;, &quot;postalcode&quot;:&quot;J9A 3G1&quot;, &quot;province&quot;:&quot;QC&quot;, &quot;sustainabilityurl&quot;:&quot;http://www.rona.ca/corporate/corporate-responsibility&quot;, &quot;hoursmon&quot;:&quot;8h à 21h&quot;, &quot;longitude&quot;:&quot;-75.7778724318387&quot;, &quot;uid&quot;:1182183432, &quot;retailerlinkurl&quot;:null, &quot;hourssat&quot;:&quot;8h à 17h&quot;, &quot;clientkey&quot;:&quot;121792&quot;, &quot;name&quot;:&quot;RONA&quot;, &quot;locationlinkurl&quot;:null, &quot;address1&quot;:&quot;165 Boulevard Du Plateau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776-3400&quot;, &quot;address2&quot;:null, &quot;locationimageurl&quot;:null, &quot;_distance&quot;:&quot;10.22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&quot;http://www.rona.ca/corporate/social-engagement&quot;, &quot;latitude&quot;:&quot;45.4917819&quot;, &quot;url&quot;:&quot;http://www.rona.ca&quot;, &quot;postalcode&quot;:&quot;J8T 8J9&quot;, &quot;province&quot;:&quot;QC&quot;, &quot;sustainabilityurl&quot;:&quot;http://www.rona.ca/corporate/corporate-responsibility&quot;, &quot;hoursmon&quot;:&quot;8h à 21h&quot;, &quot;longitude&quot;:&quot;-75.6833787&quot;, &quot;uid&quot;:1182197577, &quot;retailerlinkurl&quot;:null, &quot;hourssat&quot;:&quot;8h à 17h&quot;, &quot;clientkey&quot;:&quot;121791&quot;, &quot;name&quot;:&quot;RONA&quot;, &quot;locationlinkurl&quot;:null, &quot;address1&quot;:&quot;777 Boul De La Cite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rona.png&quot;, &quot;phone&quot;:&quot;819-568-3400&quot;, &quot;address2&quot;:null, &quot;locationimageurl&quot;:null, &quot;_distance&quot;:&quot;10.00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33308&quot;, &quot;url&quot;:&quot;http://www.canadiantire.ca&quot;, &quot;postalcode&quot;:&quot;J9A 0C7&quot;, &quot;province&quot;:&quot;QC&quot;, &quot;sustainabilityurl&quot;:null, &quot;hoursmon&quot;:&quot;8h à 21h&quot;, &quot;longitude&quot;:&quot;-75.779701&quot;, &quot;uid&quot;:341261531, &quot;retailerlinkurl&quot;:null, &quot;hourssat&quot;:&quot;8h à 17h&quot;, &quot;clientkey&quot;:&quot;2208&quot;, &quot;name&quot;:&quot;Canadian Tire&quot;, &quot;locationlinkurl&quot;:null, &quot;address1&quot;:&quot;213 boul des Grives&quot;, &quot;icon&quot;:&quot;preferred&quot;, &quot;bho&quot;:null, &quot;_distanceuom&quot;:&quot;mile&quot;, &quot;hourssun&quot;:&quot;9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684-0660&quot;, &quot;address2&quot;:null, &quot;locationimageurl&quot;:null, &quot;_distance&quot;:&quot;10.04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4199&quot;, &quot;url&quot;:&quot;http://www.canadiantire.ca&quot;, &quot;postalcode&quot;:&quot;J8Y 6W4&quot;, &quot;province&quot;:&quot;QC&quot;, &quot;sustainabilityurl&quot;:null, &quot;hoursmon&quot;:&quot;8h à 21h&quot;, &quot;longitude&quot;:&quot;-75.72843&quot;, &quot;uid&quot;:-725079498, &quot;retailerlinkurl&quot;:null, &quot;hourssat&quot;:&quot;8h à 17h&quot;, &quot;clientkey&quot;:&quot;155998&quot;, &quot;name&quot;:&quot;Canadian Tire&quot;, &quot;locationlinkurl&quot;:null, &quot;address1&quot;:&quot;355 Boul De La Carriere&quot;, &quot;icon&quot;:&quot;preferred&quot;, &quot;bho&quot;:null, &quot;_distanceuom&quot;:&quot;mile&quot;, &quot;hourssun&quot;:&quot;9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777-4381&quot;, &quot;address2&quot;:null, &quot;locationimageurl&quot;:null, &quot;_distance&quot;:&quot;10.53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805384&quot;, &quot;url&quot;:&quot;http://www.canadiantire.ca&quot;, &quot;postalcode&quot;:&quot;J8T 8K7&quot;, &quot;province&quot;:&quot;QC&quot;, &quot;sustainabilityurl&quot;:null, &quot;hoursmon&quot;:&quot;8h à 21h&quot;, &quot;longitude&quot;:&quot;-75.6778769&quot;, &quot;uid&quot;:1522035594, &quot;retailerlinkurl&quot;:null, &quot;hourssat&quot;:&quot;8h à 17h&quot;, &quot;clientkey&quot;:&quot;2240&quot;, &quot;name&quot;:&quot;Canadian Tire&quot;, &quot;locationlinkurl&quot;:null, &quot;address1&quot;:&quot;700 Boul Maloney O&quot;, &quot;icon&quot;:&quot;preferred&quot;, &quot;bho&quot;:null, &quot;_distanceuom&quot;:&quot;mile&quot;, &quot;hourssun&quot;:&quot;8h à 17h&quot;, &quot;computers&quot;:&quot;N&quot;, &quot;cfl&quot;:&quot;Y&quot;, &quot;regionalimageurl&quot;:null, &quot;city&quot;:&quot;Gatineau&quot;, &quot;singleuse&quot;:&quot;Y&quot;, &quot;fax&quot;:null, &quot;country&quot;:&quot;CA&quot;, &quot;logourl&quot;:&quot;http://www.call2recycle.org/notpress/where2getit/canadiantire.png&quot;, &quot;phone&quot;:&quot;819-246-1234&quot;, &quot;address2&quot;:null, &quot;locationimageurl&quot;:null, &quot;_distance&quot;:&quot;9.33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8h à 21h&quot;, &quot;state&quot;:null, &quot;retailerimageurl&quot;:null, &quot;hoursfri&quot;:&quot;Veuillez appeler le point de dépôt.&quot;, &quot;acceptedmaterialsurl&quot;:null, &quot;latitude&quot;:&quot;45.4843529&quot;, &quot;url&quot;:null, &quot;postalcode&quot;:&quot;J8P 6M7&quot;, &quot;province&quot;:&quot;QC&quot;, &quot;sustainabilityurl&quot;:null, &quot;hoursmon&quot;:&quot;8h à 21h&quot;, &quot;longitude&quot;:&quot;-75.6769715&quot;, &quot;uid&quot;:1182187360, &quot;retailerlinkurl&quot;:null, &quot;hourssat&quot;:&quot;8h à 17h&quot;, &quot;clientkey&quot;:&quot;43567&quot;, &quot;name&quot;:&quot;Home Depot&quot;, &quot;locationlinkurl&quot;:null, &quot;address1&quot;:&quot;243 Montee Paiement&quot;, &quot;icon&quot;:&quot;preferred&quot;, &quot;bho&quot;:null, &quot;_distanceuom&quot;:&quot;mile&quot;, &quot;hourssun&quot;:&quot;8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homedepot.png&quot;, &quot;phone&quot;:&quot;819-246-4064&quot;, &quot;address2&quot;:null, &quot;locationimageurl&quot;:null, &quot;_distance&quot;:&quot;9.44&quot;, &quot;inktoner&quot;:&quot;N&quot;, &quot;nationalinkurl&quot;:null, &quot;regionallinkurl&quot;:null, &quot;cellphones&quot;:&quot;Y&quot;, &quot;hourstues&quot;:&quot;8h à 21h&quot;, &quot;consumerelectronics&quot;:&quot;N&quot;, &quot;hourswed&quot;:&quot;8h à 21h&quot;, &quot;rank&quot;:&quot;1&quot;"/>
            <x14:filter val="&quot;rechargeable&quot;: &quot;Y&quot;, &quot;nationalimageurl&quot;:null, &quot;glasses&quot;:&quot;N&quot;, &quot;hoursthurs&quot;:&quot;9:00 am - 9:00 pm&quot;, &quot;state&quot;:null, &quot;retailerimageurl&quot;:null, &quot;hoursfri&quot;:&quot;9:00 am - 9:00 pm&quot;, &quot;acceptedmaterialsurl&quot;:null, &quot;latitude&quot;:&quot;45.4199387682437&quot;, &quot;url&quot;:null, &quot;postalcode&quot;:&quot;J9J 1Z4&quot;, &quot;province&quot;:&quot;QC&quot;, &quot;sustainabilityurl&quot;:null, &quot;hoursmon&quot;:&quot;9:00 am - 9:00 pm&quot;, &quot;longitude&quot;:&quot;-75.8095308031074&quot;, &quot;uid&quot;:1009111095, &quot;retailerlinkurl&quot;:null, &quot;hourssat&quot;:&quot;9:00 am - 9:00 pm&quot;, &quot;clientkey&quot;:&quot;163588&quot;, &quot;name&quot;:&quot;Jean Coutu&quot;, &quot;locationlinkurl&quot;:null, &quot;address1&quot;:&quot;535 ch Vanier&quot;, &quot;icon&quot;:&quot;preferred&quot;, &quot;bho&quot;:null, &quot;_distanceuom&quot;:&quot;mile&quot;, &quot;hourssun&quot;:&quot;9:00 am - 9:00 pm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82-0670&quot;, &quot;address2&quot;:null, &quot;locationimageurl&quot;:null, &quot;_distance&quot;:&quot;8.99&quot;, &quot;inktoner&quot;:&quot;N&quot;, &quot;nationalinkurl&quot;:null, &quot;regionallinkurl&quot;:null, &quot;cellphones&quot;:&quot;Y&quot;, &quot;hourstues&quot;:&quot;9:00 am - 9:00 pm&quot;, &quot;consumerelectronics&quot;:&quot;N&quot;, &quot;hourswed&quot;:&quot;9:00 am - 9:00 pm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39552&quot;, &quot;url&quot;:null, &quot;postalcode&quot;:&quot;J9H 6A6&quot;, &quot;province&quot;:&quot;QC&quot;, &quot;sustainabilityurl&quot;:null, &quot;hoursmon&quot;:&quot;9h à 21h&quot;, &quot;longitude&quot;:&quot;-75.83552&quot;, &quot;uid&quot;:112504680, &quot;retailerlinkurl&quot;:null, &quot;hourssat&quot;:&quot;9h à 21h&quot;, &quot;clientkey&quot;:&quot;155069&quot;, &quot;name&quot;:&quot;Jean Coutu&quot;, &quot;locationlinkurl&quot;:null, &quot;address1&quot;:&quot;181 rue Principale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Aylmer&quot;, &quot;singleuse&quot;:&quot;Y&quot;, &quot;fax&quot;:null, &quot;country&quot;:&quot;CA&quot;, &quot;logourl&quot;:&quot;http://www.call2recycle.org/notpress/where2getit/call2recycle.png&quot;, &quot;phone&quot;:&quot;819-684-0006&quot;, &quot;address2&quot;:null, &quot;locationimageurl&quot;:null, &quot;_distance&quot;:&quot;7.38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350193869702&quot;, &quot;url&quot;:null, &quot;postalcode&quot;:&quot;J9A 0N4&quot;, &quot;province&quot;:&quot;QC&quot;, &quot;sustainabilityurl&quot;:null, &quot;hoursmon&quot;:&quot;9h à 21h&quot;, &quot;longitude&quot;:&quot;-75.7807949680794&quot;, &quot;uid&quot;:1986316455, &quot;retailerlinkurl&quot;:null, &quot;hourssat&quot;:&quot;9h à 21h&quot;, &quot;clientkey&quot;:&quot;155109&quot;, &quot;name&quot;:&quot;Jean Coutu&quot;, &quot;locationlinkurl&quot;:null, &quot;address1&quot;:&quot;205 Boulevard Du Plateau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771-4515&quot;, &quot;address2&quot;:null, &quot;locationimageurl&quot;:null, &quot;_distance&quot;:&quot;10.14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3642&quot;, &quot;url&quot;:null, &quot;postalcode&quot;:&quot;K1L 6C3&quot;, &quot;province&quot;:&quot;ON&quot;, &quot;sustainabilityurl&quot;:null, &quot;hoursmon&quot;:&quot;9h à 21h&quot;, &quot;longitude&quot;:&quot;-75.66076&quot;, &quot;uid&quot;:916216625, &quot;retailerlinkurl&quot;:null, &quot;hourssat&quot;:&quot;9h à 21h&quot;, &quot;clientkey&quot;:&quot;155068&quot;, &quot;name&quot;:&quot;Jean Coutu&quot;, &quot;locationlinkurl&quot;:null, &quot;address1&quot;:&quot;262 Montreal Rd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Vanier&quot;, &quot;singleuse&quot;:&quot;Y&quot;, &quot;fax&quot;:null, &quot;country&quot;:&quot;CA&quot;, &quot;logourl&quot;:&quot;http://www.call2recycle.org/notpress/where2getit/call2recycle.png&quot;, &quot;phone&quot;:&quot;613-749-5957&quot;, &quot;address2&quot;:null, &quot;locationimageurl&quot;:null, &quot;_distance&quot;:&quot;7.27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88788&quot;, &quot;url&quot;:null, &quot;postalcode&quot;:&quot;J8P 1H5&quot;, &quot;province&quot;:&quot;QC&quot;, &quot;sustainabilityurl&quot;:null, &quot;hoursmon&quot;:&quot;9h à 21h&quot;, &quot;longitude&quot;:&quot;-75.5985881&quot;, &quot;uid&quot;:1986316190, &quot;retailerlinkurl&quot;:null, &quot;hourssat&quot;:&quot;9h à 21h&quot;, &quot;clientkey&quot;:&quot;155098&quot;, &quot;name&quot;:&quot;Jean Coutu&quot;, &quot;locationlinkurl&quot;:null, &quot;address1&quot;:&quot;908 Boulevard Maloney E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63-3582&quot;, &quot;address2&quot;:null, &quot;locationimageurl&quot;:null, &quot;_distance&quot;:&quot;6.9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9h à 21h&quot;, &quot;acceptedmaterialsurl&quot;:null, &quot;latitude&quot;:&quot;45.489127&quot;, &quot;url&quot;:null, &quot;postalcode&quot;:&quot;J8T 8M1&quot;, &quot;province&quot;:&quot;QC&quot;, &quot;sustainabilityurl&quot;:null, &quot;hoursmon&quot;:&quot;9h à 21h&quot;, &quot;longitude&quot;:&quot;-75.6880919&quot;, &quot;uid&quot;:1986314683, &quot;retailerlinkurl&quot;:null, &quot;hourssat&quot;:&quot;9h à 21h&quot;, &quot;clientkey&quot;:&quot;155037&quot;, &quot;name&quot;:&quot;Jean Coutu&quot;, &quot;locationlinkurl&quot;:null, &quot;address1&quot;:&quot;860 Boulevard Saint-Rene O&quot;, &quot;icon&quot;:&quot;preferred&quot;, &quot;bho&quot;:null, &quot;_distanceuom&quot;:&quot;mile&quot;, &quot;hourssun&quot;:&quot;9h à 21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43-1881&quot;, &quot;address2&quot;:null, &quot;locationimageurl&quot;:null, &quot;_distance&quot;:&quot;10.08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4.3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6.87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4779433&quot;, &quot;url&quot;:null, &quot;postalcode&quot;:&quot;J8T 8J3&quot;, &quot;province&quot;:&quot;QC&quot;, &quot;sustainabilityurl&quot;:null, &quot;hoursmon&quot;:&quot;9h à 21h&quot;, &quot;longitude&quot;:&quot;-75.6999086&quot;, &quot;uid&quot;:-52040772, &quot;retailerlinkurl&quot;:null, &quot;hourssat&quot;:&quot;9h à 17h&quot;, &quot;clientkey&quot;:&quot;154918&quot;, &quot;name&quot;:&quot;Uniprix&quot;, &quot;locationlinkurl&quot;:null, &quot;address1&quot;:&quot;325 boul. Gréber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561-1313&quot;, &quot;address2&quot;:null, &quot;locationimageurl&quot;:null, &quot;_distance&quot;:&quot;10.1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489553&quot;, &quot;url&quot;:null, &quot;postalcode&quot;:&quot;J8P 1H5&quot;, &quot;province&quot;:&quot;QC&quot;, &quot;sustainabilityurl&quot;:null, &quot;hoursmon&quot;:&quot;9h à 21h&quot;, &quot;longitude&quot;:&quot;-75.5962411&quot;, &quot;uid&quot;:73321741, &quot;retailerlinkurl&quot;:null, &quot;hourssat&quot;:&quot;9h à 18h&quot;, &quot;clientkey&quot;:&quot;154886&quot;, &quot;name&quot;:&quot;Uniprix&quot;, &quot;locationlinkurl&quot;:null, &quot;address1&quot;:&quot;914 Boul Maloney E&quot;, &quot;icon&quot;:&quot;normal&quot;, &quot;bho&quot;:null, &quot;_distanceuom&quot;:&quot;mile&quot;, &quot;hourssun&quot;:&quot;9h à 18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63-2727&quot;, &quot;address2&quot;:null, &quot;locationimageurl&quot;:null, &quot;_distance&quot;:&quot;6.93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0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Veuillez appeler le point de dépôt.&quot;, &quot;acceptedmaterialsurl&quot;:null, &quot;latitude&quot;:&quot;45.55383&quot;, &quot;url&quot;:null, &quot;postalcode&quot;:&quot;J8M 1A2&quot;, &quot;province&quot;:&quot;QC&quot;, &quot;sustainabilityurl&quot;:null, &quot;hoursmon&quot;:&quot;9h à 21h&quot;, &quot;longitude&quot;:&quot;-75.4358&quot;, &quot;uid&quot;:1986314760, &quot;retailerlinkurl&quot;:null, &quot;hourssat&quot;:&quot;9h à 18h&quot;, &quot;clientkey&quot;:&quot;155127&quot;, &quot;name&quot;:&quot;Jean Coutu&quot;, &quot;locationlinkurl&quot;:null, &quot;address1&quot;:&quot;110 Rue Georges Bureau 10&quot;, &quot;icon&quot;:&quot;preferred&quot;, &quot;bho&quot;:null, &quot;_distanceuom&quot;:&quot;mile&quot;, &quot;hourssun&quot;:&quot;9h à 18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81-0532&quot;, &quot;address2&quot;:null, &quot;locationimageurl&quot;:null, &quot;_distance&quot;:&quot;10.95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9h30 à 21h&quot;, &quot;state&quot;:null, &quot;retailerimageurl&quot;:null, &quot;hoursfri&quot;:&quot;9h30 à 21h&quot;, &quot;acceptedmaterialsurl&quot;:null, &quot;latitude&quot;:&quot;45.4758498&quot;, &quot;url&quot;:null, &quot;postalcode&quot;:&quot;J8T 6G3&quot;, &quot;province&quot;:&quot;QC&quot;, &quot;sustainabilityurl&quot;:null, &quot;hoursmon&quot;:&quot;9h30 à 18h&quot;, &quot;longitude&quot;:&quot;-75.6969956&quot;, &quot;uid&quot;:1217407154, &quot;retailerlinkurl&quot;:null, &quot;hourssat&quot;:&quot;9h à 17h&quot;, &quot;clientkey&quot;:&quot;140738&quot;, &quot;name&quot;:&quot;Centre Commerciale Les Promenades&quot;, &quot;locationlinkurl&quot;:null, &quot;address1&quot;:&quot;1100 Boul Maloney O&quot;, &quot;icon&quot;:&quot;normal&quot;, &quot;bho&quot;:null, &quot;_distanceuom&quot;:&quot;mile&quot;, &quot;hourssun&quot;:&quot;10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568-1158&quot;, &quot;address2&quot;:null, &quot;locationimageurl&quot;:null, &quot;_distance&quot;:&quot;9.96&quot;, &quot;inktoner&quot;:&quot;N&quot;, &quot;nationalinkurl&quot;:null, &quot;regionallinkurl&quot;:null, &quot;cellphones&quot;:&quot;Y&quot;, &quot;hourstues&quot;:&quot;9h30 à 18h&quot;, &quot;consumerelectronics&quot;:&quot;N&quot;, &quot;hourswed&quot;:&quot;9h30 à 21h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4.896373301664&quot;, &quot;url&quot;:null, &quot;postalcode&quot;:&quot;13662&quot;, &quot;province&quot;:null, &quot;sustainabilityurl&quot;:null, &quot;hoursmon&quot;:&quot;Please Call&quot;, &quot;longitude&quot;:&quot;-74.879431337665&quot;, &quot;uid&quot;:1391042049, &quot;retailerlinkurl&quot;:null, &quot;hourssat&quot;:&quot;Please Call&quot;, &quot;clientkey&quot;:&quot;146465&quot;, &quot;name&quot;:&quot;Massena Transfer Station&quot;, &quot;locationlinkurl&quot;:null, &quot;address1&quot;:&quot;49 Dump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ssena&quot;, &quot;singleuse&quot;:&quot;N&quot;, &quot;fax&quot;:null, &quot;country&quot;:&quot;US&quot;, &quot;logourl&quot;:&quot;http://www.call2recycle.org/notpress/where2getit/call2recycle.png&quot;, &quot;phone&quot;:&quot;315-764-7312&quot;, &quot;address2&quot;:null, &quot;locationimageurl&quot;:null, &quot;_distance&quot;:&quot;14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4.9298593573576&quot;, &quot;url&quot;:null, &quot;postalcode&quot;:&quot;13662&quot;, &quot;province&quot;:null, &quot;sustainabilityurl&quot;:null, &quot;hoursmon&quot;:&quot;Please Call&quot;, &quot;longitude&quot;:&quot;-74.8905959717505&quot;, &quot;uid&quot;:540400213, &quot;retailerlinkurl&quot;:null, &quot;hourssat&quot;:&quot;Please Call&quot;, &quot;clientkey&quot;:&quot;117289&quot;, &quot;name&quot;:&quot;W.L.SMITH HARDWARE&quot;, &quot;locationlinkurl&quot;:null, &quot;address1&quot;:&quot;50 E Orvi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ssena&quot;, &quot;singleuse&quot;:&quot;N&quot;, &quot;fax&quot;:null, &quot;country&quot;:&quot;US&quot;, &quot;logourl&quot;:&quot;http://www.call2recycle.org/notpress/where2getit/call2recycle.png&quot;, &quot;phone&quot;:&quot;315-769-2408&quot;, &quot;address2&quot;:null, &quot;locationimageurl&quot;:null, &quot;_distance&quot;:&quot;11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03381&quot;, &quot;url&quot;:&quot;http://www.rona.ca&quot;, &quot;postalcode&quot;:&quot;K6H 2W8&quot;, &quot;province&quot;:&quot;ON&quot;, &quot;sustainabilityurl&quot;:&quot;http://www.rona.ca/corporate/corporate-responsibility&quot;, &quot;hoursmon&quot;:&quot;Please Call&quot;, &quot;longitude&quot;:&quot;-74.71658&quot;, &quot;uid&quot;:800133183, &quot;retailerlinkurl&quot;:null, &quot;hourssat&quot;:&quot;Please Call&quot;, &quot;clientkey&quot;:&quot;125521&quot;, &quot;name&quot;:&quot;RONA&quot;, &quot;locationlinkurl&quot;:null, &quot;address1&quot;:&quot;1100 Marleau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rnwall&quot;, &quot;singleuse&quot;:&quot;Y&quot;, &quot;fax&quot;:null, &quot;country&quot;:&quot;CA&quot;, &quot;logourl&quot;:&quot;http://www.call2recycle.org/notpress/where2getit/rona.png&quot;, &quot;phone&quot;:&quot;613-938-3300&quot;, &quot;address2&quot;:null, &quot;locationimageurl&quot;:null, &quot;_distance&quot;:&quot;1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03381&quot;, &quot;url&quot;:&quot;http://www.rona.ca&quot;, &quot;postalcode&quot;:&quot;K6H 2W8&quot;, &quot;province&quot;:&quot;ON&quot;, &quot;sustainabilityurl&quot;:&quot;http://www.rona.ca/corporate/corporate-responsibility&quot;, &quot;hoursmon&quot;:&quot;Please Call&quot;, &quot;longitude&quot;:&quot;-74.71658&quot;, &quot;uid&quot;:800133183, &quot;retailerlinkurl&quot;:null, &quot;hourssat&quot;:&quot;Please Call&quot;, &quot;clientkey&quot;:&quot;125521&quot;, &quot;name&quot;:&quot;RONA&quot;, &quot;locationlinkurl&quot;:null, &quot;address1&quot;:&quot;1100 Marleau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rnwall&quot;, &quot;singleuse&quot;:&quot;Y&quot;, &quot;fax&quot;:null, &quot;country&quot;:&quot;CA&quot;, &quot;logourl&quot;:&quot;http://www.call2recycle.org/notpress/where2getit/rona.png&quot;, &quot;phone&quot;:&quot;613-938-3300&quot;, &quot;address2&quot;:null, &quot;locationimageurl&quot;:null, &quot;_distance&quot;:&quot;8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33296&quot;, &quot;url&quot;:&quot;http://www.rona.ca&quot;, &quot;postalcode&quot;:&quot;K2G 5X6&quot;, &quot;province&quot;:&quot;ON&quot;, &quot;sustainabilityurl&quot;:&quot;http://www.rona.ca/corporate/corporate-responsibility&quot;, &quot;hoursmon&quot;:&quot;Please Call&quot;, &quot;longitude&quot;:&quot;-75.72896&quot;, &quot;uid&quot;:1182200902, &quot;retailerlinkurl&quot;:null, &quot;hourssat&quot;:&quot;Please Call&quot;, &quot;clientkey&quot;:&quot;121783&quot;, &quot;name&quot;:&quot;RONA&quot;, &quot;locationlinkurl&quot;:null, &quot;address1&quot;:&quot;585 West Hunt Club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ttawa&quot;, &quot;singleuse&quot;:&quot;Y&quot;, &quot;fax&quot;:null, &quot;country&quot;:&quot;CA&quot;, &quot;logourl&quot;:&quot;http://www.call2recycle.org/notpress/where2getit/rona.png&quot;, &quot;phone&quot;:&quot;613-226-5636&quot;, &quot;address2&quot;:null, &quot;locationimageurl&quot;:null, &quot;_distance&quot;:&quot;5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41724&quot;, &quot;url&quot;:&quot;http://www.rona.ca&quot;, &quot;postalcode&quot;:&quot;K1B 3K5&quot;, &quot;province&quot;:&quot;ON&quot;, &quot;sustainabilityurl&quot;:&quot;http://www.rona.ca/corporate/corporate-responsibility&quot;, &quot;hoursmon&quot;:&quot;Please Call&quot;, &quot;longitude&quot;:&quot;-75.60051&quot;, &quot;uid&quot;:1182182155, &quot;retailerlinkurl&quot;:null, &quot;hourssat&quot;:&quot;Please Call&quot;, &quot;clientkey&quot;:&quot;68483&quot;, &quot;name&quot;:&quot;RONA&quot;, &quot;locationlinkurl&quot;:null, &quot;address1&quot;:&quot;1880 Inne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loucester&quot;, &quot;singleuse&quot;:&quot;Y&quot;, &quot;fax&quot;:null, &quot;country&quot;:&quot;CA&quot;, &quot;logourl&quot;:&quot;http://www.call2recycle.org/notpress/where2getit/rona.png&quot;, &quot;phone&quot;:&quot;613-741-6331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3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6.4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7028&quot;, &quot;url&quot;:&quot;http://www.thesource.ca&quot;, &quot;postalcode&quot;:&quot;K2J 5G5&quot;, &quot;province&quot;:&quot;ON&quot;, &quot;sustainabilityurl&quot;:&quot;http://www.thesource.ca/sitelets/jobs/environment.asp&quot;, &quot;hoursmon&quot;:&quot;Please Call&quot;, &quot;longitude&quot;:&quot;-75.74192&quot;, &quot;uid&quot;:-270871333, &quot;retailerlinkurl&quot;:null, &quot;hourssat&quot;:&quot;Please Call&quot;, &quot;clientkey&quot;:&quot;85514&quot;, &quot;name&quot;:&quot;The Source&quot;, &quot;locationlinkurl&quot;:null, &quot;address1&quot;:&quot;81 Rioc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3-1995&quot;, &quot;address2&quot;:null, &quot;locationimageurl&quot;:null, &quot;_distance&quot;:&quot;3.6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137&quot;, &quot;url&quot;:&quot;http://www.thesource.ca&quot;, &quot;postalcode&quot;:&quot;K0C 1A0&quot;, &quot;province&quot;:&quot;ON&quot;, &quot;sustainabilityurl&quot;:&quot;http://www.thesource.ca/sitelets/jobs/environment.asp&quot;, &quot;hoursmon&quot;:&quot;Please Call&quot;, &quot;longitude&quot;:&quot;-74.62865&quot;, &quot;uid&quot;:1182184234, &quot;retailerlinkurl&quot;:null, &quot;hourssat&quot;:&quot;Please Call&quot;, &quot;clientkey&quot;:&quot;1343&quot;, &quot;name&quot;:&quot;G&amp;S Tech-Tronics&quot;, &quot;locationlinkurl&quot;:null, &quot;address1&quot;:&quot;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exandria&quot;, &quot;singleuse&quot;:&quot;Y&quot;, &quot;fax&quot;:null, &quot;country&quot;:&quot;CA&quot;, &quot;logourl&quot;:&quot;http://www.call2recycle.org/notpress/where2getit/thesource.png&quot;, &quot;phone&quot;:&quot;613-525-3852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137&quot;, &quot;url&quot;:&quot;http://www.thesource.ca&quot;, &quot;postalcode&quot;:&quot;K0C 1A0&quot;, &quot;province&quot;:&quot;ON&quot;, &quot;sustainabilityurl&quot;:&quot;http://www.thesource.ca/sitelets/jobs/environment.asp&quot;, &quot;hoursmon&quot;:&quot;Please Call&quot;, &quot;longitude&quot;:&quot;-74.62865&quot;, &quot;uid&quot;:1182184234, &quot;retailerlinkurl&quot;:null, &quot;hourssat&quot;:&quot;Please Call&quot;, &quot;clientkey&quot;:&quot;1343&quot;, &quot;name&quot;:&quot;G&amp;S Tech-Tronics&quot;, &quot;locationlinkurl&quot;:null, &quot;address1&quot;:&quot;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exandria&quot;, &quot;singleuse&quot;:&quot;Y&quot;, &quot;fax&quot;:null, &quot;country&quot;:&quot;CA&quot;, &quot;logourl&quot;:&quot;http://www.call2recycle.org/notpress/where2getit/thesource.png&quot;, &quot;phone&quot;:&quot;613-525-3852&quot;, &quot;address2&quot;:null, &quot;locationimageurl&quot;:null, &quot;_distance&quot;:&quot;6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262&quot;, &quot;url&quot;:&quot;http://www.thesource.ca&quot;, &quot;postalcode&quot;:&quot;K2M 1C9&quot;, &quot;province&quot;:&quot;ON&quot;, &quot;sustainabilityurl&quot;:&quot;http://www.thesource.ca/sitelets/jobs/environment.asp&quot;, &quot;hoursmon&quot;:&quot;Please Call&quot;, &quot;longitude&quot;:&quot;-75.876055&quot;, &quot;uid&quot;:78301543, &quot;retailerlinkurl&quot;:null, &quot;hourssat&quot;:&quot;Please Call&quot;, &quot;clientkey&quot;:&quot;64267&quot;, &quot;name&quot;:&quot;The Source&quot;, &quot;locationlinkurl&quot;:null, &quot;address1&quot;:&quot;300 Eagle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thesource.png&quot;, &quot;phone&quot;:&quot;613-254-7298&quot;, &quot;address2&quot;:null, &quot;locationimageurl&quot;:null, &quot;_distance&quot;:&quot;3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5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5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56195926914&quot;, &quot;url&quot;:&quot;http://www.thesource.ca&quot;, &quot;postalcode&quot;:&quot;K2G 4A1&quot;, &quot;province&quot;:&quot;ON&quot;, &quot;sustainabilityurl&quot;:&quot;http://www.thesource.ca/sitelets/jobs/environment.asp&quot;, &quot;hoursmon&quot;:&quot;Please Call&quot;, &quot;longitude&quot;:&quot;-75.7304456845579&quot;, &quot;uid&quot;:1044141446, &quot;retailerlinkurl&quot;:null, &quot;hourssat&quot;:&quot;Please Call&quot;, &quot;clientkey&quot;:&quot;788&quot;, &quot;name&quot;:&quot;The Source&quot;, &quot;locationlinkurl&quot;:null, &quot;address1&quot;:&quot;1642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9648&quot;, &quot;address2&quot;:null, &quot;locationimageurl&quot;:null, &quot;_distance&quot;:&quot;11.1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56195926914&quot;, &quot;url&quot;:&quot;http://www.thesource.ca&quot;, &quot;postalcode&quot;:&quot;K2G 4A1&quot;, &quot;province&quot;:&quot;ON&quot;, &quot;sustainabilityurl&quot;:&quot;http://www.thesource.ca/sitelets/jobs/environment.asp&quot;, &quot;hoursmon&quot;:&quot;Please Call&quot;, &quot;longitude&quot;:&quot;-75.7304456845579&quot;, &quot;uid&quot;:1044141446, &quot;retailerlinkurl&quot;:null, &quot;hourssat&quot;:&quot;Please Call&quot;, &quot;clientkey&quot;:&quot;788&quot;, &quot;name&quot;:&quot;The Source&quot;, &quot;locationlinkurl&quot;:null, &quot;address1&quot;:&quot;1642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9648&quot;, &quot;address2&quot;:null, &quot;locationimageurl&quot;:null, &quot;_distance&quot;:&quot;5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88851541784&quot;, &quot;url&quot;:&quot;http://www.thesource.ca&quot;, &quot;postalcode&quot;:&quot;K2G 1V7&quot;, &quot;province&quot;:&quot;ON&quot;, &quot;sustainabilityurl&quot;:&quot;http://www.thesource.ca/sitelets/jobs/environment.asp&quot;, &quot;hoursmon&quot;:&quot;Please Call&quot;, &quot;longitude&quot;:&quot;-75.7608445840817&quot;, &quot;uid&quot;:2018958409, &quot;retailerlinkurl&quot;:null, &quot;hourssat&quot;:&quot;Please Call&quot;, &quot;clientkey&quot;:&quot;155888&quot;, &quot;name&quot;:&quot;The Source&quot;, &quot;locationlinkurl&quot;:null, &quot;address1&quot;:&quot;1379 Woodroff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224-1683&quot;, &quot;address2&quot;:null, &quot;locationimageurl&quot;:null, &quot;_distance&quot;:&quot;4.7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921&quot;, &quot;url&quot;:&quot;http://www.thesource.ca&quot;, &quot;postalcode&quot;:&quot;K2B 8C1&quot;, &quot;province&quot;:&quot;ON&quot;, &quot;sustainabilityurl&quot;:&quot;http://www.thesource.ca/sitelets/jobs/environment.asp&quot;, &quot;hoursmon&quot;:&quot;Please Call&quot;, &quot;longitude&quot;:&quot;-75.80515&quot;, &quot;uid&quot;:-1490884080, &quot;retailerlinkurl&quot;:null, &quot;hourssat&quot;:&quot;Please Call&quot;, &quot;clientkey&quot;:&quot;800&quot;, &quot;name&quot;:&quot;The Source&quot;, &quot;locationlinkurl&quot;:null, &quot;address1&quot;:&quot;100 Bayshore Dr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0-6194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9.0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710585714286&quot;, &quot;url&quot;:&quot;http://www.thesource.ca&quot;, &quot;postalcode&quot;:&quot;K2A 1H2&quot;, &quot;province&quot;:&quot;ON&quot;, &quot;sustainabilityurl&quot;:&quot;http://www.thesource.ca/sitelets/jobs/environment.asp&quot;, &quot;hoursmon&quot;:&quot;Please Call&quot;, &quot;longitude&quot;:&quot;-75.7688328571429&quot;, &quot;uid&quot;:1182173715, &quot;retailerlinkurl&quot;:null, &quot;hourssat&quot;:&quot;Please Call&quot;, &quot;clientkey&quot;:&quot;726&quot;, &quot;name&quot;:&quot;The Source&quot;, &quot;locationlinkurl&quot;:null, &quot;address1&quot;:&quot;2121 Car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22-6052&quot;, &quot;address2&quot;:null, &quot;locationimageurl&quot;:null, &quot;_distance&quot;:&quot;6.0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86778716225&quot;, &quot;url&quot;:&quot;http://www.thesource.ca&quot;, &quot;postalcode&quot;:&quot;K1H 8K2&quot;, &quot;province&quot;:&quot;ON&quot;, &quot;sustainabilityurl&quot;:&quot;http://www.thesource.ca/sitelets/jobs/environment.asp&quot;, &quot;hoursmon&quot;:&quot;Please Call&quot;, &quot;longitude&quot;:&quot;-75.6796023225593&quot;, &quot;uid&quot;:875341033, &quot;retailerlinkurl&quot;:null, &quot;hourssat&quot;:&quot;Please Call&quot;, &quot;clientkey&quot;:&quot;733&quot;, &quot;name&quot;:&quot;The Source&quot;, &quot;locationlinkurl&quot;:null, &quot;address1&quot;:&quot;2269 Riverside Dr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7-1079&quot;, &quot;address2&quot;:null, &quot;locationimageurl&quot;:null, &quot;_distance&quot;:&quot;7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86778716225&quot;, &quot;url&quot;:&quot;http://www.thesource.ca&quot;, &quot;postalcode&quot;:&quot;K1H 8K2&quot;, &quot;province&quot;:&quot;ON&quot;, &quot;sustainabilityurl&quot;:&quot;http://www.thesource.ca/sitelets/jobs/environment.asp&quot;, &quot;hoursmon&quot;:&quot;Please Call&quot;, &quot;longitude&quot;:&quot;-75.6796023225593&quot;, &quot;uid&quot;:875341033, &quot;retailerlinkurl&quot;:null, &quot;hourssat&quot;:&quot;Please Call&quot;, &quot;clientkey&quot;:&quot;733&quot;, &quot;name&quot;:&quot;The Source&quot;, &quot;locationlinkurl&quot;:null, &quot;address1&quot;:&quot;2269 Riverside Dr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7-1079&quot;, &quot;address2&quot;:null, &quot;locationimageurl&quot;:null, &quot;_distance&quot;:&quot;9.3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996469&quot;, &quot;url&quot;:&quot;http://www.thesource.ca&quot;, &quot;postalcode&quot;:&quot;K1S 5J3&quot;, &quot;province&quot;:&quot;ON&quot;, &quot;sustainabilityurl&quot;:&quot;http://www.thesource.ca/sitelets/jobs/environment.asp&quot;, &quot;hoursmon&quot;:&quot;Please Call&quot;, &quot;longitude&quot;:&quot;-75.6837603&quot;, &quot;uid&quot;:708492625, &quot;retailerlinkurl&quot;:null, &quot;hourssat&quot;:&quot;Please Call&quot;, &quot;clientkey&quot;:&quot;161872&quot;, &quot;name&quot;:&quot;The Source&quot;, &quot;locationlinkurl&quot;:null, &quot;address1&quot;:&quot;725 Exhibition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565-4808&quot;, &quot;address2&quot;:null, &quot;locationimageurl&quot;:null, &quot;_distance&quot;:&quot;8.0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996469&quot;, &quot;url&quot;:&quot;http://www.thesource.ca&quot;, &quot;postalcode&quot;:&quot;K1S 5J3&quot;, &quot;province&quot;:&quot;ON&quot;, &quot;sustainabilityurl&quot;:&quot;http://www.thesource.ca/sitelets/jobs/environment.asp&quot;, &quot;hoursmon&quot;:&quot;Please Call&quot;, &quot;longitude&quot;:&quot;-75.6837603&quot;, &quot;uid&quot;:708492625, &quot;retailerlinkurl&quot;:null, &quot;hourssat&quot;:&quot;Please Call&quot;, &quot;clientkey&quot;:&quot;161872&quot;, &quot;name&quot;:&quot;The Source&quot;, &quot;locationlinkurl&quot;:null, &quot;address1&quot;:&quot;725 Exhibition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565-4808&quot;, &quot;address2&quot;:null, &quot;locationimageurl&quot;:null, &quot;_distance&quot;:&quot;9.8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199628571429&quot;, &quot;url&quot;:null, &quot;postalcode&quot;:&quot;K6J 3R1&quot;, &quot;province&quot;:&quot;ON&quot;, &quot;sustainabilityurl&quot;:null, &quot;hoursmon&quot;:&quot;Please Call&quot;, &quot;longitude&quot;:&quot;-74.7296728571429&quot;, &quot;uid&quot;:502591974, &quot;retailerlinkurl&quot;:null, &quot;hourssat&quot;:&quot;Please Call&quot;, &quot;clientkey&quot;:&quot;157939&quot;, &quot;name&quot;:&quot;ListenUp! Canada&quot;, &quot;locationlinkurl&quot;:null, &quot;address1&quot;:&quot;315 Pit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call2recycle.png&quot;, &quot;phone&quot;:&quot;613-937-0519&quot;, &quot;address2&quot;:null, &quot;locationimageurl&quot;:null, &quot;_distance&quot;:&quot;14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199628571429&quot;, &quot;url&quot;:null, &quot;postalcode&quot;:&quot;K6J 3R1&quot;, &quot;province&quot;:&quot;ON&quot;, &quot;sustainabilityurl&quot;:null, &quot;hoursmon&quot;:&quot;Please Call&quot;, &quot;longitude&quot;:&quot;-74.7296728571429&quot;, &quot;uid&quot;:502591974, &quot;retailerlinkurl&quot;:null, &quot;hourssat&quot;:&quot;Please Call&quot;, &quot;clientkey&quot;:&quot;157939&quot;, &quot;name&quot;:&quot;ListenUp! Canada&quot;, &quot;locationlinkurl&quot;:null, &quot;address1&quot;:&quot;315 Pit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call2recycle.png&quot;, &quot;phone&quot;:&quot;613-937-0519&quot;, &quot;address2&quot;:null, &quot;locationimageurl&quot;:null, &quot;_distance&quot;:&quot;9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287936&quot;, &quot;url&quot;:null, &quot;postalcode&quot;:&quot;K6H 6R3&quot;, &quot;province&quot;:&quot;ON&quot;, &quot;sustainabilityurl&quot;:null, &quot;hoursmon&quot;:&quot;Please Call&quot;, &quot;longitude&quot;:&quot;-74.7346015&quot;, &quot;uid&quot;:1688691584, &quot;retailerlinkurl&quot;:null, &quot;hourssat&quot;:&quot;Please Call&quot;, &quot;clientkey&quot;:&quot;150706&quot;, &quot;name&quot;:&quot;Staples&quot;, &quot;locationlinkurl&quot;:null, &quot;address1&quot;:&quot;7 Nin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staples.png&quot;, &quot;phone&quot;:&quot;613-936-6952&quot;, &quot;address2&quot;:null, &quot;locationimageurl&quot;:null, &quot;_distance&quot;:&quot;13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287936&quot;, &quot;url&quot;:null, &quot;postalcode&quot;:&quot;K6H 6R3&quot;, &quot;province&quot;:&quot;ON&quot;, &quot;sustainabilityurl&quot;:null, &quot;hoursmon&quot;:&quot;Please Call&quot;, &quot;longitude&quot;:&quot;-74.7346015&quot;, &quot;uid&quot;:1688691584, &quot;retailerlinkurl&quot;:null, &quot;hourssat&quot;:&quot;Please Call&quot;, &quot;clientkey&quot;:&quot;150706&quot;, &quot;name&quot;:&quot;Staples&quot;, &quot;locationlinkurl&quot;:null, &quot;address1&quot;:&quot;7 Nin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staples.png&quot;, &quot;phone&quot;:&quot;613-936-6952&quot;, &quot;address2&quot;:null, &quot;locationimageurl&quot;:null, &quot;_distance&quot;:&quot;8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79267646816&quot;, &quot;url&quot;:null, &quot;postalcode&quot;:&quot;K6J 5X7&quot;, &quot;province&quot;:&quot;ON&quot;, &quot;sustainabilityurl&quot;:null, &quot;hoursmon&quot;:&quot;Please Call&quot;, &quot;longitude&quot;:&quot;-74.7607134190964&quot;, &quot;uid&quot;:1182196463, &quot;retailerlinkurl&quot;:null, &quot;hourssat&quot;:&quot;Please Call&quot;, &quot;clientkey&quot;:&quot;78231&quot;, &quot;name&quot;:&quot;Home Depot&quot;, &quot;locationlinkurl&quot;:null, &quot;address1&quot;:&quot;1825 Broo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homedepot.png&quot;, &quot;phone&quot;:&quot;613-930-4470&quot;, &quot;address2&quot;:null, &quot;locationimageurl&quot;:null, &quot;_distance&quot;:&quot;12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79267646816&quot;, &quot;url&quot;:null, &quot;postalcode&quot;:&quot;K6J 5X7&quot;, &quot;province&quot;:&quot;ON&quot;, &quot;sustainabilityurl&quot;:null, &quot;hoursmon&quot;:&quot;Please Call&quot;, &quot;longitude&quot;:&quot;-74.7607134190964&quot;, &quot;uid&quot;:1182196463, &quot;retailerlinkurl&quot;:null, &quot;hourssat&quot;:&quot;Please Call&quot;, &quot;clientkey&quot;:&quot;78231&quot;, &quot;name&quot;:&quot;Home Depot&quot;, &quot;locationlinkurl&quot;:null, &quot;address1&quot;:&quot;1825 Broo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rnwall&quot;, &quot;singleuse&quot;:&quot;Y&quot;, &quot;fax&quot;:null, &quot;country&quot;:&quot;CA&quot;, &quot;logourl&quot;:&quot;http://www.call2recycle.org/notpress/where2getit/homedepot.png&quot;, &quot;phone&quot;:&quot;613-930-4470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81247435396&quot;, &quot;url&quot;:null, &quot;postalcode&quot;:&quot;K0C 1P0&quot;, &quot;province&quot;:&quot;ON&quot;, &quot;sustainabilityurl&quot;:null, &quot;hoursmon&quot;:&quot;Please Call&quot;, &quot;longitude&quot;:&quot;-74.8168842447786&quot;, &quot;uid&quot;:1064589939, &quot;retailerlinkurl&quot;:null, &quot;hourssat&quot;:&quot;Please Call&quot;, &quot;clientkey&quot;:&quot;161674&quot;, &quot;name&quot;:&quot;City of Cornwall Depot&quot;, &quot;locationlinkurl&quot;:null, &quot;address1&quot;:&quot;2590 Cornwall Centre Rd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g Sault&quot;, &quot;singleuse&quot;:&quot;Y&quot;, &quot;fax&quot;:null, &quot;country&quot;:&quot;CA&quot;, &quot;logourl&quot;:&quot;http://www.call2recycle.org/notpress/where2getit/call2recycle.png&quot;, &quot;phone&quot;:&quot;613-930-2787&quot;, &quot;address2&quot;:null, &quot;locationimageurl&quot;:null, &quot;_distance&quot;:&quot;7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81247435396&quot;, &quot;url&quot;:null, &quot;postalcode&quot;:&quot;K0C 1P0&quot;, &quot;province&quot;:&quot;ON&quot;, &quot;sustainabilityurl&quot;:null, &quot;hoursmon&quot;:&quot;Please Call&quot;, &quot;longitude&quot;:&quot;-74.8168842447786&quot;, &quot;uid&quot;:1064589939, &quot;retailerlinkurl&quot;:null, &quot;hourssat&quot;:&quot;Please Call&quot;, &quot;clientkey&quot;:&quot;161674&quot;, &quot;name&quot;:&quot;City of Cornwall Depot&quot;, &quot;locationlinkurl&quot;:null, &quot;address1&quot;:&quot;2590 Cornwall Centre Rd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g Sault&quot;, &quot;singleuse&quot;:&quot;Y&quot;, &quot;fax&quot;:null, &quot;country&quot;:&quot;CA&quot;, &quot;logourl&quot;:&quot;http://www.call2recycle.org/notpress/where2getit/call2recycle.png&quot;, &quot;phone&quot;:&quot;613-930-2787&quot;, &quot;address2&quot;:null, &quot;locationimageurl&quot;:null, &quot;_distance&quot;:&quot;9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045758467051&quot;, &quot;url&quot;:null, &quot;postalcode&quot;:&quot;K0C 2K0&quot;, &quot;province&quot;:&quot;ON&quot;, &quot;sustainabilityurl&quot;:null, &quot;hoursmon&quot;:&quot;Please Call&quot;, &quot;longitude&quot;:&quot;-75.3214423553231&quot;, &quot;uid&quot;:1414108904, &quot;retailerlinkurl&quot;:null, &quot;hourssat&quot;:&quot;Please Call&quot;, &quot;clientkey&quot;:&quot;147082&quot;, &quot;name&quot;:&quot;Township of North Dundas&quot;, &quot;locationlinkurl&quot;:null, &quot;address1&quot;:&quot;12620 Boy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chester&quot;, &quot;singleuse&quot;:&quot;Y&quot;, &quot;fax&quot;:null, &quot;country&quot;:&quot;CA&quot;, &quot;logourl&quot;:&quot;http://www.call2recycle.org/notpress/where2getit/call2recycle.png&quot;, &quot;phone&quot;:&quot;613-774-5157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240975&quot;, &quot;url&quot;:null, &quot;postalcode&quot;:&quot;K4M 1A8&quot;, &quot;province&quot;:&quot;ON&quot;, &quot;sustainabilityurl&quot;:null, &quot;hoursmon&quot;:&quot;Please Call&quot;, &quot;longitude&quot;:&quot;-75.68488125&quot;, &quot;uid&quot;:159003776, &quot;retailerlinkurl&quot;:null, &quot;hourssat&quot;:&quot;Please Call&quot;, &quot;clientkey&quot;:&quot;29318&quot;, &quot;name&quot;:&quot;Manotick Home Hardware&quot;, &quot;locationlinkurl&quot;:null, &quot;address1&quot;:&quot;1166 Beaverwood Rd (PO Box 970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notick&quot;, &quot;singleuse&quot;:&quot;Y&quot;, &quot;fax&quot;:null, &quot;country&quot;:&quot;CA&quot;, &quot;logourl&quot;:&quot;http://www.call2recycle.org/notpress/where2getit/call2recycle.png&quot;, &quot;phone&quot;:&quot;613-692-3591&quot;, &quot;address2&quot;:null, &quot;locationimageurl&quot;:null, &quot;_distance&quot;:&quot;7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5691&quot;, &quot;url&quot;:null, &quot;postalcode&quot;:&quot;K4R 1A1&quot;, &quot;province&quot;:&quot;ON&quot;, &quot;sustainabilityurl&quot;:null, &quot;hoursmon&quot;:&quot;Please Call&quot;, &quot;longitude&quot;:&quot;-75.3704&quot;, &quot;uid&quot;:-853657929, &quot;retailerlinkurl&quot;:null, &quot;hourssat&quot;:&quot;Please Call&quot;, &quot;clientkey&quot;:&quot;29408&quot;, &quot;name&quot;:&quot;Barrys Home Hardware&quot;, &quot;locationlinkurl&quot;:null, &quot;address1&quot;:&quot;120 Crai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ussell&quot;, &quot;singleuse&quot;:&quot;Y&quot;, &quot;fax&quot;:null, &quot;country&quot;:&quot;CA&quot;, &quot;logourl&quot;:&quot;http://www.call2recycle.org/notpress/where2getit/call2recycle.png&quot;, &quot;phone&quot;:&quot;613-445-2171&quot;, &quot;address2&quot;:null, &quot;locationimageurl&quot;:null, &quot;_distance&quot;:&quot;1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5691&quot;, &quot;url&quot;:null, &quot;postalcode&quot;:&quot;K4R 1A1&quot;, &quot;province&quot;:&quot;ON&quot;, &quot;sustainabilityurl&quot;:null, &quot;hoursmon&quot;:&quot;Please Call&quot;, &quot;longitude&quot;:&quot;-75.3704&quot;, &quot;uid&quot;:-853657929, &quot;retailerlinkurl&quot;:null, &quot;hourssat&quot;:&quot;Please Call&quot;, &quot;clientkey&quot;:&quot;29408&quot;, &quot;name&quot;:&quot;Barrys Home Hardware&quot;, &quot;locationlinkurl&quot;:null, &quot;address1&quot;:&quot;120 Crai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ussell&quot;, &quot;singleuse&quot;:&quot;Y&quot;, &quot;fax&quot;:null, &quot;country&quot;:&quot;CA&quot;, &quot;logourl&quot;:&quot;http://www.call2recycle.org/notpress/where2getit/call2recycle.png&quot;, &quot;phone&quot;:&quot;613-445-2171&quot;, &quot;address2&quot;:null, &quot;locationimageurl&quot;:null, &quot;_distance&quot;:&quot;9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6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323504802&quot;, &quot;url&quot;:null, &quot;postalcode&quot;:&quot;K2J 5M4&quot;, &quot;province&quot;:&quot;ON&quot;, &quot;sustainabilityurl&quot;:null, &quot;hoursmon&quot;:&quot;Please Call&quot;, &quot;longitude&quot;:&quot;-75.7511639463902&quot;, &quot;uid&quot;:-1675423248, &quot;retailerlinkurl&quot;:null, &quot;hourssat&quot;:&quot;Please Call&quot;, &quot;clientkey&quot;:&quot;75909&quot;, &quot;name&quot;:&quot;Home Depot&quot;, &quot;locationlinkurl&quot;:null, &quot;address1&quot;:&quot;3779 Strandhe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homedepot.png&quot;, &quot;phone&quot;:&quot;613-843-7900&quot;, &quot;address2&quot;:null, &quot;locationimageurl&quot;:null, &quot;_distance&quot;:&quot;3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415669868&quot;, &quot;url&quot;:null, &quot;postalcode&quot;:&quot;K2J 4B1&quot;, &quot;province&quot;:&quot;ON&quot;, &quot;sustainabilityurl&quot;:null, &quot;hoursmon&quot;:&quot;Please Call&quot;, &quot;longitude&quot;:&quot;-75.7511392975935&quot;, &quot;uid&quot;:602206728, &quot;retailerlinkurl&quot;:null, &quot;hourssat&quot;:&quot;Please Call&quot;, &quot;clientkey&quot;:&quot;150388&quot;, &quot;name&quot;:&quot;Best Buy Canada&quot;, &quot;locationlinkurl&quot;:null, &quot;address1&quot;:&quot;3777 Strandher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bestbuy.png&quot;, &quot;phone&quot;:&quot;613-843-5625&quot;, &quot;address2&quot;:null, &quot;locationimageurl&quot;:null, &quot;_distance&quot;:&quot;3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7069125&quot;, &quot;url&quot;:null, &quot;postalcode&quot;:&quot;K2J 5G5&quot;, &quot;province&quot;:&quot;ON&quot;, &quot;sustainabilityurl&quot;:null, &quot;hoursmon&quot;:&quot;Please Call&quot;, &quot;longitude&quot;:&quot;-75.7408525&quot;, &quot;uid&quot;:-2116053867, &quot;retailerlinkurl&quot;:null, &quot;hourssat&quot;:&quot;Please Call&quot;, &quot;clientkey&quot;:&quot;68079&quot;, &quot;name&quot;:&quot;Staples&quot;, &quot;locationlinkurl&quot;:null, &quot;address1&quot;:&quot;101 Marketplac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825-0457&quot;, &quot;address2&quot;:null, &quot;locationimageurl&quot;:null, &quot;_distance&quot;:&quot;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022741666667&quot;, &quot;url&quot;:null, &quot;postalcode&quot;:&quot;K2T 1C4&quot;, &quot;province&quot;:&quot;ON&quot;, &quot;sustainabilityurl&quot;:null, &quot;hoursmon&quot;:&quot;Please Call&quot;, &quot;longitude&quot;:&quot;-75.9142483333333&quot;, &quot;uid&quot;:1182181844, &quot;retailerlinkurl&quot;:null, &quot;hourssat&quot;:&quot;Please Call&quot;, &quot;clientkey&quot;:&quot;43543&quot;, &quot;name&quot;:&quot;Home Depot&quot;, &quot;locationlinkurl&quot;:null, &quot;address1&quot;:&quot;10 Frank Nighbor Plac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homedepot.png&quot;, &quot;phone&quot;:&quot;613-271-7577&quot;, &quot;address2&quot;:null, &quot;locationimageurl&quot;:null, &quot;_distance&quot;:&quot;5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077106580804&quot;, &quot;url&quot;:null, &quot;postalcode&quot;:&quot;K2T 1B7&quot;, &quot;province&quot;:&quot;ON&quot;, &quot;sustainabilityurl&quot;:null, &quot;hoursmon&quot;:&quot;Please Call&quot;, &quot;longitude&quot;:&quot;-75.9191627451347&quot;, &quot;uid&quot;:1696469732, &quot;retailerlinkurl&quot;:null, &quot;hourssat&quot;:&quot;Please Call&quot;, &quot;clientkey&quot;:&quot;102514&quot;, &quot;name&quot;:&quot;Staples&quot;, &quot;locationlinkurl&quot;:null, &quot;address1&quot;:&quot;8141 Campeau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staples.png&quot;, &quot;phone&quot;:&quot;613-592-3538&quot;, &quot;address2&quot;:null, &quot;locationimageurl&quot;:null, &quot;_distance&quot;:&quot;5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1&quot;, &quot;url&quot;:null, &quot;postalcode&quot;:&quot;K2H 5Z2&quot;, &quot;province&quot;:&quot;ON&quot;, &quot;sustainabilityurl&quot;:null, &quot;hoursmon&quot;:&quot;Please Call&quot;, &quot;longitude&quot;:&quot;-75.84883&quot;, &quot;uid&quot;:-1543474305, &quot;retailerlinkurl&quot;:null, &quot;hourssat&quot;:&quot;Please Call&quot;, &quot;clientkey&quot;:&quot;105711&quot;, &quot;name&quot;:&quot;Ottawa Fastener Supply Ltd&quot;, &quot;locationlinkurl&quot;:null, &quot;address1&quot;:&quot;2205 Roberts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828-4117&quot;, &quot;address2&quot;:null, &quot;locationimageurl&quot;:null, &quot;_distance&quot;:&quot;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69700050834&quot;, &quot;url&quot;:null, &quot;postalcode&quot;:&quot;K2L 4E9&quot;, &quot;province&quot;:&quot;ON&quot;, &quot;sustainabilityurl&quot;:null, &quot;hoursmon&quot;:&quot;Please Call&quot;, &quot;longitude&quot;:&quot;-75.8900513218109&quot;, &quot;uid&quot;:636392824, &quot;retailerlinkurl&quot;:null, &quot;hourssat&quot;:&quot;Please Call&quot;, &quot;clientkey&quot;:&quot;169584&quot;, &quot;name&quot;:&quot;Franklin Empire&quot;, &quot;locationlinkurl&quot;:null, &quot;address1&quot;:&quot;140 Hearst Wa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anata&quot;, &quot;singleuse&quot;:&quot;Y&quot;, &quot;fax&quot;:null, &quot;country&quot;:&quot;CA&quot;, &quot;logourl&quot;:&quot;http://www.call2recycle.org/notpress/where2getit/call2recycle.png&quot;, &quot;phone&quot;:&quot;613-596-1144&quot;, &quot;address2&quot;:null, &quot;locationimageurl&quot;:null, &quot;_distance&quot;:&quot;4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11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5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61577807865&quot;, &quot;url&quot;:null, &quot;postalcode&quot;:&quot;K2H 7T3&quot;, &quot;province&quot;:&quot;ON&quot;, &quot;sustainabilityurl&quot;:null, &quot;hoursmon&quot;:&quot;Please Call&quot;, &quot;longitude&quot;:&quot;-75.7994028475483&quot;, &quot;uid&quot;:341261029, &quot;retailerlinkurl&quot;:null, &quot;hourssat&quot;:&quot;Please Call&quot;, &quot;clientkey&quot;:&quot;162234&quot;, &quot;name&quot;:&quot;Foxy Recycle&quot;, &quot;locationlinkurl&quot;:null, &quot;address1&quot;:&quot;2940 Baseli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26-3699&quot;, &quot;address2&quot;:null, &quot;locationimageurl&quot;:null, &quot;_distance&quot;:&quot;3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81964767298&quot;, &quot;url&quot;:null, &quot;postalcode&quot;:&quot;K2C 1E6&quot;, &quot;province&quot;:&quot;ON&quot;, &quot;sustainabilityurl&quot;:null, &quot;hoursmon&quot;:&quot;Please Call&quot;, &quot;longitude&quot;:&quot;-75.7863466375104&quot;, &quot;uid&quot;:400726441, &quot;retailerlinkurl&quot;:null, &quot;hourssat&quot;:&quot;Please Call&quot;, &quot;clientkey&quot;:&quot;157976&quot;, &quot;name&quot;:&quot;ListenUp! Canada&quot;, &quot;locationlinkurl&quot;:null, &quot;address1&quot;:&quot;2730 Iri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1-1052&quot;, &quot;address2&quot;:null, &quot;locationimageurl&quot;:null, &quot;_distance&quot;:&quot;4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89677777778&quot;, &quot;url&quot;:null, &quot;postalcode&quot;:&quot;K2G 5J8&quot;, &quot;province&quot;:&quot;ON&quot;, &quot;sustainabilityurl&quot;:null, &quot;hoursmon&quot;:&quot;Please Call&quot;, &quot;longitude&quot;:&quot;-75.7324555555556&quot;, &quot;uid&quot;:406327070, &quot;retailerlinkurl&quot;:null, &quot;hourssat&quot;:&quot;Please Call&quot;, &quot;clientkey&quot;:&quot;168563&quot;, &quot;name&quot;:&quot;uBreakiFix&quot;, &quot;locationlinkurl&quot;:null, &quot;address1&quot;:&quot;1600 Meriva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422-8243&quot;, &quot;address2&quot;:null, &quot;locationimageurl&quot;:null, &quot;_distance&quot;:&quot;5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091&quot;, &quot;url&quot;:null, &quot;postalcode&quot;:&quot;K2G 4B5&quot;, &quot;province&quot;:&quot;ON&quot;, &quot;sustainabilityurl&quot;:null, &quot;hoursmon&quot;:&quot;Please Call&quot;, &quot;longitude&quot;:&quot;-75.73358&quot;, &quot;uid&quot;:400726454, &quot;retailerlinkurl&quot;:null, &quot;hourssat&quot;:&quot;Please Call&quot;, &quot;clientkey&quot;:&quot;157988&quot;, &quot;name&quot;:&quot;ListenUp! Canada&quot;, &quot;locationlinkurl&quot;:null, &quot;address1&quot;:&quot;1580 Meriva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27-3132&quot;, &quot;address2&quot;:null, &quot;locationimageurl&quot;:null, &quot;_distance&quot;:&quot;5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29242478139&quot;, &quot;url&quot;:null, &quot;postalcode&quot;:&quot;K2C 0C6&quot;, &quot;province&quot;:&quot;ON&quot;, &quot;sustainabilityurl&quot;:null, &quot;hoursmon&quot;:&quot;Please Call&quot;, &quot;longitude&quot;:&quot;-75.7593245369859&quot;, &quot;uid&quot;:1182188856, &quot;retailerlinkurl&quot;:null, &quot;hourssat&quot;:&quot;Please Call&quot;, &quot;clientkey&quot;:&quot;43537&quot;, &quot;name&quot;:&quot;Home Depot&quot;, &quot;locationlinkurl&quot;:null, &quot;address1&quot;:&quot;1900 Baselin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23-5900&quot;, &quot;address2&quot;:null, &quot;locationimageurl&quot;:null, &quot;_distance&quot;:&quot;5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11&quot;, &quot;url&quot;:null, &quot;postalcode&quot;:&quot;K2G 3J4&quot;, &quot;province&quot;:&quot;ON&quot;, &quot;sustainabilityurl&quot;:null, &quot;hoursmon&quot;:&quot;Please Call&quot;, &quot;longitude&quot;:&quot;-75.73469&quot;, &quot;uid&quot;:1616638467, &quot;retailerlinkurl&quot;:null, &quot;hourssat&quot;:&quot;Please Call&quot;, &quot;clientkey&quot;:&quot;67954&quot;, &quot;name&quot;:&quot;Staples&quot;, &quot;locationlinkurl&quot;:null, &quot;address1&quot;:&quot;1595A Meriva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226-7989&quot;, &quot;address2&quot;:null, &quot;locationimageurl&quot;:null, &quot;_distance&quot;:&quot;5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7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9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7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9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05308333333&quot;, &quot;url&quot;:null, &quot;postalcode&quot;:&quot;K2A 1H2&quot;, &quot;province&quot;:&quot;ON&quot;, &quot;sustainabilityurl&quot;:null, &quot;hoursmon&quot;:&quot;Please Call&quot;, &quot;longitude&quot;:&quot;-75.7700666666667&quot;, &quot;uid&quot;:119637965, &quot;retailerlinkurl&quot;:null, &quot;hourssat&quot;:&quot;Please Call&quot;, &quot;clientkey&quot;:&quot;41292&quot;, &quot;name&quot;:&quot;Sears (Canada)&quot;, &quot;locationlinkurl&quot;:null, &quot;address1&quot;:&quot;2165 Carling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ears.png&quot;, &quot;phone&quot;:&quot;613-729-2561&quot;, &quot;address2&quot;:null, &quot;locationimageurl&quot;:null, &quot;_distance&quot;:&quot;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061&quot;, &quot;url&quot;:null, &quot;postalcode&quot;:&quot;K2A 1H1&quot;, &quot;province&quot;:&quot;ON&quot;, &quot;sustainabilityurl&quot;:null, &quot;hoursmon&quot;:&quot;Please Call&quot;, &quot;longitude&quot;:&quot;-75.76937&quot;, &quot;uid&quot;:1583818347, &quot;retailerlinkurl&quot;:null, &quot;hourssat&quot;:&quot;Please Call&quot;, &quot;clientkey&quot;:&quot;150839&quot;, &quot;name&quot;:&quot;Staples&quot;, &quot;locationlinkurl&quot;:null, &quot;address1&quot;:&quot;2148 Car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729-4585&quot;, &quot;address2&quot;:null, &quot;locationimageurl&quot;:null, &quot;_distance&quot;:&quot;5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72818&quot;, &quot;url&quot;:null, &quot;postalcode&quot;:&quot;K2A 1H2&quot;, &quot;province&quot;:&quot;ON&quot;, &quot;sustainabilityurl&quot;:null, &quot;hoursmon&quot;:&quot;Please Call&quot;, &quot;longitude&quot;:&quot;-75.7679092&quot;, &quot;uid&quot;:341261751, &quot;retailerlinkurl&quot;:null, &quot;hourssat&quot;:&quot;Please Call&quot;, &quot;clientkey&quot;:&quot;159906&quot;, &quot;name&quot;:&quot;Best Buy&quot;, &quot;locationlinkurl&quot;:null, &quot;address1&quot;:&quot;8-2121 Carling Avenu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6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843547110849&quot;, &quot;url&quot;:null, &quot;postalcode&quot;:&quot;K1G 6L3&quot;, &quot;province&quot;:&quot;ON&quot;, &quot;sustainabilityurl&quot;:null, &quot;hoursmon&quot;:&quot;Please Call&quot;, &quot;longitude&quot;:&quot;-75.6101776002356&quot;, &quot;uid&quot;:677051361, &quot;retailerlinkurl&quot;:null, &quot;hourssat&quot;:&quot;Please Call&quot;, &quot;clientkey&quot;:&quot;169704&quot;, &quot;name&quot;:&quot;Princess Auto&quot;, &quot;locationlinkurl&quot;:null, &quot;address1&quot;:&quot;1111 Age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PrincessAuto_150x150.png&quot;, &quot;phone&quot;:&quot;613-247-1657&quot;, &quot;address2&quot;:null, &quot;locationimageurl&quot;:null, &quot;_distance&quot;:&quot;4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15017200558&quot;, &quot;url&quot;:null, &quot;postalcode&quot;:&quot;K2A 0E8&quot;, &quot;province&quot;:&quot;ON&quot;, &quot;sustainabilityurl&quot;:null, &quot;hoursmon&quot;:&quot;Please Call&quot;, &quot;longitude&quot;:&quot;-75.755143747251&quot;, &quot;uid&quot;:-123812032, &quot;retailerlinkurl&quot;:null, &quot;hourssat&quot;:&quot;Please Call&quot;, &quot;clientkey&quot;:&quot;43407&quot;, &quot;name&quot;:&quot;Mountain Equipment Co-op&quot;, &quot;locationlinkurl&quot;:null, &quot;address1&quot;:&quot;366 Richmond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9-2700&quot;, &quot;address2&quot;:null, &quot;locationimageurl&quot;:null, &quot;_distance&quot;:&quot;7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97827272727&quot;, &quot;url&quot;:null, &quot;postalcode&quot;:&quot;K1Y 0X6&quot;, &quot;province&quot;:&quot;ON&quot;, &quot;sustainabilityurl&quot;:null, &quot;hoursmon&quot;:&quot;Please Call&quot;, &quot;longitude&quot;:&quot;-75.7320581818182&quot;, &quot;uid&quot;:400726477, &quot;retailerlinkurl&quot;:null, &quot;hourssat&quot;:&quot;Please Call&quot;, &quot;clientkey&quot;:&quot;158014&quot;, &quot;name&quot;:&quot;ListenUp! Canada&quot;, &quot;locationlinkurl&quot;:null, &quot;address1&quot;:&quot;118 Hollan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8-9170&quot;, &quot;address2&quot;:null, &quot;locationimageurl&quot;:null, &quot;_distance&quot;:&quot;10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997827272727&quot;, &quot;url&quot;:null, &quot;postalcode&quot;:&quot;K1Y 0X6&quot;, &quot;province&quot;:&quot;ON&quot;, &quot;sustainabilityurl&quot;:null, &quot;hoursmon&quot;:&quot;Please Call&quot;, &quot;longitude&quot;:&quot;-75.7320581818182&quot;, &quot;uid&quot;:400726477, &quot;retailerlinkurl&quot;:null, &quot;hourssat&quot;:&quot;Please Call&quot;, &quot;clientkey&quot;:&quot;158014&quot;, &quot;name&quot;:&quot;ListenUp! Canada&quot;, &quot;locationlinkurl&quot;:null, &quot;address1&quot;:&quot;118 Hollan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8-9170&quot;, &quot;address2&quot;:null, &quot;locationimageurl&quot;:null, &quot;_distance&quot;:&quot;8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002090986522&quot;, &quot;url&quot;:null, &quot;postalcode&quot;:&quot;K1G 1A4&quot;, &quot;province&quot;:&quot;ON&quot;, &quot;sustainabilityurl&quot;:null, &quot;hoursmon&quot;:&quot;Please Call&quot;, &quot;longitude&quot;:&quot;-75.6239131831087&quot;, &quot;uid&quot;:1838960311, &quot;retailerlinkurl&quot;:null, &quot;hourssat&quot;:&quot;Please Call&quot;, &quot;clientkey&quot;:&quot;153747&quot;, &quot;name&quot;:&quot;Elmvale Acres Home Hardwa&quot;, &quot;locationlinkurl&quot;:null, &quot;address1&quot;:&quot;1910 St Laurent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31-4492&quot;, &quot;address2&quot;:null, &quot;locationimageurl&quot;:null, &quot;_distance&quot;:&quot;5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0523&quot;, &quot;url&quot;:null, &quot;postalcode&quot;:&quot;K1B 4K9&quot;, &quot;province&quot;:&quot;ON&quot;, &quot;sustainabilityurl&quot;:null, &quot;hoursmon&quot;:&quot;Please Call&quot;, &quot;longitude&quot;:&quot;-75.6249&quot;, &quot;uid&quot;:1182196344, &quot;retailerlinkurl&quot;:null, &quot;hourssat&quot;:&quot;Please Call&quot;, &quot;clientkey&quot;:&quot;72920&quot;, &quot;name&quot;:&quot;DeWalt Factory Service (Canada)&quot;, &quot;locationlinkurl&quot;:null, &quot;address1&quot;:&quot;Gladwin Cre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24-7724&quot;, &quot;address2&quot;:null, &quot;locationimageurl&quot;:null, &quot;_distance&quot;:&quot;5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09122222222&quot;, &quot;url&quot;:null, &quot;postalcode&quot;:&quot;K2P 1Z2&quot;, &quot;province&quot;:&quot;ON&quot;, &quot;sustainabilityurl&quot;:null, &quot;hoursmon&quot;:&quot;Please Call&quot;, &quot;longitude&quot;:&quot;-75.6928911111111&quot;, &quot;uid&quot;:400726480, &quot;retailerlinkurl&quot;:null, &quot;hourssat&quot;:&quot;Please Call&quot;, &quot;clientkey&quot;:&quot;158015&quot;, &quot;name&quot;:&quot;ListenUp! Canada&quot;, &quot;locationlinkurl&quot;:null, &quot;address1&quot;:&quot;477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8-6839&quot;, &quot;address2&quot;:null, &quot;locationimageurl&quot;:null, &quot;_distance&quot;:&quot;10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09122222222&quot;, &quot;url&quot;:null, &quot;postalcode&quot;:&quot;K2P 1Z2&quot;, &quot;province&quot;:&quot;ON&quot;, &quot;sustainabilityurl&quot;:null, &quot;hoursmon&quot;:&quot;Please Call&quot;, &quot;longitude&quot;:&quot;-75.6928911111111&quot;, &quot;uid&quot;:400726480, &quot;retailerlinkurl&quot;:null, &quot;hourssat&quot;:&quot;Please Call&quot;, &quot;clientkey&quot;:&quot;158015&quot;, &quot;name&quot;:&quot;ListenUp! Canada&quot;, &quot;locationlinkurl&quot;:null, &quot;address1&quot;:&quot;477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8-6839&quot;, &quot;address2&quot;:null, &quot;locationimageurl&quot;:null, &quot;_distance&quot;:&quot;8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3795141984&quot;, &quot;url&quot;:null, &quot;postalcode&quot;:&quot;K1G 0Y9&quot;, &quot;province&quot;:&quot;ON&quot;, &quot;sustainabilityurl&quot;:null, &quot;hoursmon&quot;:&quot;Please Call&quot;, &quot;longitude&quot;:&quot;-75.6437036475637&quot;, &quot;uid&quot;:1362892041, &quot;retailerlinkurl&quot;:null, &quot;hourssat&quot;:&quot;Please Call&quot;, &quot;clientkey&quot;:&quot;23280&quot;, &quot;name&quot;:&quot;Turris Communications&quot;, &quot;locationlinkurl&quot;:null, &quot;address1&quot;:&quot;570 Indust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39-7243&quot;, &quot;address2&quot;:null, &quot;locationimageurl&quot;:null, &quot;_distance&quot;:&quot;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7217563782&quot;, &quot;url&quot;:null, &quot;postalcode&quot;:&quot;K1G 4A2&quot;, &quot;province&quot;:&quot;ON&quot;, &quot;sustainabilityurl&quot;:null, &quot;hoursmon&quot;:&quot;Please Call&quot;, &quot;longitude&quot;:&quot;-75.6308675014007&quot;, &quot;uid&quot;:-511708180, &quot;retailerlinkurl&quot;:null, &quot;hourssat&quot;:&quot;Please Call&quot;, &quot;clientkey&quot;:&quot;163323&quot;, &quot;name&quot;:&quot;Lumen Ottawa&quot;, &quot;locationlinkurl&quot;:null, &quot;address1&quot;:&quot;1000 Belfast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89-7500&quot;, &quot;address2&quot;:null, &quot;locationimageurl&quot;:null, &quot;_distance&quot;:&quot;5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1733431959&quot;, &quot;url&quot;:null, &quot;postalcode&quot;:&quot;K1G 0Z1&quot;, &quot;province&quot;:&quot;ON&quot;, &quot;sustainabilityurl&quot;:null, &quot;hoursmon&quot;:&quot;Please Call&quot;, &quot;longitude&quot;:&quot;-75.6472648523287&quot;, &quot;uid&quot;:540400460, &quot;retailerlinkurl&quot;:null, &quot;hourssat&quot;:&quot;Please Call&quot;, &quot;clientkey&quot;:&quot;161201&quot;, &quot;name&quot;:&quot;Fastenal&quot;, &quot;locationlinkurl&quot;:null, &quot;address1&quot;:&quot;505 Industrial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45-9022&quot;, &quot;address2&quot;:null, &quot;locationimageurl&quot;:null, &quot;_distance&quot;:&quot;6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30966666667&quot;, &quot;url&quot;:null, &quot;postalcode&quot;:&quot;K2P 1Y6&quot;, &quot;province&quot;:&quot;ON&quot;, &quot;sustainabilityurl&quot;:null, &quot;hoursmon&quot;:&quot;Please Call&quot;, &quot;longitude&quot;:&quot;-75.6944033333333&quot;, &quot;uid&quot;:1002575604, &quot;retailerlinkurl&quot;:null, &quot;hourssat&quot;:&quot;Please Call&quot;, &quot;clientkey&quot;:&quot;67974&quot;, &quot;name&quot;:&quot;Staples&quot;, &quot;locationlinkurl&quot;:null, &quot;address1&quot;:&quot;403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235-2525&quot;, &quot;address2&quot;:null, &quot;locationimageurl&quot;:null, &quot;_distance&quot;:&quot;10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30966666667&quot;, &quot;url&quot;:null, &quot;postalcode&quot;:&quot;K2P 1Y6&quot;, &quot;province&quot;:&quot;ON&quot;, &quot;sustainabilityurl&quot;:null, &quot;hoursmon&quot;:&quot;Please Call&quot;, &quot;longitude&quot;:&quot;-75.6944033333333&quot;, &quot;uid&quot;:1002575604, &quot;retailerlinkurl&quot;:null, &quot;hourssat&quot;:&quot;Please Call&quot;, &quot;clientkey&quot;:&quot;67974&quot;, &quot;name&quot;:&quot;Staples&quot;, &quot;locationlinkurl&quot;:null, &quot;address1&quot;:&quot;403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235-2525&quot;, &quot;address2&quot;:null, &quot;locationimageurl&quot;:null, &quot;_distance&quot;:&quot;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58166666667&quot;, &quot;url&quot;:null, &quot;postalcode&quot;:&quot;K2P 1X5&quot;, &quot;province&quot;:&quot;ON&quot;, &quot;sustainabilityurl&quot;:null, &quot;hoursmon&quot;:&quot;Please Call&quot;, &quot;longitude&quot;:&quot;-75.6967733333333&quot;, &quot;uid&quot;:-1980238968, &quot;retailerlinkurl&quot;:null, &quot;hourssat&quot;:&quot;Please Call&quot;, &quot;clientkey&quot;:&quot;75373&quot;, &quot;name&quot;:&quot;Henrys&quot;, &quot;locationlinkurl&quot;:null, &quot;address1&quot;:&quot;267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2-5368&quot;, &quot;address2&quot;:null, &quot;locationimageurl&quot;:null, &quot;_distance&quot;:&quot;10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58166666667&quot;, &quot;url&quot;:null, &quot;postalcode&quot;:&quot;K2P 1X5&quot;, &quot;province&quot;:&quot;ON&quot;, &quot;sustainabilityurl&quot;:null, &quot;hoursmon&quot;:&quot;Please Call&quot;, &quot;longitude&quot;:&quot;-75.6967733333333&quot;, &quot;uid&quot;:-1980238968, &quot;retailerlinkurl&quot;:null, &quot;hourssat&quot;:&quot;Please Call&quot;, &quot;clientkey&quot;:&quot;75373&quot;, &quot;name&quot;:&quot;Henrys&quot;, &quot;locationlinkurl&quot;:null, &quot;address1&quot;:&quot;267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232-5368&quot;, &quot;address2&quot;:null, &quot;locationimageurl&quot;:null, &quot;_distance&quot;:&quot;8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179784782657&quot;, &quot;url&quot;:null, &quot;postalcode&quot;:&quot;K1B 3L8&quot;, &quot;province&quot;:&quot;ON&quot;, &quot;sustainabilityurl&quot;:null, &quot;hoursmon&quot;:&quot;Please Call&quot;, &quot;longitude&quot;:&quot;-75.6091016638989&quot;, &quot;uid&quot;:1182195890, &quot;retailerlinkurl&quot;:null, &quot;hourssat&quot;:&quot;Please Call&quot;, &quot;clientkey&quot;:&quot;43536&quot;, &quot;name&quot;:&quot;Home Depot&quot;, &quot;locationlinkurl&quot;:null, &quot;address1&quot;:&quot;1616 Cyrville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loucester&quot;, &quot;singleuse&quot;:&quot;Y&quot;, &quot;fax&quot;:null, &quot;country&quot;:&quot;CA&quot;, &quot;logourl&quot;:&quot;http://www.call2recycle.org/notpress/where2getit/homedepot.png&quot;, &quot;phone&quot;:&quot;613-744-1700&quot;, &quot;address2&quot;:null, &quot;locationimageurl&quot;:null, &quot;_distance&quot;:&quot;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290385029338&quot;, &quot;url&quot;:null, &quot;postalcode&quot;:&quot;K1K 4E6&quot;, &quot;province&quot;:&quot;ON&quot;, &quot;sustainabilityurl&quot;:null, &quot;hoursmon&quot;:&quot;Please Call&quot;, &quot;longitude&quot;:&quot;-75.637466705784&quot;, &quot;uid&quot;:1582784839, &quot;retailerlinkurl&quot;:null, &quot;hourssat&quot;:&quot;Please Call&quot;, &quot;clientkey&quot;:&quot;150827&quot;, &quot;name&quot;:&quot;Staples&quot;, &quot;locationlinkurl&quot;:null, &quot;address1&quot;:&quot;1233 Donal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741-3416&quot;, &quot;address2&quot;:null, &quot;locationimageurl&quot;:null, &quot;_distance&quot;:&quot;6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13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14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16955&quot;, &quot;url&quot;:null, &quot;postalcode&quot;:&quot;K0B 1G0&quot;, &quot;province&quot;:&quot;ON&quot;, &quot;sustainabilityurl&quot;:null, &quot;hoursmon&quot;:&quot;Please Call&quot;, &quot;longitude&quot;:&quot;-74.9317283&quot;, &quot;uid&quot;:-351924849, &quot;retailerlinkurl&quot;:null, &quot;hourssat&quot;:&quot;Please Call&quot;, &quot;clientkey&quot;:&quot;164193&quot;, &quot;name&quot;:&quot;The Nation Municipality&quot;, &quot;locationlinkurl&quot;:null, &quot;address1&quot;:&quot;3248 County Road 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urnier&quot;, &quot;singleuse&quot;:&quot;Y&quot;, &quot;fax&quot;:null, &quot;country&quot;:&quot;CA&quot;, &quot;logourl&quot;:&quot;http://www.call2recycle.org/notpress/where2getit/call2recycle.png&quot;, &quot;phone&quot;:&quot;613-223-4855&quot;, &quot;address2&quot;:null, &quot;locationimageurl&quot;:null, &quot;_distance&quot;:&quot;7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4226&quot;, &quot;url&quot;:null, &quot;postalcode&quot;:&quot;K1K 4K4&quot;, &quot;province&quot;:&quot;ON&quot;, &quot;sustainabilityurl&quot;:null, &quot;hoursmon&quot;:&quot;Please Call&quot;, &quot;longitude&quot;:&quot;-75.64335&quot;, &quot;uid&quot;:502592017, &quot;retailerlinkurl&quot;:null, &quot;hourssat&quot;:&quot;Please Call&quot;, &quot;clientkey&quot;:&quot;157963&quot;, &quot;name&quot;:&quot;ListenUp! Canada&quot;, &quot;locationlinkurl&quot;:null, &quot;address1&quot;:&quot;585 Montre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742-6666&quot;, &quot;address2&quot;:null, &quot;locationimageurl&quot;:null, &quot;_distance&quot;:&quot;6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460917428953&quot;, &quot;url&quot;:null, &quot;postalcode&quot;:&quot;K1J 6N2&quot;, &quot;province&quot;:&quot;ON&quot;, &quot;sustainabilityurl&quot;:null, &quot;hoursmon&quot;:&quot;Please Call&quot;, &quot;longitude&quot;:&quot;-75.5968989427697&quot;, &quot;uid&quot;:211153067, &quot;retailerlinkurl&quot;:null, &quot;hourssat&quot;:&quot;Please Call&quot;, &quot;clientkey&quot;:&quot;166883&quot;, &quot;name&quot;:&quot;Beacon Hill Home Hardware&quot;, &quot;locationlinkurl&quot;:null, &quot;address1&quot;:&quot;1934 Montre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loucester&quot;, &quot;singleuse&quot;:&quot;Y&quot;, &quot;fax&quot;:null, &quot;country&quot;:&quot;CA&quot;, &quot;logourl&quot;:&quot;http://www.call2recycle.org/notpress/where2getit/call2recycle.png&quot;, &quot;phone&quot;:&quot;613-421-3223&quot;, &quot;address2&quot;:null, &quot;locationimageurl&quot;:null, &quot;_distance&quot;:&quot;4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22183636364&quot;, &quot;url&quot;:null, &quot;postalcode&quot;:&quot;K1W 0C8&quot;, &quot;province&quot;:&quot;ON&quot;, &quot;sustainabilityurl&quot;:null, &quot;hoursmon&quot;:&quot;Please Call&quot;, &quot;longitude&quot;:&quot;-75.513188&quot;, &quot;uid&quot;:1182201478, &quot;retailerlinkurl&quot;:null, &quot;hourssat&quot;:&quot;Please Call&quot;, &quot;clientkey&quot;:&quot;127650&quot;, &quot;name&quot;:&quot;Lowes&quot;, &quot;locationlinkurl&quot;:null, &quot;address1&quot;:&quot;3828 Inne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lowes.png&quot;, &quot;phone&quot;:&quot;613-830-6370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36775966727&quot;, &quot;url&quot;:null, &quot;postalcode&quot;:&quot;K4A 0G2&quot;, &quot;province&quot;:&quot;ON&quot;, &quot;sustainabilityurl&quot;:null, &quot;hoursmon&quot;:&quot;Please Call&quot;, &quot;longitude&quot;:&quot;-75.5036228822974&quot;, &quot;uid&quot;:1522037488, &quot;retailerlinkurl&quot;:null, &quot;hourssat&quot;:&quot;Please Call&quot;, &quot;clientkey&quot;:&quot;132823&quot;, &quot;name&quot;:&quot;Best Buy Canada&quot;, &quot;locationlinkurl&quot;:null, &quot;address1&quot;:&quot;2020 Mer Bleu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bestbuy.png&quot;, &quot;phone&quot;:&quot;613-830-2706&quot;, &quot;address2&quot;:null, &quot;locationimageurl&quot;:null, &quot;_distance&quot;:&quot;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70914285714&quot;, &quot;url&quot;:null, &quot;postalcode&quot;:&quot;K4A 4C5&quot;, &quot;province&quot;:&quot;ON&quot;, &quot;sustainabilityurl&quot;:null, &quot;hoursmon&quot;:&quot;Please Call&quot;, &quot;longitude&quot;:&quot;-75.4856696428571&quot;, &quot;uid&quot;:1182195906, &quot;retailerlinkurl&quot;:null, &quot;hourssat&quot;:&quot;Please Call&quot;, &quot;clientkey&quot;:&quot;43544&quot;, &quot;name&quot;:&quot;Home Depot&quot;, &quot;locationlinkurl&quot;:null, &quot;address1&quot;:&quot;2121 10th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eans&quot;, &quot;singleuse&quot;:&quot;Y&quot;, &quot;fax&quot;:null, &quot;country&quot;:&quot;CA&quot;, &quot;logourl&quot;:&quot;http://www.call2recycle.org/notpress/where2getit/homedepot.png&quot;, &quot;phone&quot;:&quot;613-590-2030&quot;, &quot;address2&quot;:null, &quot;locationimageurl&quot;:null, &quot;_distance&quot;:&quot;3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58575&quot;, &quot;url&quot;:null, &quot;postalcode&quot;:&quot;K4A 4C5&quot;, &quot;province&quot;:&quot;ON&quot;, &quot;sustainabilityurl&quot;:null, &quot;hoursmon&quot;:&quot;Please Call&quot;, &quot;longitude&quot;:&quot;-75.4846337&quot;, &quot;uid&quot;:1633568894, &quot;retailerlinkurl&quot;:null, &quot;hourssat&quot;:&quot;Please Call&quot;, &quot;clientkey&quot;:&quot;68057&quot;, &quot;name&quot;:&quot;Staples&quot;, &quot;locationlinkurl&quot;:null, &quot;address1&quot;:&quot;2085 Tenth Lin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umberland&quot;, &quot;singleuse&quot;:&quot;Y&quot;, &quot;fax&quot;:null, &quot;country&quot;:&quot;CA&quot;, &quot;logourl&quot;:&quot;http://www.call2recycle.org/notpress/where2getit/staples.png&quot;, &quot;phone&quot;:&quot;613-830-8100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038&quot;, &quot;url&quot;:null, &quot;postalcode&quot;:&quot;K1C 2L9&quot;, &quot;province&quot;:&quot;ON&quot;, &quot;sustainabilityurl&quot;:null, &quot;hoursmon&quot;:&quot;Please Call&quot;, &quot;longitude&quot;:&quot;-75.51368&quot;, &quot;uid&quot;:341261753, &quot;retailerlinkurl&quot;:null, &quot;hourssat&quot;:&quot;Please Call&quot;, &quot;clientkey&quot;:&quot;159865&quot;, &quot;name&quot;:&quot;Best Buy&quot;, &quot;locationlinkurl&quot;:null, &quot;address1&quot;:&quot;0200-110 Place D'Orleans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5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86201812424&quot;, &quot;url&quot;:null, &quot;postalcode&quot;:&quot;K1C 1T1&quot;, &quot;province&quot;:&quot;ON&quot;, &quot;sustainabilityurl&quot;:null, &quot;hoursmon&quot;:&quot;Please Call&quot;, &quot;longitude&quot;:&quot;-75.4804453082725&quot;, &quot;uid&quot;:1182183364, &quot;retailerlinkurl&quot;:null, &quot;hourssat&quot;:&quot;Please Call&quot;, &quot;clientkey&quot;:&quot;115213&quot;, &quot;name&quot;:&quot;Batteries Expert&quot;, &quot;locationlinkurl&quot;:null, &quot;address1&quot;:&quot;3809 St Joseph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léans&quot;, &quot;singleuse&quot;:&quot;Y&quot;, &quot;fax&quot;:null, &quot;country&quot;:&quot;CA&quot;, &quot;logourl&quot;:&quot;http://www.call2recycle.org/notpress/where2getit/call2recycle.png&quot;, &quot;phone&quot;:&quot;613-590-9352&quot;, &quot;address2&quot;:null, &quot;locationimageurl&quot;:null, &quot;_distance&quot;:&quot;5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&quot;http://www.thesource.ca/estore/tradeupandsave.aspx&quot;, &quot;latitude&quot;:&quot;45.43336&quot;, &quot;url&quot;:&quot;http://www.thesource.ca&quot;, &quot;postalcode&quot;:&quot;J9A 3G1&quot;, &quot;province&quot;:&quot;QC&quot;, &quot;sustainabilityurl&quot;:&quot;http://www.thesource.ca/sitelets/jobs/environment.asp&quot;, &quot;hoursmon&quot;:&quot;Veuillez appeler le point de dépôt.&quot;, &quot;longitude&quot;:&quot;-75.78517&quot;, &quot;uid&quot;:-209324509, &quot;retailerlinkurl&quot;:null, &quot;hourssat&quot;:&quot;9h à 17h&quot;, &quot;clientkey&quot;:&quot;63299&quot;, &quot;name&quot;:&quot;La Source&quot;, &quot;locationlinkurl&quot;:null, &quot;address1&quot;:&quot;45-b Boul Du Plateau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772-4751&quot;, &quot;address2&quot;:null, &quot;locationimageurl&quot;:null, &quot;_distance&quot;:&quot;10.00&quot;, &quot;inktoner&quot;:&quot;N&quot;, &quot;nationalinkurl&quot;:null, &quot;regionallinkurl&quot;:null, &quot;cellphones&quot;:&quot;Y&quot;, &quot;hourstues&quot;:&quot;Veuillez appeler le point de dépôt.&quot;, &quot;consumerelectronics&quot;:&quot;Y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&quot;http://www.thesource.ca/estore/tradeupandsave.aspx&quot;, &quot;latitude&quot;:&quot;45.47756&quot;, &quot;url&quot;:&quot;http://www.thesource.ca&quot;, &quot;postalcode&quot;:&quot;J8T 6G3&quot;, &quot;province&quot;:&quot;QC&quot;, &quot;sustainabilityurl&quot;:&quot;http://www.thesource.ca/sitelets/jobs/environment.asp&quot;, &quot;hoursmon&quot;:&quot;Veuillez appeler le point de dépôt.&quot;, &quot;longitude&quot;:&quot;-75.69724&quot;, &quot;uid&quot;:839391490, &quot;retailerlinkurl&quot;:null, &quot;hourssat&quot;:&quot;9h à 17h&quot;, &quot;clientkey&quot;:&quot;2543&quot;, &quot;name&quot;:&quot;La Source - Les Promenades Gatineau&quot;, &quot;locationlinkurl&quot;:null, &quot;address1&quot;:&quot;1100 Boul Maloney O&quot;, &quot;icon&quot;:&quot;preferred&quot;, &quot;bho&quot;:null, &quot;_distanceuom&quot;:&quot;mile&quot;, &quot;hourssun&quot;:&quot;12h à 17h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thesource.png&quot;, &quot;phone&quot;:&quot;819-561-7533&quot;, &quot;address2&quot;:null, &quot;locationimageurl&quot;:null, &quot;_distance&quot;:&quot;10.03&quot;, &quot;inktoner&quot;:&quot;N&quot;, &quot;nationalinkurl&quot;:null, &quot;regionallinkurl&quot;:null, &quot;cellphones&quot;:&quot;Y&quot;, &quot;hourstues&quot;:&quot;Veuillez appeler le point de dépôt.&quot;, &quot;consumerelectronics&quot;:&quot;Y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11005&quot;, &quot;url&quot;:null, &quot;postalcode&quot;:&quot;J9J 1V2&quot;, &quot;province&quot;:&quot;QC&quot;, &quot;sustainabilityurl&quot;:null, &quot;hoursmon&quot;:&quot;Veuillez appeler le point de dépôt.&quot;, &quot;longitude&quot;:&quot;-75.839105&quot;, &quot;uid&quot;:947269010, &quot;retailerlinkurl&quot;:null, &quot;hourssat&quot;:&quot;Veuillez appeler le point de dépôt.&quot;, &quot;clientkey&quot;:&quot;165740&quot;, &quot;name&quot;:&quot;Pharmacie Brunet&quot;, &quot;locationlinkurl&quot;:null, &quot;address1&quot;:&quot;795 Wilfrid Lavign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684-8222&quot;, &quot;address2&quot;:null, &quot;locationimageurl&quot;:null, &quot;_distance&quot;:&quot;8.47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537688937289&quot;, &quot;url&quot;:null, &quot;postalcode&quot;:&quot;J8X 3Y9&quot;, &quot;province&quot;:&quot;QC&quot;, &quot;sustainabilityurl&quot;:null, &quot;hoursmon&quot;:&quot;Veuillez appeler le point de dépôt.&quot;, &quot;longitude&quot;:&quot;-75.7299707864113&quot;, &quot;uid&quot;:1986335359, &quot;retailerlinkurl&quot;:null, &quot;hourssat&quot;:&quot;Veuillez appeler le point de dépôt.&quot;, &quot;clientkey&quot;:&quot;155325&quot;, &quot;name&quot;:&quot;Dépôt Gatineau&quot;, &quot;locationlinkurl&quot;:null, &quot;address1&quot;:&quot;860 boul. de la Carrièr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0.8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62575&quot;, &quot;url&quot;:null, &quot;postalcode&quot;:&quot;J8T 3P8&quot;, &quot;province&quot;:&quot;QC&quot;, &quot;sustainabilityurl&quot;:null, &quot;hoursmon&quot;:&quot;Veuillez appeler le point de dépôt.&quot;, &quot;longitude&quot;:&quot;-75.699875&quot;, &quot;uid&quot;:875340723, &quot;retailerlinkurl&quot;:null, &quot;hourssat&quot;:&quot;Veuillez appeler le point de dépôt.&quot;, &quot;clientkey&quot;:&quot;170548&quot;, &quot;name&quot;:&quot;Jean Coutu&quot;, &quot;locationlinkurl&quot;:null, &quot;address1&quot;:&quot;62 boul. Gréber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43-3151&quot;, &quot;address2&quot;:null, &quot;locationimageurl&quot;:null, &quot;_distance&quot;:&quot;9.6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755275&quot;, &quot;url&quot;:null, &quot;postalcode&quot;:&quot;J8P 8B3&quot;, &quot;province&quot;:&quot;QC&quot;, &quot;sustainabilityurl&quot;:null, &quot;hoursmon&quot;:&quot;Veuillez appeler le point de dépôt.&quot;, &quot;longitude&quot;:&quot;-75.665239&quot;, &quot;uid&quot;:-1663902520, &quot;retailerlinkurl&quot;:null, &quot;hourssat&quot;:&quot;Veuillez appeler le point de dépôt.&quot;, &quot;clientkey&quot;:&quot;104803&quot;, &quot;name&quot;:&quot;Evolu-TIC Outaouais&quot;, &quot;locationlinkurl&quot;:null, &quot;address1&quot;:&quot;438 Rue Saint-Louis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770-0103&quot;, &quot;address2&quot;:null, &quot;locationimageurl&quot;:null, &quot;_distance&quot;:&quot;8.6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4794422416612&quot;, &quot;url&quot;:null, &quot;postalcode&quot;:&quot;J8T 3R6&quot;, &quot;province&quot;:&quot;QC&quot;, &quot;sustainabilityurl&quot;:null, &quot;hoursmon&quot;:&quot;Veuillez appeler le point de dépôt.&quot;, &quot;longitude&quot;:&quot;-75.6892402711587&quot;, &quot;uid&quot;:963275917, &quot;retailerlinkurl&quot;:null, &quot;hourssat&quot;:&quot;Veuillez appeler le point de dépôt.&quot;, &quot;clientkey&quot;:&quot;132704&quot;, &quot;name&quot;:&quot;Best Buy&quot;, &quot;locationlinkurl&quot;:null, &quot;address1&quot;:&quot;920 Boul Maloney O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bestbuy.png&quot;, &quot;phone&quot;:&quot;819-966-2222&quot;, &quot;address2&quot;:null, &quot;locationimageurl&quot;:null, &quot;_distance&quot;:&quot;9.76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5.5356&quot;, &quot;url&quot;:null, &quot;postalcode&quot;:&quot;J8M 1W2&quot;, &quot;province&quot;:&quot;QC&quot;, &quot;sustainabilityurl&quot;:null, &quot;hoursmon&quot;:&quot;Veuillez appeler le point de dépôt.&quot;, &quot;longitude&quot;:&quot;-75.48467&quot;, &quot;uid&quot;:1986314801, &quot;retailerlinkurl&quot;:null, &quot;hourssat&quot;:&quot;9h à 18h&quot;, &quot;clientkey&quot;:&quot;155129&quot;, &quot;name&quot;:&quot;Jean Coutu&quot;, &quot;locationlinkurl&quot;:null, &quot;address1&quot;:&quot;103-1205 Rue De Neuvil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Gatineau&quot;, &quot;singleuse&quot;:&quot;Y&quot;, &quot;fax&quot;:null, &quot;country&quot;:&quot;CA&quot;, &quot;logourl&quot;:&quot;http://www.call2recycle.org/notpress/where2getit/call2recycle.png&quot;, &quot;phone&quot;:&quot;819-281-1000&quot;, &quot;address2&quot;:null, &quot;locationimageurl&quot;:null, &quot;_distance&quot;:&quot;9.10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</filters>
        </mc:Choice>
        <mc:Fallback>
          <customFilters>
            <customFilter val=""/>
            <customFilter operator="notEqual" val=" "/>
          </customFilters>
        </mc:Fallback>
      </mc:AlternateContent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969"/>
  <sheetViews>
    <sheetView topLeftCell="A576" workbookViewId="0">
      <selection activeCell="H694" sqref="H1:H694"/>
    </sheetView>
  </sheetViews>
  <sheetFormatPr baseColWidth="10" defaultRowHeight="16" x14ac:dyDescent="0.2"/>
  <cols>
    <col min="2" max="2" width="23.83203125" customWidth="1"/>
    <col min="3" max="3" width="22.5" customWidth="1"/>
    <col min="4" max="4" width="20.1640625" customWidth="1"/>
    <col min="5" max="5" width="20.83203125" customWidth="1"/>
    <col min="6" max="6" width="17.5" customWidth="1"/>
    <col min="7" max="7" width="79" customWidth="1"/>
    <col min="8" max="8" width="33.1640625" customWidth="1"/>
  </cols>
  <sheetData>
    <row r="1" spans="1:8" x14ac:dyDescent="0.2">
      <c r="A1" t="s">
        <v>4</v>
      </c>
      <c r="B1" t="str">
        <f t="shared" ref="B1:B64" si="0">MID(A1,SEARCH("name"&amp;CHAR(34)&amp;":"&amp;CHAR(34),A1)+7,SEARCH(CHAR(34)&amp;", "&amp;CHAR(34)&amp;"locationlinkurl",A1)-SEARCH("name"&amp;CHAR(34)&amp;":"&amp;CHAR(34),A1)-7)</f>
        <v>Ottawa Fastener Supply Ltd</v>
      </c>
      <c r="C1" t="str">
        <f t="shared" ref="C1:C64" si="1">MID(A1,SEARCH(CHAR(34)&amp;"latitude"&amp;CHAR(34)&amp;":"&amp;CHAR(34),A1)+12,SEARCH(CHAR(34)&amp;", "&amp;CHAR(34)&amp;"url"&amp;CHAR(34),A1)-SEARCH(CHAR(34)&amp;"latitude"&amp;CHAR(34)&amp;":"&amp;CHAR(34),A1)-12)</f>
        <v>45.31561</v>
      </c>
      <c r="D1" t="str">
        <f t="shared" ref="D1:D64" si="2">MID(A1,SEARCH(CHAR(34)&amp;"longitude"&amp;CHAR(34)&amp;":"&amp;CHAR(34),A1)+13,SEARCH(CHAR(34)&amp;", "&amp;CHAR(34)&amp;"uid"&amp;CHAR(34),A1)-SEARCH(CHAR(34)&amp;"longitude"&amp;CHAR(34)&amp;":"&amp;CHAR(34),A1)-13)</f>
        <v>-75.84883</v>
      </c>
      <c r="E1" t="str">
        <f t="shared" ref="E1:E64" si="3">MID(A1,SEARCH(CHAR(34)&amp;"phone"&amp;CHAR(34)&amp;":"&amp;CHAR(34),A1)+9,SEARCH(CHAR(34)&amp;", "&amp;CHAR(34)&amp;"address2"&amp;CHAR(34),A1)-SEARCH(CHAR(34)&amp;"phone"&amp;CHAR(34)&amp;":"&amp;CHAR(34),A1)-9)</f>
        <v>613-828-4117</v>
      </c>
      <c r="F1" t="str">
        <f t="shared" ref="F1:F64" si="4">MID(A1,SEARCH(CHAR(34)&amp;"postalcode"&amp;CHAR(34)&amp;":"&amp;CHAR(34),A1)+14,SEARCH(CHAR(34)&amp;", "&amp;CHAR(34)&amp;"province"&amp;CHAR(34),A1)-SEARCH(CHAR(34)&amp;"postalcode"&amp;CHAR(34)&amp;":"&amp;CHAR(34),A1)-14)</f>
        <v>K2H 5Z2</v>
      </c>
      <c r="G1" t="str">
        <f t="shared" ref="G1:G64" si="5">"[ "&amp;CHAR(34)&amp;B1&amp;CHAR(34)&amp;", "&amp;C1&amp;", "&amp;D1&amp;", '"&amp;E1&amp;"', '"&amp;F1&amp;"'],"</f>
        <v>[ "Ottawa Fastener Supply Ltd", 45.31561, -75.84883, '613-828-4117', 'K2H 5Z2'],</v>
      </c>
      <c r="H1" t="s">
        <v>932</v>
      </c>
    </row>
    <row r="2" spans="1:8" x14ac:dyDescent="0.2">
      <c r="A2" t="s">
        <v>5</v>
      </c>
      <c r="B2" t="str">
        <f t="shared" si="0"/>
        <v>Canadian Tire</v>
      </c>
      <c r="C2" t="str">
        <f t="shared" si="1"/>
        <v>45.31561</v>
      </c>
      <c r="D2" t="str">
        <f t="shared" si="2"/>
        <v>-75.84883</v>
      </c>
      <c r="E2" t="str">
        <f t="shared" si="3"/>
        <v>613-829-9580</v>
      </c>
      <c r="F2" t="str">
        <f t="shared" si="4"/>
        <v>K2H 5Z2</v>
      </c>
      <c r="G2" t="str">
        <f t="shared" si="5"/>
        <v>[ "Canadian Tire", 45.31561, -75.84883, '613-829-9580', 'K2H 5Z2'],</v>
      </c>
      <c r="H2" t="s">
        <v>933</v>
      </c>
    </row>
    <row r="3" spans="1:8" x14ac:dyDescent="0.2">
      <c r="A3" t="s">
        <v>6</v>
      </c>
      <c r="B3" t="str">
        <f t="shared" si="0"/>
        <v>The Source</v>
      </c>
      <c r="C3" t="str">
        <f t="shared" si="1"/>
        <v>45.30262</v>
      </c>
      <c r="D3" t="str">
        <f t="shared" si="2"/>
        <v>-75.876055</v>
      </c>
      <c r="E3" t="str">
        <f t="shared" si="3"/>
        <v>613-254-7298</v>
      </c>
      <c r="F3" t="str">
        <f t="shared" si="4"/>
        <v>K2M 1C9</v>
      </c>
      <c r="G3" t="str">
        <f t="shared" si="5"/>
        <v>[ "The Source", 45.30262, -75.876055, '613-254-7298', 'K2M 1C9'],</v>
      </c>
      <c r="H3" t="s">
        <v>934</v>
      </c>
    </row>
    <row r="4" spans="1:8" x14ac:dyDescent="0.2">
      <c r="A4" t="s">
        <v>7</v>
      </c>
      <c r="B4" t="str">
        <f t="shared" si="0"/>
        <v>Foxy Recycle</v>
      </c>
      <c r="C4" t="str">
        <f t="shared" si="1"/>
        <v>45.3361577807865</v>
      </c>
      <c r="D4" t="str">
        <f t="shared" si="2"/>
        <v>-75.7994028475483</v>
      </c>
      <c r="E4" t="str">
        <f t="shared" si="3"/>
        <v>613-726-3699</v>
      </c>
      <c r="F4" t="str">
        <f t="shared" si="4"/>
        <v>K2H 7T3</v>
      </c>
      <c r="G4" t="str">
        <f t="shared" si="5"/>
        <v>[ "Foxy Recycle", 45.3361577807865, -75.7994028475483, '613-726-3699', 'K2H 7T3'],</v>
      </c>
      <c r="H4" t="s">
        <v>935</v>
      </c>
    </row>
    <row r="5" spans="1:8" x14ac:dyDescent="0.2">
      <c r="A5" t="s">
        <v>8</v>
      </c>
      <c r="B5" t="str">
        <f t="shared" si="0"/>
        <v>Best Buy Canada</v>
      </c>
      <c r="C5" t="str">
        <f t="shared" si="1"/>
        <v>45.2686415669868</v>
      </c>
      <c r="D5" t="str">
        <f t="shared" si="2"/>
        <v>-75.7511392975935</v>
      </c>
      <c r="E5" t="str">
        <f t="shared" si="3"/>
        <v>613-843-5625</v>
      </c>
      <c r="F5" t="str">
        <f t="shared" si="4"/>
        <v>K2J 4B1</v>
      </c>
      <c r="G5" t="str">
        <f t="shared" si="5"/>
        <v>[ "Best Buy Canada", 45.2686415669868, -75.7511392975935, '613-843-5625', 'K2J 4B1'],</v>
      </c>
      <c r="H5" t="s">
        <v>936</v>
      </c>
    </row>
    <row r="6" spans="1:8" x14ac:dyDescent="0.2">
      <c r="A6" t="s">
        <v>9</v>
      </c>
      <c r="B6" t="str">
        <f t="shared" si="0"/>
        <v>Home Depot</v>
      </c>
      <c r="C6" t="str">
        <f t="shared" si="1"/>
        <v>45.2686323504802</v>
      </c>
      <c r="D6" t="str">
        <f t="shared" si="2"/>
        <v>-75.7511639463902</v>
      </c>
      <c r="E6" t="str">
        <f t="shared" si="3"/>
        <v>613-843-7900</v>
      </c>
      <c r="F6" t="str">
        <f t="shared" si="4"/>
        <v>K2J 5M4</v>
      </c>
      <c r="G6" t="str">
        <f t="shared" si="5"/>
        <v>[ "Home Depot", 45.2686323504802, -75.7511639463902, '613-843-7900', 'K2J 5M4'],</v>
      </c>
      <c r="H6" t="s">
        <v>937</v>
      </c>
    </row>
    <row r="7" spans="1:8" x14ac:dyDescent="0.2">
      <c r="A7" t="s">
        <v>10</v>
      </c>
      <c r="B7" t="str">
        <f t="shared" si="0"/>
        <v>Canadian Tire</v>
      </c>
      <c r="C7" t="str">
        <f t="shared" si="1"/>
        <v>45.27155</v>
      </c>
      <c r="D7" t="str">
        <f t="shared" si="2"/>
        <v>-75.74702</v>
      </c>
      <c r="E7" t="str">
        <f t="shared" si="3"/>
        <v>613-823-5278</v>
      </c>
      <c r="F7" t="str">
        <f t="shared" si="4"/>
        <v>K2J 4Y6</v>
      </c>
      <c r="G7" t="str">
        <f t="shared" si="5"/>
        <v>[ "Canadian Tire", 45.27155, -75.74702, '613-823-5278', 'K2J 4Y6'],</v>
      </c>
      <c r="H7" t="s">
        <v>938</v>
      </c>
    </row>
    <row r="8" spans="1:8" x14ac:dyDescent="0.2">
      <c r="A8" t="s">
        <v>11</v>
      </c>
      <c r="B8" t="str">
        <f t="shared" si="0"/>
        <v>The Source</v>
      </c>
      <c r="C8" t="str">
        <f t="shared" si="1"/>
        <v>45.27028</v>
      </c>
      <c r="D8" t="str">
        <f t="shared" si="2"/>
        <v>-75.74192</v>
      </c>
      <c r="E8" t="str">
        <f t="shared" si="3"/>
        <v>613-823-1995</v>
      </c>
      <c r="F8" t="str">
        <f t="shared" si="4"/>
        <v>K2J 5G5</v>
      </c>
      <c r="G8" t="str">
        <f t="shared" si="5"/>
        <v>[ "The Source", 45.27028, -75.74192, '613-823-1995', 'K2J 5G5'],</v>
      </c>
      <c r="H8" t="s">
        <v>939</v>
      </c>
    </row>
    <row r="9" spans="1:8" x14ac:dyDescent="0.2">
      <c r="A9" t="s">
        <v>12</v>
      </c>
      <c r="B9" t="str">
        <f t="shared" si="0"/>
        <v>Staples</v>
      </c>
      <c r="C9" t="str">
        <f t="shared" si="1"/>
        <v>45.27069125</v>
      </c>
      <c r="D9" t="str">
        <f t="shared" si="2"/>
        <v>-75.7408525</v>
      </c>
      <c r="E9" t="str">
        <f t="shared" si="3"/>
        <v>613-825-0457</v>
      </c>
      <c r="F9" t="str">
        <f t="shared" si="4"/>
        <v>K2J 5G5</v>
      </c>
      <c r="G9" t="str">
        <f t="shared" si="5"/>
        <v>[ "Staples", 45.27069125, -75.7408525, '613-825-0457', 'K2J 5G5'],</v>
      </c>
      <c r="H9" t="s">
        <v>940</v>
      </c>
    </row>
    <row r="10" spans="1:8" x14ac:dyDescent="0.2">
      <c r="A10" t="s">
        <v>13</v>
      </c>
      <c r="B10" t="str">
        <f t="shared" si="0"/>
        <v>The Source</v>
      </c>
      <c r="C10" t="str">
        <f t="shared" si="1"/>
        <v>45.34921</v>
      </c>
      <c r="D10" t="str">
        <f t="shared" si="2"/>
        <v>-75.80515</v>
      </c>
      <c r="E10" t="str">
        <f t="shared" si="3"/>
        <v>613-820-6194</v>
      </c>
      <c r="F10" t="str">
        <f t="shared" si="4"/>
        <v>K2B 8C1</v>
      </c>
      <c r="G10" t="str">
        <f t="shared" si="5"/>
        <v>[ "The Source", 45.34921, -75.80515, '613-820-6194', 'K2B 8C1'],</v>
      </c>
      <c r="H10" t="s">
        <v>941</v>
      </c>
    </row>
    <row r="11" spans="1:8" x14ac:dyDescent="0.2">
      <c r="A11" t="s">
        <v>14</v>
      </c>
      <c r="B11" t="str">
        <f t="shared" si="0"/>
        <v>Franklin Empire</v>
      </c>
      <c r="C11" t="str">
        <f t="shared" si="1"/>
        <v>45.3169700050834</v>
      </c>
      <c r="D11" t="str">
        <f t="shared" si="2"/>
        <v>-75.8900513218109</v>
      </c>
      <c r="E11" t="str">
        <f t="shared" si="3"/>
        <v>613-596-1144</v>
      </c>
      <c r="F11" t="str">
        <f t="shared" si="4"/>
        <v>K2L 4E9</v>
      </c>
      <c r="G11" t="str">
        <f t="shared" si="5"/>
        <v>[ "Franklin Empire", 45.3169700050834, -75.8900513218109, '613-596-1144', 'K2L 4E9'],</v>
      </c>
      <c r="H11" t="s">
        <v>942</v>
      </c>
    </row>
    <row r="12" spans="1:8" x14ac:dyDescent="0.2">
      <c r="A12" t="s">
        <v>15</v>
      </c>
      <c r="B12" t="str">
        <f t="shared" si="0"/>
        <v>ListenUp! Canada</v>
      </c>
      <c r="C12" t="str">
        <f t="shared" si="1"/>
        <v>45.3481964767298</v>
      </c>
      <c r="D12" t="str">
        <f t="shared" si="2"/>
        <v>-75.7863466375104</v>
      </c>
      <c r="E12" t="str">
        <f t="shared" si="3"/>
        <v>613-721-1052</v>
      </c>
      <c r="F12" t="str">
        <f t="shared" si="4"/>
        <v>K2C 1E6</v>
      </c>
      <c r="G12" t="str">
        <f t="shared" si="5"/>
        <v>[ "ListenUp! Canada", 45.3481964767298, -75.7863466375104, '613-721-1052', 'K2C 1E6'],</v>
      </c>
      <c r="H12" t="s">
        <v>943</v>
      </c>
    </row>
    <row r="13" spans="1:8" x14ac:dyDescent="0.2">
      <c r="A13" t="s">
        <v>16</v>
      </c>
      <c r="B13" t="str">
        <f t="shared" si="0"/>
        <v>The Source</v>
      </c>
      <c r="C13" t="str">
        <f t="shared" si="1"/>
        <v>45.3488851541784</v>
      </c>
      <c r="D13" t="str">
        <f t="shared" si="2"/>
        <v>-75.7608445840817</v>
      </c>
      <c r="E13" t="str">
        <f t="shared" si="3"/>
        <v>613-224-1683</v>
      </c>
      <c r="F13" t="str">
        <f t="shared" si="4"/>
        <v>K2G 1V7</v>
      </c>
      <c r="G13" t="str">
        <f t="shared" si="5"/>
        <v>[ "The Source", 45.3488851541784, -75.7608445840817, '613-224-1683', 'K2G 1V7'],</v>
      </c>
      <c r="H13" t="s">
        <v>944</v>
      </c>
    </row>
    <row r="14" spans="1:8" x14ac:dyDescent="0.2">
      <c r="A14" t="s">
        <v>17</v>
      </c>
      <c r="B14" t="str">
        <f t="shared" si="0"/>
        <v>Home Depot</v>
      </c>
      <c r="C14" t="str">
        <f t="shared" si="1"/>
        <v>45.3022741666667</v>
      </c>
      <c r="D14" t="str">
        <f t="shared" si="2"/>
        <v>-75.9142483333333</v>
      </c>
      <c r="E14" t="str">
        <f t="shared" si="3"/>
        <v>613-271-7577</v>
      </c>
      <c r="F14" t="str">
        <f t="shared" si="4"/>
        <v>K2T 1C4</v>
      </c>
      <c r="G14" t="str">
        <f t="shared" si="5"/>
        <v>[ "Home Depot", 45.3022741666667, -75.9142483333333, '613-271-7577', 'K2T 1C4'],</v>
      </c>
      <c r="H14" t="s">
        <v>945</v>
      </c>
    </row>
    <row r="15" spans="1:8" x14ac:dyDescent="0.2">
      <c r="A15" t="s">
        <v>18</v>
      </c>
      <c r="B15" t="str">
        <f t="shared" si="0"/>
        <v>RONA</v>
      </c>
      <c r="C15" t="str">
        <f t="shared" si="1"/>
        <v>45.33296</v>
      </c>
      <c r="D15" t="str">
        <f t="shared" si="2"/>
        <v>-75.72896</v>
      </c>
      <c r="E15" t="str">
        <f t="shared" si="3"/>
        <v>613-226-5636</v>
      </c>
      <c r="F15" t="str">
        <f t="shared" si="4"/>
        <v>K2G 5X6</v>
      </c>
      <c r="G15" t="str">
        <f t="shared" si="5"/>
        <v>[ "RONA", 45.33296, -75.72896, '613-226-5636', 'K2G 5X6'],</v>
      </c>
      <c r="H15" t="s">
        <v>946</v>
      </c>
    </row>
    <row r="16" spans="1:8" x14ac:dyDescent="0.2">
      <c r="A16" t="s">
        <v>19</v>
      </c>
      <c r="B16" t="str">
        <f t="shared" si="0"/>
        <v>Home Depot</v>
      </c>
      <c r="C16" t="str">
        <f t="shared" si="1"/>
        <v>45.3529242478139</v>
      </c>
      <c r="D16" t="str">
        <f t="shared" si="2"/>
        <v>-75.7593245369859</v>
      </c>
      <c r="E16" t="str">
        <f t="shared" si="3"/>
        <v>613-723-5900</v>
      </c>
      <c r="F16" t="str">
        <f t="shared" si="4"/>
        <v>K2C 0C6</v>
      </c>
      <c r="G16" t="str">
        <f t="shared" si="5"/>
        <v>[ "Home Depot", 45.3529242478139, -75.7593245369859, '613-723-5900', 'K2C 0C6'],</v>
      </c>
      <c r="H16" t="s">
        <v>947</v>
      </c>
    </row>
    <row r="17" spans="1:8" x14ac:dyDescent="0.2">
      <c r="A17" t="s">
        <v>20</v>
      </c>
      <c r="B17" t="str">
        <f t="shared" si="0"/>
        <v>Interstate Batteries of Ont</v>
      </c>
      <c r="C17" t="str">
        <f t="shared" si="1"/>
        <v>45.3247075</v>
      </c>
      <c r="D17" t="str">
        <f t="shared" si="2"/>
        <v>-75.71596875</v>
      </c>
      <c r="E17" t="str">
        <f t="shared" si="3"/>
        <v>613-798-9700</v>
      </c>
      <c r="F17" t="str">
        <f t="shared" si="4"/>
        <v>K2E 6V4</v>
      </c>
      <c r="G17" t="str">
        <f t="shared" si="5"/>
        <v>[ "Interstate Batteries of Ont", 45.3247075, -75.71596875, '613-798-9700', 'K2E 6V4'],</v>
      </c>
      <c r="H17" t="s">
        <v>948</v>
      </c>
    </row>
    <row r="18" spans="1:8" x14ac:dyDescent="0.2">
      <c r="A18" t="s">
        <v>21</v>
      </c>
      <c r="B18" t="str">
        <f t="shared" si="0"/>
        <v>Canadian Tire</v>
      </c>
      <c r="C18" t="str">
        <f t="shared" si="1"/>
        <v>45.3362070935906</v>
      </c>
      <c r="D18" t="str">
        <f t="shared" si="2"/>
        <v>-75.7250272826182</v>
      </c>
      <c r="E18" t="str">
        <f t="shared" si="3"/>
        <v>613-224-9330</v>
      </c>
      <c r="F18" t="str">
        <f t="shared" si="4"/>
        <v>K2G 1E6</v>
      </c>
      <c r="G18" t="str">
        <f t="shared" si="5"/>
        <v>[ "Canadian Tire", 45.3362070935906, -75.7250272826182, '613-224-9330', 'K2G 1E6'],</v>
      </c>
      <c r="H18" t="s">
        <v>949</v>
      </c>
    </row>
    <row r="19" spans="1:8" x14ac:dyDescent="0.2">
      <c r="A19" t="s">
        <v>22</v>
      </c>
      <c r="B19" t="str">
        <f t="shared" si="0"/>
        <v>Staples</v>
      </c>
      <c r="C19" t="str">
        <f t="shared" si="1"/>
        <v>45.3077106580804</v>
      </c>
      <c r="D19" t="str">
        <f t="shared" si="2"/>
        <v>-75.9191627451347</v>
      </c>
      <c r="E19" t="str">
        <f t="shared" si="3"/>
        <v>613-592-3538</v>
      </c>
      <c r="F19" t="str">
        <f t="shared" si="4"/>
        <v>K2T 1B7</v>
      </c>
      <c r="G19" t="str">
        <f t="shared" si="5"/>
        <v>[ "Staples", 45.3077106580804, -75.9191627451347, '613-592-3538', 'K2T 1B7'],</v>
      </c>
      <c r="H19" t="s">
        <v>950</v>
      </c>
    </row>
    <row r="20" spans="1:8" x14ac:dyDescent="0.2">
      <c r="A20" t="s">
        <v>23</v>
      </c>
      <c r="B20" t="str">
        <f t="shared" si="0"/>
        <v>Canadian Tire</v>
      </c>
      <c r="C20" t="str">
        <f t="shared" si="1"/>
        <v>45.307406755956</v>
      </c>
      <c r="D20" t="str">
        <f t="shared" si="2"/>
        <v>-75.9196711967659</v>
      </c>
      <c r="E20" t="str">
        <f t="shared" si="3"/>
        <v>613-599-5105</v>
      </c>
      <c r="F20" t="str">
        <f t="shared" si="4"/>
        <v>K2T 1B7</v>
      </c>
      <c r="G20" t="str">
        <f t="shared" si="5"/>
        <v>[ "Canadian Tire", 45.307406755956, -75.9196711967659, '613-599-5105', 'K2T 1B7'],</v>
      </c>
      <c r="H20" t="s">
        <v>951</v>
      </c>
    </row>
    <row r="21" spans="1:8" x14ac:dyDescent="0.2">
      <c r="A21" t="s">
        <v>24</v>
      </c>
      <c r="B21" t="str">
        <f t="shared" si="0"/>
        <v>The Source</v>
      </c>
      <c r="C21" t="str">
        <f t="shared" si="1"/>
        <v>45.3456195926914</v>
      </c>
      <c r="D21" t="str">
        <f t="shared" si="2"/>
        <v>-75.7304456845579</v>
      </c>
      <c r="E21" t="str">
        <f t="shared" si="3"/>
        <v>613-224-9648</v>
      </c>
      <c r="F21" t="str">
        <f t="shared" si="4"/>
        <v>K2G 4A1</v>
      </c>
      <c r="G21" t="str">
        <f t="shared" si="5"/>
        <v>[ "The Source", 45.3456195926914, -75.7304456845579, '613-224-9648', 'K2G 4A1'],</v>
      </c>
      <c r="H21" t="s">
        <v>952</v>
      </c>
    </row>
    <row r="22" spans="1:8" x14ac:dyDescent="0.2">
      <c r="A22" t="s">
        <v>25</v>
      </c>
      <c r="B22" t="str">
        <f t="shared" si="0"/>
        <v>uBreakiFix</v>
      </c>
      <c r="C22" t="str">
        <f t="shared" si="1"/>
        <v>45.3489677777778</v>
      </c>
      <c r="D22" t="str">
        <f t="shared" si="2"/>
        <v>-75.7324555555556</v>
      </c>
      <c r="E22" t="str">
        <f t="shared" si="3"/>
        <v>613-422-8243</v>
      </c>
      <c r="F22" t="str">
        <f t="shared" si="4"/>
        <v>K2G 5J8</v>
      </c>
      <c r="G22" t="str">
        <f t="shared" si="5"/>
        <v>[ "uBreakiFix", 45.3489677777778, -75.7324555555556, '613-422-8243', 'K2G 5J8'],</v>
      </c>
      <c r="H22" t="s">
        <v>953</v>
      </c>
    </row>
    <row r="23" spans="1:8" x14ac:dyDescent="0.2">
      <c r="A23" t="s">
        <v>26</v>
      </c>
      <c r="B23" t="str">
        <f t="shared" si="0"/>
        <v>ListenUp! Canada</v>
      </c>
      <c r="C23" t="str">
        <f t="shared" si="1"/>
        <v>45.35091</v>
      </c>
      <c r="D23" t="str">
        <f t="shared" si="2"/>
        <v>-75.73358</v>
      </c>
      <c r="E23" t="str">
        <f t="shared" si="3"/>
        <v>613-727-3132</v>
      </c>
      <c r="F23" t="str">
        <f t="shared" si="4"/>
        <v>K2G 4B5</v>
      </c>
      <c r="G23" t="str">
        <f t="shared" si="5"/>
        <v>[ "ListenUp! Canada", 45.35091, -75.73358, '613-727-3132', 'K2G 4B5'],</v>
      </c>
      <c r="H23" t="s">
        <v>954</v>
      </c>
    </row>
    <row r="24" spans="1:8" x14ac:dyDescent="0.2">
      <c r="A24" t="s">
        <v>27</v>
      </c>
      <c r="B24" t="str">
        <f t="shared" si="0"/>
        <v>Staples</v>
      </c>
      <c r="C24" t="str">
        <f t="shared" si="1"/>
        <v>45.35311</v>
      </c>
      <c r="D24" t="str">
        <f t="shared" si="2"/>
        <v>-75.73469</v>
      </c>
      <c r="E24" t="str">
        <f t="shared" si="3"/>
        <v>613-226-7989</v>
      </c>
      <c r="F24" t="str">
        <f t="shared" si="4"/>
        <v>K2G 3J4</v>
      </c>
      <c r="G24" t="str">
        <f t="shared" si="5"/>
        <v>[ "Staples", 45.35311, -75.73469, '613-226-7989', 'K2G 3J4'],</v>
      </c>
      <c r="H24" t="s">
        <v>955</v>
      </c>
    </row>
    <row r="25" spans="1:8" x14ac:dyDescent="0.2">
      <c r="A25" t="s">
        <v>28</v>
      </c>
      <c r="B25" t="str">
        <f t="shared" si="0"/>
        <v>Sears (Canada)</v>
      </c>
      <c r="C25" t="str">
        <f t="shared" si="1"/>
        <v>45.3705308333333</v>
      </c>
      <c r="D25" t="str">
        <f t="shared" si="2"/>
        <v>-75.7700666666667</v>
      </c>
      <c r="E25" t="str">
        <f t="shared" si="3"/>
        <v>613-729-2561</v>
      </c>
      <c r="F25" t="str">
        <f t="shared" si="4"/>
        <v>K2A 1H2</v>
      </c>
      <c r="G25" t="str">
        <f t="shared" si="5"/>
        <v>[ "Sears (Canada)", 45.3705308333333, -75.7700666666667, '613-729-2561', 'K2A 1H2'],</v>
      </c>
      <c r="H25" t="s">
        <v>956</v>
      </c>
    </row>
    <row r="26" spans="1:8" x14ac:dyDescent="0.2">
      <c r="A26" t="s">
        <v>29</v>
      </c>
      <c r="B26" t="str">
        <f t="shared" si="0"/>
        <v>Staples</v>
      </c>
      <c r="C26" t="str">
        <f t="shared" si="1"/>
        <v>45.37061</v>
      </c>
      <c r="D26" t="str">
        <f t="shared" si="2"/>
        <v>-75.76937</v>
      </c>
      <c r="E26" t="str">
        <f t="shared" si="3"/>
        <v>613-729-4585</v>
      </c>
      <c r="F26" t="str">
        <f t="shared" si="4"/>
        <v>K2A 1H1</v>
      </c>
      <c r="G26" t="str">
        <f t="shared" si="5"/>
        <v>[ "Staples", 45.37061, -75.76937, '613-729-4585', 'K2A 1H1'],</v>
      </c>
      <c r="H26" t="s">
        <v>957</v>
      </c>
    </row>
    <row r="27" spans="1:8" x14ac:dyDescent="0.2">
      <c r="A27" t="s">
        <v>30</v>
      </c>
      <c r="B27" t="str">
        <f t="shared" si="0"/>
        <v>The Source</v>
      </c>
      <c r="C27" t="str">
        <f t="shared" si="1"/>
        <v>45.3710585714286</v>
      </c>
      <c r="D27" t="str">
        <f t="shared" si="2"/>
        <v>-75.7688328571429</v>
      </c>
      <c r="E27" t="str">
        <f t="shared" si="3"/>
        <v>613-722-6052</v>
      </c>
      <c r="F27" t="str">
        <f t="shared" si="4"/>
        <v>K2A 1H2</v>
      </c>
      <c r="G27" t="str">
        <f t="shared" si="5"/>
        <v>[ "The Source", 45.3710585714286, -75.7688328571429, '613-722-6052', 'K2A 1H2'],</v>
      </c>
      <c r="H27" t="s">
        <v>958</v>
      </c>
    </row>
    <row r="28" spans="1:8" x14ac:dyDescent="0.2">
      <c r="A28" t="s">
        <v>31</v>
      </c>
      <c r="B28" t="str">
        <f t="shared" si="0"/>
        <v>Best Buy</v>
      </c>
      <c r="C28" t="str">
        <f t="shared" si="1"/>
        <v>45.372818</v>
      </c>
      <c r="D28" t="str">
        <f t="shared" si="2"/>
        <v>-75.7679092</v>
      </c>
      <c r="E28" t="str">
        <f t="shared" si="3"/>
        <v>--</v>
      </c>
      <c r="F28" t="str">
        <f t="shared" si="4"/>
        <v>K2A 1H2</v>
      </c>
      <c r="G28" t="str">
        <f t="shared" si="5"/>
        <v>[ "Best Buy", 45.372818, -75.7679092, '--', 'K2A 1H2'],</v>
      </c>
      <c r="H28" t="s">
        <v>959</v>
      </c>
    </row>
    <row r="29" spans="1:8" x14ac:dyDescent="0.2">
      <c r="A29" t="s">
        <v>32</v>
      </c>
      <c r="B29" t="str">
        <f t="shared" si="0"/>
        <v>Jean Coutu</v>
      </c>
      <c r="C29" t="str">
        <f t="shared" si="1"/>
        <v>45.39552</v>
      </c>
      <c r="D29" t="str">
        <f t="shared" si="2"/>
        <v>-75.83552</v>
      </c>
      <c r="E29" t="str">
        <f t="shared" si="3"/>
        <v>819-684-0006</v>
      </c>
      <c r="F29" t="str">
        <f t="shared" si="4"/>
        <v>J9H 6A6</v>
      </c>
      <c r="G29" t="str">
        <f t="shared" si="5"/>
        <v>[ "Jean Coutu", 45.39552, -75.83552, '819-684-0006', 'J9H 6A6'],</v>
      </c>
      <c r="H29" t="s">
        <v>960</v>
      </c>
    </row>
    <row r="30" spans="1:8" x14ac:dyDescent="0.2">
      <c r="A30" t="s">
        <v>33</v>
      </c>
      <c r="B30" t="str">
        <f t="shared" si="0"/>
        <v>La Source</v>
      </c>
      <c r="C30" t="str">
        <f t="shared" si="1"/>
        <v>45.39552</v>
      </c>
      <c r="D30" t="str">
        <f t="shared" si="2"/>
        <v>-75.83552</v>
      </c>
      <c r="E30" t="str">
        <f t="shared" si="3"/>
        <v>819-684-1359</v>
      </c>
      <c r="F30" t="str">
        <f t="shared" si="4"/>
        <v>J9H 6A6</v>
      </c>
      <c r="G30" t="str">
        <f t="shared" si="5"/>
        <v>[ "La Source", 45.39552, -75.83552, '819-684-1359', 'J9H 6A6'],</v>
      </c>
      <c r="H30" t="s">
        <v>961</v>
      </c>
    </row>
    <row r="31" spans="1:8" x14ac:dyDescent="0.2">
      <c r="A31" t="s">
        <v>0</v>
      </c>
      <c r="B31" t="str">
        <f t="shared" si="0"/>
        <v>Mountain Equipment Co-op</v>
      </c>
      <c r="C31" t="str">
        <f t="shared" si="1"/>
        <v>45.3915017200558</v>
      </c>
      <c r="D31" t="str">
        <f t="shared" si="2"/>
        <v>-75.755143747251</v>
      </c>
      <c r="E31" t="str">
        <f t="shared" si="3"/>
        <v>613-729-2700</v>
      </c>
      <c r="F31" t="str">
        <f t="shared" si="4"/>
        <v>K2A 0E8</v>
      </c>
      <c r="G31" t="str">
        <f t="shared" si="5"/>
        <v>[ "Mountain Equipment Co-op", 45.3915017200558, -75.755143747251, '613-729-2700', 'K2A 0E8'],</v>
      </c>
      <c r="H31" t="s">
        <v>962</v>
      </c>
    </row>
    <row r="32" spans="1:8" x14ac:dyDescent="0.2">
      <c r="A32" t="s">
        <v>1</v>
      </c>
      <c r="B32" t="str">
        <f t="shared" si="0"/>
        <v>Manotick Home Hardware</v>
      </c>
      <c r="C32" t="str">
        <f t="shared" si="1"/>
        <v>45.2240975</v>
      </c>
      <c r="D32" t="str">
        <f t="shared" si="2"/>
        <v>-75.68488125</v>
      </c>
      <c r="E32" t="str">
        <f t="shared" si="3"/>
        <v>613-692-3591</v>
      </c>
      <c r="F32" t="str">
        <f t="shared" si="4"/>
        <v>K4M 1A8</v>
      </c>
      <c r="G32" t="str">
        <f t="shared" si="5"/>
        <v>[ "Manotick Home Hardware", 45.2240975, -75.68488125, '613-692-3591', 'K4M 1A8'],</v>
      </c>
      <c r="H32" t="s">
        <v>963</v>
      </c>
    </row>
    <row r="33" spans="1:8" x14ac:dyDescent="0.2">
      <c r="A33" t="s">
        <v>2</v>
      </c>
      <c r="B33" t="str">
        <f t="shared" si="0"/>
        <v>RONA</v>
      </c>
      <c r="C33" t="str">
        <f t="shared" si="1"/>
        <v>45.4116065217391</v>
      </c>
      <c r="D33" t="str">
        <f t="shared" si="2"/>
        <v>-75.818777826087</v>
      </c>
      <c r="E33" t="str">
        <f t="shared" si="3"/>
        <v>819-684-3275</v>
      </c>
      <c r="F33" t="str">
        <f t="shared" si="4"/>
        <v>J9J 3M3</v>
      </c>
      <c r="G33" t="str">
        <f t="shared" si="5"/>
        <v>[ "RONA", 45.4116065217391, -75.818777826087, '819-684-3275', 'J9J 3M3'],</v>
      </c>
      <c r="H33" t="s">
        <v>964</v>
      </c>
    </row>
    <row r="34" spans="1:8" x14ac:dyDescent="0.2">
      <c r="A34" t="s">
        <v>3</v>
      </c>
      <c r="B34" t="str">
        <f t="shared" si="0"/>
        <v>Pharmacie Brunet</v>
      </c>
      <c r="C34" t="str">
        <f t="shared" si="1"/>
        <v>45.411005</v>
      </c>
      <c r="D34" t="str">
        <f t="shared" si="2"/>
        <v>-75.839105</v>
      </c>
      <c r="E34" t="str">
        <f t="shared" si="3"/>
        <v>819-684-8222</v>
      </c>
      <c r="F34" t="str">
        <f t="shared" si="4"/>
        <v>J9J 1V2</v>
      </c>
      <c r="G34" t="str">
        <f t="shared" si="5"/>
        <v>[ "Pharmacie Brunet", 45.411005, -75.839105, '819-684-8222', 'J9J 1V2'],</v>
      </c>
      <c r="H34" t="s">
        <v>965</v>
      </c>
    </row>
    <row r="35" spans="1:8" x14ac:dyDescent="0.2">
      <c r="A35" t="s">
        <v>34</v>
      </c>
      <c r="B35" t="str">
        <f t="shared" si="0"/>
        <v>ListenUp! Canada</v>
      </c>
      <c r="C35" t="str">
        <f t="shared" si="1"/>
        <v>45.3997827272727</v>
      </c>
      <c r="D35" t="str">
        <f t="shared" si="2"/>
        <v>-75.7320581818182</v>
      </c>
      <c r="E35" t="str">
        <f t="shared" si="3"/>
        <v>613-728-9170</v>
      </c>
      <c r="F35" t="str">
        <f t="shared" si="4"/>
        <v>K1Y 0X6</v>
      </c>
      <c r="G35" t="str">
        <f t="shared" si="5"/>
        <v>[ "ListenUp! Canada", 45.3997827272727, -75.7320581818182, '613-728-9170', 'K1Y 0X6'],</v>
      </c>
      <c r="H35" t="s">
        <v>966</v>
      </c>
    </row>
    <row r="36" spans="1:8" x14ac:dyDescent="0.2">
      <c r="A36" t="s">
        <v>35</v>
      </c>
      <c r="B36" t="str">
        <f t="shared" si="0"/>
        <v>Jean Coutu</v>
      </c>
      <c r="C36" t="str">
        <f t="shared" si="1"/>
        <v>45.4199387682437</v>
      </c>
      <c r="D36" t="str">
        <f t="shared" si="2"/>
        <v>-75.8095308031074</v>
      </c>
      <c r="E36" t="str">
        <f t="shared" si="3"/>
        <v>819-682-0670</v>
      </c>
      <c r="F36" t="str">
        <f t="shared" si="4"/>
        <v>J9J 1Z4</v>
      </c>
      <c r="G36" t="str">
        <f t="shared" si="5"/>
        <v>[ "Jean Coutu", 45.4199387682437, -75.8095308031074, '819-682-0670', 'J9J 1Z4'],</v>
      </c>
      <c r="H36" t="s">
        <v>967</v>
      </c>
    </row>
    <row r="37" spans="1:8" x14ac:dyDescent="0.2">
      <c r="A37" t="s">
        <v>36</v>
      </c>
      <c r="B37" t="str">
        <f t="shared" si="0"/>
        <v>The Source</v>
      </c>
      <c r="C37" t="str">
        <f t="shared" si="1"/>
        <v>45.3573151020408</v>
      </c>
      <c r="D37" t="str">
        <f t="shared" si="2"/>
        <v>-75.6538102040816</v>
      </c>
      <c r="E37" t="str">
        <f t="shared" si="3"/>
        <v>613-733-1891</v>
      </c>
      <c r="F37" t="str">
        <f t="shared" si="4"/>
        <v>K1V 1J5</v>
      </c>
      <c r="G37" t="str">
        <f t="shared" si="5"/>
        <v>[ "The Source", 45.3573151020408, -75.6538102040816, '613-733-1891', 'K1V 1J5'],</v>
      </c>
      <c r="H37" t="s">
        <v>968</v>
      </c>
    </row>
    <row r="38" spans="1:8" x14ac:dyDescent="0.2">
      <c r="A38" t="s">
        <v>37</v>
      </c>
      <c r="B38" t="str">
        <f t="shared" si="0"/>
        <v>Staples</v>
      </c>
      <c r="C38" t="str">
        <f t="shared" si="1"/>
        <v>45.3573151020408</v>
      </c>
      <c r="D38" t="str">
        <f t="shared" si="2"/>
        <v>-75.6538102040816</v>
      </c>
      <c r="E38" t="str">
        <f t="shared" si="3"/>
        <v>613-521-3030</v>
      </c>
      <c r="F38" t="str">
        <f t="shared" si="4"/>
        <v>K1V 1J5</v>
      </c>
      <c r="G38" t="str">
        <f t="shared" si="5"/>
        <v>[ "Staples", 45.3573151020408, -75.6538102040816, '613-521-3030', 'K1V 1J5'],</v>
      </c>
      <c r="H38" t="s">
        <v>969</v>
      </c>
    </row>
    <row r="39" spans="1:8" x14ac:dyDescent="0.2">
      <c r="A39" t="s">
        <v>38</v>
      </c>
      <c r="B39" t="str">
        <f t="shared" si="0"/>
        <v>Home Depot</v>
      </c>
      <c r="C39" t="str">
        <f t="shared" si="1"/>
        <v>45.3633490771332</v>
      </c>
      <c r="D39" t="str">
        <f t="shared" si="2"/>
        <v>-75.658896395124</v>
      </c>
      <c r="E39" t="str">
        <f t="shared" si="3"/>
        <v>613-739-5300</v>
      </c>
      <c r="F39" t="str">
        <f t="shared" si="4"/>
        <v>K1V 7Z8</v>
      </c>
      <c r="G39" t="str">
        <f t="shared" si="5"/>
        <v>[ "Home Depot", 45.3633490771332, -75.658896395124, '613-739-5300', 'K1V 7Z8'],</v>
      </c>
      <c r="H39" t="s">
        <v>970</v>
      </c>
    </row>
    <row r="40" spans="1:8" x14ac:dyDescent="0.2">
      <c r="A40" t="s">
        <v>39</v>
      </c>
      <c r="B40" t="str">
        <f t="shared" si="0"/>
        <v>ListenUp! Canada</v>
      </c>
      <c r="C40" t="str">
        <f t="shared" si="1"/>
        <v>45.3539</v>
      </c>
      <c r="D40" t="str">
        <f t="shared" si="2"/>
        <v>-75.64844</v>
      </c>
      <c r="E40" t="str">
        <f t="shared" si="3"/>
        <v>613-521-0904</v>
      </c>
      <c r="F40" t="str">
        <f t="shared" si="4"/>
        <v>K1V 0T7</v>
      </c>
      <c r="G40" t="str">
        <f t="shared" si="5"/>
        <v>[ "ListenUp! Canada", 45.3539, -75.64844, '613-521-0904', 'K1V 0T7'],</v>
      </c>
      <c r="H40" t="s">
        <v>971</v>
      </c>
    </row>
    <row r="41" spans="1:8" x14ac:dyDescent="0.2">
      <c r="A41" t="s">
        <v>40</v>
      </c>
      <c r="B41" t="str">
        <f t="shared" si="0"/>
        <v>The Source</v>
      </c>
      <c r="C41" t="str">
        <f t="shared" si="1"/>
        <v>45.386778716225</v>
      </c>
      <c r="D41" t="str">
        <f t="shared" si="2"/>
        <v>-75.6796023225593</v>
      </c>
      <c r="E41" t="str">
        <f t="shared" si="3"/>
        <v>613-737-1079</v>
      </c>
      <c r="F41" t="str">
        <f t="shared" si="4"/>
        <v>K1H 8K2</v>
      </c>
      <c r="G41" t="str">
        <f t="shared" si="5"/>
        <v>[ "The Source", 45.386778716225, -75.6796023225593, '613-737-1079', 'K1H 8K2'],</v>
      </c>
      <c r="H41" t="s">
        <v>972</v>
      </c>
    </row>
    <row r="42" spans="1:8" x14ac:dyDescent="0.2">
      <c r="A42" t="s">
        <v>41</v>
      </c>
      <c r="B42" t="str">
        <f t="shared" si="0"/>
        <v>The Source</v>
      </c>
      <c r="C42" t="str">
        <f t="shared" si="1"/>
        <v>45.3996469</v>
      </c>
      <c r="D42" t="str">
        <f t="shared" si="2"/>
        <v>-75.6837603</v>
      </c>
      <c r="E42" t="str">
        <f t="shared" si="3"/>
        <v>613-565-4808</v>
      </c>
      <c r="F42" t="str">
        <f t="shared" si="4"/>
        <v>K1S 5J3</v>
      </c>
      <c r="G42" t="str">
        <f t="shared" si="5"/>
        <v>[ "The Source", 45.3996469, -75.6837603, '613-565-4808', 'K1S 5J3'],</v>
      </c>
      <c r="H42" t="s">
        <v>973</v>
      </c>
    </row>
    <row r="43" spans="1:8" x14ac:dyDescent="0.2">
      <c r="A43" t="s">
        <v>42</v>
      </c>
      <c r="B43" t="str">
        <f t="shared" si="0"/>
        <v>La Source</v>
      </c>
      <c r="C43" t="str">
        <f t="shared" si="1"/>
        <v>45.43336</v>
      </c>
      <c r="D43" t="str">
        <f t="shared" si="2"/>
        <v>-75.78517</v>
      </c>
      <c r="E43" t="str">
        <f t="shared" si="3"/>
        <v>819-772-4751</v>
      </c>
      <c r="F43" t="str">
        <f t="shared" si="4"/>
        <v>J9A 3G1</v>
      </c>
      <c r="G43" t="str">
        <f t="shared" si="5"/>
        <v>[ "La Source", 45.43336, -75.78517, '819-772-4751', 'J9A 3G1'],</v>
      </c>
      <c r="H43" t="s">
        <v>974</v>
      </c>
    </row>
    <row r="44" spans="1:8" x14ac:dyDescent="0.2">
      <c r="A44" t="s">
        <v>43</v>
      </c>
      <c r="B44" t="str">
        <f t="shared" si="0"/>
        <v>Canadian Tire</v>
      </c>
      <c r="C44" t="str">
        <f t="shared" si="1"/>
        <v>45.433308</v>
      </c>
      <c r="D44" t="str">
        <f t="shared" si="2"/>
        <v>-75.779701</v>
      </c>
      <c r="E44" t="str">
        <f t="shared" si="3"/>
        <v>819-684-0660</v>
      </c>
      <c r="F44" t="str">
        <f t="shared" si="4"/>
        <v>J9A 0C7</v>
      </c>
      <c r="G44" t="str">
        <f t="shared" si="5"/>
        <v>[ "Canadian Tire", 45.433308, -75.779701, '819-684-0660', 'J9A 0C7'],</v>
      </c>
      <c r="H44" t="s">
        <v>975</v>
      </c>
    </row>
    <row r="45" spans="1:8" x14ac:dyDescent="0.2">
      <c r="A45" t="s">
        <v>44</v>
      </c>
      <c r="B45" t="str">
        <f t="shared" si="0"/>
        <v>Jean Coutu</v>
      </c>
      <c r="C45" t="str">
        <f t="shared" si="1"/>
        <v>45.4350193869702</v>
      </c>
      <c r="D45" t="str">
        <f t="shared" si="2"/>
        <v>-75.7807949680794</v>
      </c>
      <c r="E45" t="str">
        <f t="shared" si="3"/>
        <v>819-771-4515</v>
      </c>
      <c r="F45" t="str">
        <f t="shared" si="4"/>
        <v>J9A 0N4</v>
      </c>
      <c r="G45" t="str">
        <f t="shared" si="5"/>
        <v>[ "Jean Coutu", 45.4350193869702, -75.7807949680794, '819-771-4515', 'J9A 0N4'],</v>
      </c>
      <c r="H45" t="s">
        <v>976</v>
      </c>
    </row>
    <row r="46" spans="1:8" x14ac:dyDescent="0.2">
      <c r="A46" t="s">
        <v>45</v>
      </c>
      <c r="B46" t="str">
        <f t="shared" si="0"/>
        <v>ListenUp! Canada</v>
      </c>
      <c r="C46" t="str">
        <f t="shared" si="1"/>
        <v>45.4109122222222</v>
      </c>
      <c r="D46" t="str">
        <f t="shared" si="2"/>
        <v>-75.6928911111111</v>
      </c>
      <c r="E46" t="str">
        <f t="shared" si="3"/>
        <v>613-238-6839</v>
      </c>
      <c r="F46" t="str">
        <f t="shared" si="4"/>
        <v>K2P 1Z2</v>
      </c>
      <c r="G46" t="str">
        <f t="shared" si="5"/>
        <v>[ "ListenUp! Canada", 45.4109122222222, -75.6928911111111, '613-238-6839', 'K2P 1Z2'],</v>
      </c>
      <c r="H46" t="s">
        <v>977</v>
      </c>
    </row>
    <row r="47" spans="1:8" x14ac:dyDescent="0.2">
      <c r="A47" t="s">
        <v>46</v>
      </c>
      <c r="B47" t="str">
        <f t="shared" si="0"/>
        <v>RONA</v>
      </c>
      <c r="C47" t="str">
        <f t="shared" si="1"/>
        <v>45.4357610482227</v>
      </c>
      <c r="D47" t="str">
        <f t="shared" si="2"/>
        <v>-75.7778724318387</v>
      </c>
      <c r="E47" t="str">
        <f t="shared" si="3"/>
        <v>819-776-3400</v>
      </c>
      <c r="F47" t="str">
        <f t="shared" si="4"/>
        <v>J9A 3G1</v>
      </c>
      <c r="G47" t="str">
        <f t="shared" si="5"/>
        <v>[ "RONA", 45.4357610482227, -75.7778724318387, '819-776-3400', 'J9A 3G1'],</v>
      </c>
      <c r="H47" t="s">
        <v>978</v>
      </c>
    </row>
    <row r="48" spans="1:8" x14ac:dyDescent="0.2">
      <c r="A48" t="s">
        <v>47</v>
      </c>
      <c r="B48" t="str">
        <f t="shared" si="0"/>
        <v>Staples</v>
      </c>
      <c r="C48" t="str">
        <f t="shared" si="1"/>
        <v>45.4130966666667</v>
      </c>
      <c r="D48" t="str">
        <f t="shared" si="2"/>
        <v>-75.6944033333333</v>
      </c>
      <c r="E48" t="str">
        <f t="shared" si="3"/>
        <v>613-235-2525</v>
      </c>
      <c r="F48" t="str">
        <f t="shared" si="4"/>
        <v>K2P 1Y6</v>
      </c>
      <c r="G48" t="str">
        <f t="shared" si="5"/>
        <v>[ "Staples", 45.4130966666667, -75.6944033333333, '613-235-2525', 'K2P 1Y6'],</v>
      </c>
      <c r="H48" t="s">
        <v>979</v>
      </c>
    </row>
    <row r="49" spans="1:8" x14ac:dyDescent="0.2">
      <c r="A49" t="s">
        <v>48</v>
      </c>
      <c r="B49" t="str">
        <f t="shared" si="0"/>
        <v>Bureau en Gros</v>
      </c>
      <c r="C49" t="str">
        <f t="shared" si="1"/>
        <v>45.4360653869305</v>
      </c>
      <c r="D49" t="str">
        <f t="shared" si="2"/>
        <v>-75.7730653768985</v>
      </c>
      <c r="E49" t="str">
        <f t="shared" si="3"/>
        <v>819-770-2332</v>
      </c>
      <c r="F49" t="str">
        <f t="shared" si="4"/>
        <v>J9A 3G1</v>
      </c>
      <c r="G49" t="str">
        <f t="shared" si="5"/>
        <v>[ "Bureau en Gros", 45.4360653869305, -75.7730653768985, '819-770-2332', 'J9A 3G1'],</v>
      </c>
      <c r="H49" t="s">
        <v>980</v>
      </c>
    </row>
    <row r="50" spans="1:8" x14ac:dyDescent="0.2">
      <c r="A50" t="s">
        <v>49</v>
      </c>
      <c r="B50" t="str">
        <f t="shared" si="0"/>
        <v>Henrys</v>
      </c>
      <c r="C50" t="str">
        <f t="shared" si="1"/>
        <v>45.4158166666667</v>
      </c>
      <c r="D50" t="str">
        <f t="shared" si="2"/>
        <v>-75.6967733333333</v>
      </c>
      <c r="E50" t="str">
        <f t="shared" si="3"/>
        <v>613-232-5368</v>
      </c>
      <c r="F50" t="str">
        <f t="shared" si="4"/>
        <v>K2P 1X5</v>
      </c>
      <c r="G50" t="str">
        <f t="shared" si="5"/>
        <v>[ "Henrys", 45.4158166666667, -75.6967733333333, '613-232-5368', 'K2P 1X5'],</v>
      </c>
      <c r="H50" t="s">
        <v>981</v>
      </c>
    </row>
    <row r="51" spans="1:8" x14ac:dyDescent="0.2">
      <c r="A51" t="s">
        <v>55</v>
      </c>
      <c r="B51" t="str">
        <f t="shared" si="0"/>
        <v>Barrys Home Hardware</v>
      </c>
      <c r="C51" t="str">
        <f t="shared" si="1"/>
        <v>45.25691</v>
      </c>
      <c r="D51" t="str">
        <f t="shared" si="2"/>
        <v>-75.3704</v>
      </c>
      <c r="E51" t="str">
        <f t="shared" si="3"/>
        <v>613-445-2171</v>
      </c>
      <c r="F51" t="str">
        <f t="shared" si="4"/>
        <v>K4R 1A1</v>
      </c>
      <c r="G51" t="str">
        <f t="shared" si="5"/>
        <v>[ "Barrys Home Hardware", 45.25691, -75.3704, '613-445-2171', 'K4R 1A1'],</v>
      </c>
      <c r="H51" t="s">
        <v>982</v>
      </c>
    </row>
    <row r="52" spans="1:8" x14ac:dyDescent="0.2">
      <c r="A52" t="s">
        <v>56</v>
      </c>
      <c r="B52" t="str">
        <f t="shared" si="0"/>
        <v>Township of Russell</v>
      </c>
      <c r="C52" t="str">
        <f t="shared" si="1"/>
        <v>45.2672597504255</v>
      </c>
      <c r="D52" t="str">
        <f t="shared" si="2"/>
        <v>-75.3059172717022</v>
      </c>
      <c r="E52" t="str">
        <f t="shared" si="3"/>
        <v>613-443-3066</v>
      </c>
      <c r="F52" t="str">
        <f t="shared" si="4"/>
        <v>K0A 1W1</v>
      </c>
      <c r="G52" t="str">
        <f t="shared" si="5"/>
        <v>[ "Township of Russell", 45.2672597504255, -75.3059172717022, '613-443-3066', 'K0A 1W1'],</v>
      </c>
      <c r="H52" t="s">
        <v>983</v>
      </c>
    </row>
    <row r="53" spans="1:8" x14ac:dyDescent="0.2">
      <c r="A53" t="s">
        <v>57</v>
      </c>
      <c r="B53" t="str">
        <f t="shared" si="0"/>
        <v>Manotick Home Hardware</v>
      </c>
      <c r="C53" t="str">
        <f t="shared" si="1"/>
        <v>45.2240975</v>
      </c>
      <c r="D53" t="str">
        <f t="shared" si="2"/>
        <v>-75.68488125</v>
      </c>
      <c r="E53" t="str">
        <f t="shared" si="3"/>
        <v>613-692-3591</v>
      </c>
      <c r="F53" t="str">
        <f t="shared" si="4"/>
        <v>K4M 1A8</v>
      </c>
      <c r="G53" t="str">
        <f t="shared" si="5"/>
        <v>[ "Manotick Home Hardware", 45.2240975, -75.68488125, '613-692-3591', 'K4M 1A8'],</v>
      </c>
      <c r="H53" t="s">
        <v>963</v>
      </c>
    </row>
    <row r="54" spans="1:8" x14ac:dyDescent="0.2">
      <c r="A54" t="s">
        <v>58</v>
      </c>
      <c r="B54" t="str">
        <f t="shared" si="0"/>
        <v>The Source</v>
      </c>
      <c r="C54" t="str">
        <f t="shared" si="1"/>
        <v>45.26869</v>
      </c>
      <c r="D54" t="str">
        <f t="shared" si="2"/>
        <v>-75.29589</v>
      </c>
      <c r="E54" t="str">
        <f t="shared" si="3"/>
        <v>613-443-5642</v>
      </c>
      <c r="F54" t="str">
        <f t="shared" si="4"/>
        <v>K0A 1W1</v>
      </c>
      <c r="G54" t="str">
        <f t="shared" si="5"/>
        <v>[ "The Source", 45.26869, -75.29589, '613-443-5642', 'K0A 1W1'],</v>
      </c>
      <c r="H54" t="s">
        <v>984</v>
      </c>
    </row>
    <row r="55" spans="1:8" x14ac:dyDescent="0.2">
      <c r="A55" t="s">
        <v>59</v>
      </c>
      <c r="B55" t="str">
        <f t="shared" si="0"/>
        <v>Township of North Dundas</v>
      </c>
      <c r="C55" t="str">
        <f t="shared" si="1"/>
        <v>45.1045758467051</v>
      </c>
      <c r="D55" t="str">
        <f t="shared" si="2"/>
        <v>-75.3214423553231</v>
      </c>
      <c r="E55" t="str">
        <f t="shared" si="3"/>
        <v>613-774-5157</v>
      </c>
      <c r="F55" t="str">
        <f t="shared" si="4"/>
        <v>K0C 2K0</v>
      </c>
      <c r="G55" t="str">
        <f t="shared" si="5"/>
        <v>[ "Township of North Dundas", 45.1045758467051, -75.3214423553231, '613-774-5157', 'K0C 2K0'],</v>
      </c>
      <c r="H55" t="s">
        <v>985</v>
      </c>
    </row>
    <row r="56" spans="1:8" x14ac:dyDescent="0.2">
      <c r="A56" t="s">
        <v>60</v>
      </c>
      <c r="B56" t="str">
        <f t="shared" si="0"/>
        <v>ListenUp! Canada</v>
      </c>
      <c r="C56" t="str">
        <f t="shared" si="1"/>
        <v>45.3539</v>
      </c>
      <c r="D56" t="str">
        <f t="shared" si="2"/>
        <v>-75.64844</v>
      </c>
      <c r="E56" t="str">
        <f t="shared" si="3"/>
        <v>613-521-0904</v>
      </c>
      <c r="F56" t="str">
        <f t="shared" si="4"/>
        <v>K1V 0T7</v>
      </c>
      <c r="G56" t="str">
        <f t="shared" si="5"/>
        <v>[ "ListenUp! Canada", 45.3539, -75.64844, '613-521-0904', 'K1V 0T7'],</v>
      </c>
      <c r="H56" t="s">
        <v>971</v>
      </c>
    </row>
    <row r="57" spans="1:8" x14ac:dyDescent="0.2">
      <c r="A57" t="s">
        <v>61</v>
      </c>
      <c r="B57" t="str">
        <f t="shared" si="0"/>
        <v>Staples</v>
      </c>
      <c r="C57" t="str">
        <f t="shared" si="1"/>
        <v>45.27069125</v>
      </c>
      <c r="D57" t="str">
        <f t="shared" si="2"/>
        <v>-75.7408525</v>
      </c>
      <c r="E57" t="str">
        <f t="shared" si="3"/>
        <v>613-825-0457</v>
      </c>
      <c r="F57" t="str">
        <f t="shared" si="4"/>
        <v>K2J 5G5</v>
      </c>
      <c r="G57" t="str">
        <f t="shared" si="5"/>
        <v>[ "Staples", 45.27069125, -75.7408525, '613-825-0457', 'K2J 5G5'],</v>
      </c>
      <c r="H57" t="s">
        <v>940</v>
      </c>
    </row>
    <row r="58" spans="1:8" x14ac:dyDescent="0.2">
      <c r="A58" t="s">
        <v>62</v>
      </c>
      <c r="B58" t="str">
        <f t="shared" si="0"/>
        <v>The Source</v>
      </c>
      <c r="C58" t="str">
        <f t="shared" si="1"/>
        <v>45.27028</v>
      </c>
      <c r="D58" t="str">
        <f t="shared" si="2"/>
        <v>-75.74192</v>
      </c>
      <c r="E58" t="str">
        <f t="shared" si="3"/>
        <v>613-823-1995</v>
      </c>
      <c r="F58" t="str">
        <f t="shared" si="4"/>
        <v>K2J 5G5</v>
      </c>
      <c r="G58" t="str">
        <f t="shared" si="5"/>
        <v>[ "The Source", 45.27028, -75.74192, '613-823-1995', 'K2J 5G5'],</v>
      </c>
      <c r="H58" t="s">
        <v>939</v>
      </c>
    </row>
    <row r="59" spans="1:8" x14ac:dyDescent="0.2">
      <c r="A59" t="s">
        <v>63</v>
      </c>
      <c r="B59" t="str">
        <f t="shared" si="0"/>
        <v>Staples</v>
      </c>
      <c r="C59" t="str">
        <f t="shared" si="1"/>
        <v>45.3573151020408</v>
      </c>
      <c r="D59" t="str">
        <f t="shared" si="2"/>
        <v>-75.6538102040816</v>
      </c>
      <c r="E59" t="str">
        <f t="shared" si="3"/>
        <v>613-521-3030</v>
      </c>
      <c r="F59" t="str">
        <f t="shared" si="4"/>
        <v>K1V 1J5</v>
      </c>
      <c r="G59" t="str">
        <f t="shared" si="5"/>
        <v>[ "Staples", 45.3573151020408, -75.6538102040816, '613-521-3030', 'K1V 1J5'],</v>
      </c>
      <c r="H59" t="s">
        <v>969</v>
      </c>
    </row>
    <row r="60" spans="1:8" x14ac:dyDescent="0.2">
      <c r="A60" t="s">
        <v>64</v>
      </c>
      <c r="B60" t="str">
        <f t="shared" si="0"/>
        <v>The Source</v>
      </c>
      <c r="C60" t="str">
        <f t="shared" si="1"/>
        <v>45.3573151020408</v>
      </c>
      <c r="D60" t="str">
        <f t="shared" si="2"/>
        <v>-75.6538102040816</v>
      </c>
      <c r="E60" t="str">
        <f t="shared" si="3"/>
        <v>613-733-1891</v>
      </c>
      <c r="F60" t="str">
        <f t="shared" si="4"/>
        <v>K1V 1J5</v>
      </c>
      <c r="G60" t="str">
        <f t="shared" si="5"/>
        <v>[ "The Source", 45.3573151020408, -75.6538102040816, '613-733-1891', 'K1V 1J5'],</v>
      </c>
      <c r="H60" t="s">
        <v>968</v>
      </c>
    </row>
    <row r="61" spans="1:8" x14ac:dyDescent="0.2">
      <c r="A61" t="s">
        <v>65</v>
      </c>
      <c r="B61" t="str">
        <f t="shared" si="0"/>
        <v>Canadian Tire</v>
      </c>
      <c r="C61" t="str">
        <f t="shared" si="1"/>
        <v>45.27155</v>
      </c>
      <c r="D61" t="str">
        <f t="shared" si="2"/>
        <v>-75.74702</v>
      </c>
      <c r="E61" t="str">
        <f t="shared" si="3"/>
        <v>613-823-5278</v>
      </c>
      <c r="F61" t="str">
        <f t="shared" si="4"/>
        <v>K2J 4Y6</v>
      </c>
      <c r="G61" t="str">
        <f t="shared" si="5"/>
        <v>[ "Canadian Tire", 45.27155, -75.74702, '613-823-5278', 'K2J 4Y6'],</v>
      </c>
      <c r="H61" t="s">
        <v>938</v>
      </c>
    </row>
    <row r="62" spans="1:8" x14ac:dyDescent="0.2">
      <c r="A62" t="s">
        <v>66</v>
      </c>
      <c r="B62" t="str">
        <f t="shared" si="0"/>
        <v>Staples</v>
      </c>
      <c r="C62" t="str">
        <f t="shared" si="1"/>
        <v>45.0301839</v>
      </c>
      <c r="D62" t="str">
        <f t="shared" si="2"/>
        <v>-75.6314132</v>
      </c>
      <c r="E62" t="str">
        <f t="shared" si="3"/>
        <v>613-258-5900</v>
      </c>
      <c r="F62" t="str">
        <f t="shared" si="4"/>
        <v>K0G 1J0</v>
      </c>
      <c r="G62" t="str">
        <f t="shared" si="5"/>
        <v>[ "Staples", 45.0301839, -75.6314132, '613-258-5900', 'K0G 1J0'],</v>
      </c>
      <c r="H62" t="s">
        <v>986</v>
      </c>
    </row>
    <row r="63" spans="1:8" x14ac:dyDescent="0.2">
      <c r="A63" t="s">
        <v>67</v>
      </c>
      <c r="B63" t="str">
        <f t="shared" si="0"/>
        <v>Home Depot</v>
      </c>
      <c r="C63" t="str">
        <f t="shared" si="1"/>
        <v>45.2686323504802</v>
      </c>
      <c r="D63" t="str">
        <f t="shared" si="2"/>
        <v>-75.7511639463902</v>
      </c>
      <c r="E63" t="str">
        <f t="shared" si="3"/>
        <v>613-843-7900</v>
      </c>
      <c r="F63" t="str">
        <f t="shared" si="4"/>
        <v>K2J 5M4</v>
      </c>
      <c r="G63" t="str">
        <f t="shared" si="5"/>
        <v>[ "Home Depot", 45.2686323504802, -75.7511639463902, '613-843-7900', 'K2J 5M4'],</v>
      </c>
      <c r="H63" t="s">
        <v>937</v>
      </c>
    </row>
    <row r="64" spans="1:8" x14ac:dyDescent="0.2">
      <c r="A64" t="s">
        <v>68</v>
      </c>
      <c r="B64" t="str">
        <f t="shared" si="0"/>
        <v>Best Buy Canada</v>
      </c>
      <c r="C64" t="str">
        <f t="shared" si="1"/>
        <v>45.2686415669868</v>
      </c>
      <c r="D64" t="str">
        <f t="shared" si="2"/>
        <v>-75.7511392975935</v>
      </c>
      <c r="E64" t="str">
        <f t="shared" si="3"/>
        <v>613-843-5625</v>
      </c>
      <c r="F64" t="str">
        <f t="shared" si="4"/>
        <v>K2J 4B1</v>
      </c>
      <c r="G64" t="str">
        <f t="shared" si="5"/>
        <v>[ "Best Buy Canada", 45.2686415669868, -75.7511392975935, '613-843-5625', 'K2J 4B1'],</v>
      </c>
      <c r="H64" t="s">
        <v>936</v>
      </c>
    </row>
    <row r="65" spans="1:8" x14ac:dyDescent="0.2">
      <c r="A65" t="s">
        <v>69</v>
      </c>
      <c r="B65" t="str">
        <f t="shared" ref="B65:B128" si="6">MID(A65,SEARCH("name"&amp;CHAR(34)&amp;":"&amp;CHAR(34),A65)+7,SEARCH(CHAR(34)&amp;", "&amp;CHAR(34)&amp;"locationlinkurl",A65)-SEARCH("name"&amp;CHAR(34)&amp;":"&amp;CHAR(34),A65)-7)</f>
        <v>Princess Auto</v>
      </c>
      <c r="C65" t="str">
        <f t="shared" ref="C65:C128" si="7">MID(A65,SEARCH(CHAR(34)&amp;"latitude"&amp;CHAR(34)&amp;":"&amp;CHAR(34),A65)+12,SEARCH(CHAR(34)&amp;", "&amp;CHAR(34)&amp;"url"&amp;CHAR(34),A65)-SEARCH(CHAR(34)&amp;"latitude"&amp;CHAR(34)&amp;":"&amp;CHAR(34),A65)-12)</f>
        <v>45.3843547110849</v>
      </c>
      <c r="D65" t="str">
        <f t="shared" ref="D65:D128" si="8">MID(A65,SEARCH(CHAR(34)&amp;"longitude"&amp;CHAR(34)&amp;":"&amp;CHAR(34),A65)+13,SEARCH(CHAR(34)&amp;", "&amp;CHAR(34)&amp;"uid"&amp;CHAR(34),A65)-SEARCH(CHAR(34)&amp;"longitude"&amp;CHAR(34)&amp;":"&amp;CHAR(34),A65)-13)</f>
        <v>-75.6101776002356</v>
      </c>
      <c r="E65" t="str">
        <f t="shared" ref="E65:E128" si="9">MID(A65,SEARCH(CHAR(34)&amp;"phone"&amp;CHAR(34)&amp;":"&amp;CHAR(34),A65)+9,SEARCH(CHAR(34)&amp;", "&amp;CHAR(34)&amp;"address2"&amp;CHAR(34),A65)-SEARCH(CHAR(34)&amp;"phone"&amp;CHAR(34)&amp;":"&amp;CHAR(34),A65)-9)</f>
        <v>613-247-1657</v>
      </c>
      <c r="F65" t="str">
        <f t="shared" ref="F65:F128" si="10">MID(A65,SEARCH(CHAR(34)&amp;"postalcode"&amp;CHAR(34)&amp;":"&amp;CHAR(34),A65)+14,SEARCH(CHAR(34)&amp;", "&amp;CHAR(34)&amp;"province"&amp;CHAR(34),A65)-SEARCH(CHAR(34)&amp;"postalcode"&amp;CHAR(34)&amp;":"&amp;CHAR(34),A65)-14)</f>
        <v>K1G 6L3</v>
      </c>
      <c r="G65" t="str">
        <f t="shared" ref="G65:G128" si="11">"[ "&amp;CHAR(34)&amp;B65&amp;CHAR(34)&amp;", "&amp;C65&amp;", "&amp;D65&amp;", '"&amp;E65&amp;"', '"&amp;F65&amp;"'],"</f>
        <v>[ "Princess Auto", 45.3843547110849, -75.6101776002356, '613-247-1657', 'K1G 6L3'],</v>
      </c>
      <c r="H65" t="s">
        <v>987</v>
      </c>
    </row>
    <row r="66" spans="1:8" x14ac:dyDescent="0.2">
      <c r="A66" t="s">
        <v>70</v>
      </c>
      <c r="B66" t="str">
        <f t="shared" si="6"/>
        <v>Home Depot</v>
      </c>
      <c r="C66" t="str">
        <f t="shared" si="7"/>
        <v>45.3633490771332</v>
      </c>
      <c r="D66" t="str">
        <f t="shared" si="8"/>
        <v>-75.658896395124</v>
      </c>
      <c r="E66" t="str">
        <f t="shared" si="9"/>
        <v>613-739-5300</v>
      </c>
      <c r="F66" t="str">
        <f t="shared" si="10"/>
        <v>K1V 7Z8</v>
      </c>
      <c r="G66" t="str">
        <f t="shared" si="11"/>
        <v>[ "Home Depot", 45.3633490771332, -75.658896395124, '613-739-5300', 'K1V 7Z8'],</v>
      </c>
      <c r="H66" t="s">
        <v>970</v>
      </c>
    </row>
    <row r="67" spans="1:8" x14ac:dyDescent="0.2">
      <c r="A67" t="s">
        <v>71</v>
      </c>
      <c r="B67" t="str">
        <f t="shared" si="6"/>
        <v>Interstate Batteries of Ont</v>
      </c>
      <c r="C67" t="str">
        <f t="shared" si="7"/>
        <v>45.3247075</v>
      </c>
      <c r="D67" t="str">
        <f t="shared" si="8"/>
        <v>-75.71596875</v>
      </c>
      <c r="E67" t="str">
        <f t="shared" si="9"/>
        <v>613-798-9700</v>
      </c>
      <c r="F67" t="str">
        <f t="shared" si="10"/>
        <v>K2E 6V4</v>
      </c>
      <c r="G67" t="str">
        <f t="shared" si="11"/>
        <v>[ "Interstate Batteries of Ont", 45.3247075, -75.71596875, '613-798-9700', 'K2E 6V4'],</v>
      </c>
      <c r="H67" t="s">
        <v>948</v>
      </c>
    </row>
    <row r="68" spans="1:8" x14ac:dyDescent="0.2">
      <c r="A68" t="s">
        <v>73</v>
      </c>
      <c r="B68" t="str">
        <f t="shared" si="6"/>
        <v>Canadian Tire</v>
      </c>
      <c r="C68" t="str">
        <f t="shared" si="7"/>
        <v>45.3048483</v>
      </c>
      <c r="D68" t="str">
        <f t="shared" si="8"/>
        <v>-75.0842176</v>
      </c>
      <c r="E68" t="str">
        <f t="shared" si="9"/>
        <v>613-764-0401</v>
      </c>
      <c r="F68" t="str">
        <f t="shared" si="10"/>
        <v>K0A 1M0</v>
      </c>
      <c r="G68" t="str">
        <f t="shared" si="11"/>
        <v>[ "Canadian Tire", 45.3048483, -75.0842176, '613-764-0401', 'K0A 1M0'],</v>
      </c>
      <c r="H68" t="s">
        <v>988</v>
      </c>
    </row>
    <row r="69" spans="1:8" x14ac:dyDescent="0.2">
      <c r="A69" t="s">
        <v>74</v>
      </c>
      <c r="B69" t="str">
        <f t="shared" si="6"/>
        <v>The Source</v>
      </c>
      <c r="C69" t="str">
        <f t="shared" si="7"/>
        <v>45.30585</v>
      </c>
      <c r="D69" t="str">
        <f t="shared" si="8"/>
        <v>-75.08342</v>
      </c>
      <c r="E69" t="str">
        <f t="shared" si="9"/>
        <v>613-764-2023</v>
      </c>
      <c r="F69" t="str">
        <f t="shared" si="10"/>
        <v>K0A 1M0</v>
      </c>
      <c r="G69" t="str">
        <f t="shared" si="11"/>
        <v>[ "The Source", 45.30585, -75.08342, '613-764-2023', 'K0A 1M0'],</v>
      </c>
      <c r="H69" t="s">
        <v>989</v>
      </c>
    </row>
    <row r="70" spans="1:8" x14ac:dyDescent="0.2">
      <c r="A70" t="s">
        <v>75</v>
      </c>
      <c r="B70" t="str">
        <f t="shared" si="6"/>
        <v>Jean Coutu</v>
      </c>
      <c r="C70" t="str">
        <f t="shared" si="7"/>
        <v>45.32124</v>
      </c>
      <c r="D70" t="str">
        <f t="shared" si="8"/>
        <v>-75.10929</v>
      </c>
      <c r="E70" t="str">
        <f t="shared" si="9"/>
        <v>613-764-5455</v>
      </c>
      <c r="F70" t="str">
        <f t="shared" si="10"/>
        <v>K0A 1M0</v>
      </c>
      <c r="G70" t="str">
        <f t="shared" si="11"/>
        <v>[ "Jean Coutu", 45.32124, -75.10929, '613-764-5455', 'K0A 1M0'],</v>
      </c>
      <c r="H70" t="s">
        <v>990</v>
      </c>
    </row>
    <row r="71" spans="1:8" x14ac:dyDescent="0.2">
      <c r="A71" t="s">
        <v>76</v>
      </c>
      <c r="B71" t="str">
        <f t="shared" si="6"/>
        <v>The Source</v>
      </c>
      <c r="C71" t="str">
        <f t="shared" si="7"/>
        <v>45.26869</v>
      </c>
      <c r="D71" t="str">
        <f t="shared" si="8"/>
        <v>-75.29589</v>
      </c>
      <c r="E71" t="str">
        <f t="shared" si="9"/>
        <v>613-443-5642</v>
      </c>
      <c r="F71" t="str">
        <f t="shared" si="10"/>
        <v>K0A 1W1</v>
      </c>
      <c r="G71" t="str">
        <f t="shared" si="11"/>
        <v>[ "The Source", 45.26869, -75.29589, '613-443-5642', 'K0A 1W1'],</v>
      </c>
      <c r="H71" t="s">
        <v>984</v>
      </c>
    </row>
    <row r="72" spans="1:8" x14ac:dyDescent="0.2">
      <c r="A72" t="s">
        <v>77</v>
      </c>
      <c r="B72" t="str">
        <f t="shared" si="6"/>
        <v>Township of Russell</v>
      </c>
      <c r="C72" t="str">
        <f t="shared" si="7"/>
        <v>45.2672597504255</v>
      </c>
      <c r="D72" t="str">
        <f t="shared" si="8"/>
        <v>-75.3059172717022</v>
      </c>
      <c r="E72" t="str">
        <f t="shared" si="9"/>
        <v>613-443-3066</v>
      </c>
      <c r="F72" t="str">
        <f t="shared" si="10"/>
        <v>K0A 1W1</v>
      </c>
      <c r="G72" t="str">
        <f t="shared" si="11"/>
        <v>[ "Township of Russell", 45.2672597504255, -75.3059172717022, '613-443-3066', 'K0A 1W1'],</v>
      </c>
      <c r="H72" t="s">
        <v>983</v>
      </c>
    </row>
    <row r="73" spans="1:8" x14ac:dyDescent="0.2">
      <c r="A73" t="s">
        <v>79</v>
      </c>
      <c r="B73" t="str">
        <f t="shared" si="6"/>
        <v>Christie and Walther</v>
      </c>
      <c r="C73" t="str">
        <f t="shared" si="7"/>
        <v>44.6217044</v>
      </c>
      <c r="D73" t="str">
        <f t="shared" si="8"/>
        <v>-75.7652559</v>
      </c>
      <c r="E73" t="str">
        <f t="shared" si="9"/>
        <v>613-342-6005</v>
      </c>
      <c r="F73" t="str">
        <f t="shared" si="10"/>
        <v>K6T 1A8</v>
      </c>
      <c r="G73" t="str">
        <f t="shared" si="11"/>
        <v>[ "Christie and Walther", 44.6217044, -75.7652559, '613-342-6005', 'K6T 1A8'],</v>
      </c>
      <c r="H73" t="s">
        <v>991</v>
      </c>
    </row>
    <row r="74" spans="1:8" x14ac:dyDescent="0.2">
      <c r="A74" t="s">
        <v>80</v>
      </c>
      <c r="B74" t="str">
        <f t="shared" si="6"/>
        <v>RONA</v>
      </c>
      <c r="C74" t="str">
        <f t="shared" si="7"/>
        <v>44.6032662</v>
      </c>
      <c r="D74" t="str">
        <f t="shared" si="8"/>
        <v>-75.7139239</v>
      </c>
      <c r="E74" t="str">
        <f t="shared" si="9"/>
        <v>613-342-8714</v>
      </c>
      <c r="F74" t="str">
        <f t="shared" si="10"/>
        <v>K6V 7H2</v>
      </c>
      <c r="G74" t="str">
        <f t="shared" si="11"/>
        <v>[ "RONA", 44.6032662, -75.7139239, '613-342-8714', 'K6V 7H2'],</v>
      </c>
      <c r="H74" t="s">
        <v>992</v>
      </c>
    </row>
    <row r="75" spans="1:8" x14ac:dyDescent="0.2">
      <c r="A75" t="s">
        <v>81</v>
      </c>
      <c r="B75" t="str">
        <f t="shared" si="6"/>
        <v>The Source</v>
      </c>
      <c r="C75" t="str">
        <f t="shared" si="7"/>
        <v>44.60479</v>
      </c>
      <c r="D75" t="str">
        <f t="shared" si="8"/>
        <v>-75.69913</v>
      </c>
      <c r="E75" t="str">
        <f t="shared" si="9"/>
        <v>613-342-8298</v>
      </c>
      <c r="F75" t="str">
        <f t="shared" si="10"/>
        <v>K6V 3G9</v>
      </c>
      <c r="G75" t="str">
        <f t="shared" si="11"/>
        <v>[ "The Source", 44.60479, -75.69913, '613-342-8298', 'K6V 3G9'],</v>
      </c>
      <c r="H75" t="s">
        <v>993</v>
      </c>
    </row>
    <row r="76" spans="1:8" x14ac:dyDescent="0.2">
      <c r="A76" t="s">
        <v>82</v>
      </c>
      <c r="B76" t="str">
        <f t="shared" si="6"/>
        <v>Staples</v>
      </c>
      <c r="C76" t="str">
        <f t="shared" si="7"/>
        <v>44.6040935</v>
      </c>
      <c r="D76" t="str">
        <f t="shared" si="8"/>
        <v>-75.6989553</v>
      </c>
      <c r="E76" t="str">
        <f t="shared" si="9"/>
        <v>613-498-2616</v>
      </c>
      <c r="F76" t="str">
        <f t="shared" si="10"/>
        <v>K6V 3G9</v>
      </c>
      <c r="G76" t="str">
        <f t="shared" si="11"/>
        <v>[ "Staples", 44.6040935, -75.6989553, '613-498-2616', 'K6V 3G9'],</v>
      </c>
      <c r="H76" t="s">
        <v>994</v>
      </c>
    </row>
    <row r="77" spans="1:8" x14ac:dyDescent="0.2">
      <c r="A77" t="s">
        <v>83</v>
      </c>
      <c r="B77" t="str">
        <f t="shared" si="6"/>
        <v>Home Depot</v>
      </c>
      <c r="C77" t="str">
        <f t="shared" si="7"/>
        <v>44.6107622222222</v>
      </c>
      <c r="D77" t="str">
        <f t="shared" si="8"/>
        <v>-75.690042962963</v>
      </c>
      <c r="E77" t="str">
        <f t="shared" si="9"/>
        <v>613-498-9600</v>
      </c>
      <c r="F77" t="str">
        <f t="shared" si="10"/>
        <v>K6V 5T2</v>
      </c>
      <c r="G77" t="str">
        <f t="shared" si="11"/>
        <v>[ "Home Depot", 44.6107622222222, -75.690042962963, '613-498-9600', 'K6V 5T2'],</v>
      </c>
      <c r="H77" t="s">
        <v>995</v>
      </c>
    </row>
    <row r="78" spans="1:8" x14ac:dyDescent="0.2">
      <c r="A78" t="s">
        <v>84</v>
      </c>
      <c r="B78" t="str">
        <f t="shared" si="6"/>
        <v>ListenUp! Canada</v>
      </c>
      <c r="C78" t="str">
        <f t="shared" si="7"/>
        <v>44.59284</v>
      </c>
      <c r="D78" t="str">
        <f t="shared" si="8"/>
        <v>-75.68881</v>
      </c>
      <c r="E78" t="str">
        <f t="shared" si="9"/>
        <v>613-342-7821</v>
      </c>
      <c r="F78" t="str">
        <f t="shared" si="10"/>
        <v>K6V 4V5</v>
      </c>
      <c r="G78" t="str">
        <f t="shared" si="11"/>
        <v>[ "ListenUp! Canada", 44.59284, -75.68881, '613-342-7821', 'K6V 4V5'],</v>
      </c>
      <c r="H78" t="s">
        <v>996</v>
      </c>
    </row>
    <row r="79" spans="1:8" x14ac:dyDescent="0.2">
      <c r="A79" t="s">
        <v>86</v>
      </c>
      <c r="B79" t="str">
        <f t="shared" si="6"/>
        <v>Kingston Area Recycling Centre</v>
      </c>
      <c r="C79" t="str">
        <f t="shared" si="7"/>
        <v>44.2641926530612</v>
      </c>
      <c r="D79" t="str">
        <f t="shared" si="8"/>
        <v>-76.5095706122449</v>
      </c>
      <c r="E79" t="str">
        <f t="shared" si="9"/>
        <v>613-546-4291</v>
      </c>
      <c r="F79" t="str">
        <f t="shared" si="10"/>
        <v>K7K 6Z4</v>
      </c>
      <c r="G79" t="str">
        <f t="shared" si="11"/>
        <v>[ "Kingston Area Recycling Centre", 44.2641926530612, -76.5095706122449, '613-546-4291', 'K7K 6Z4'],</v>
      </c>
      <c r="H79" t="s">
        <v>997</v>
      </c>
    </row>
    <row r="80" spans="1:8" x14ac:dyDescent="0.2">
      <c r="A80" t="s">
        <v>87</v>
      </c>
      <c r="B80" t="str">
        <f t="shared" si="6"/>
        <v>Christie and Walther</v>
      </c>
      <c r="C80" t="str">
        <f t="shared" si="7"/>
        <v>44.2742812222652</v>
      </c>
      <c r="D80" t="str">
        <f t="shared" si="8"/>
        <v>-76.5654773740755</v>
      </c>
      <c r="E80" t="str">
        <f t="shared" si="9"/>
        <v>613-634-3636</v>
      </c>
      <c r="F80" t="str">
        <f t="shared" si="10"/>
        <v>K7P 2T4</v>
      </c>
      <c r="G80" t="str">
        <f t="shared" si="11"/>
        <v>[ "Christie and Walther", 44.2742812222652, -76.5654773740755, '613-634-3636', 'K7P 2T4'],</v>
      </c>
      <c r="H80" t="s">
        <v>998</v>
      </c>
    </row>
    <row r="81" spans="1:8" x14ac:dyDescent="0.2">
      <c r="A81" t="s">
        <v>88</v>
      </c>
      <c r="B81" t="str">
        <f t="shared" si="6"/>
        <v>RONA</v>
      </c>
      <c r="C81" t="str">
        <f t="shared" si="7"/>
        <v>44.2581559259259</v>
      </c>
      <c r="D81" t="str">
        <f t="shared" si="8"/>
        <v>-76.5518459259259</v>
      </c>
      <c r="E81" t="str">
        <f t="shared" si="9"/>
        <v>613-531-6225</v>
      </c>
      <c r="F81" t="str">
        <f t="shared" si="10"/>
        <v>K7M 3G4</v>
      </c>
      <c r="G81" t="str">
        <f t="shared" si="11"/>
        <v>[ "RONA", 44.2581559259259, -76.5518459259259, '613-531-6225', 'K7M 3G4'],</v>
      </c>
      <c r="H81" t="s">
        <v>999</v>
      </c>
    </row>
    <row r="82" spans="1:8" x14ac:dyDescent="0.2">
      <c r="A82" t="s">
        <v>89</v>
      </c>
      <c r="B82" t="str">
        <f t="shared" si="6"/>
        <v>Princess Auto</v>
      </c>
      <c r="C82" t="str">
        <f t="shared" si="7"/>
        <v>44.2617269559147</v>
      </c>
      <c r="D82" t="str">
        <f t="shared" si="8"/>
        <v>-76.559581905584</v>
      </c>
      <c r="E82" t="str">
        <f t="shared" si="9"/>
        <v>613-530-3790</v>
      </c>
      <c r="F82" t="str">
        <f t="shared" si="10"/>
        <v>K7P 2S5</v>
      </c>
      <c r="G82" t="str">
        <f t="shared" si="11"/>
        <v>[ "Princess Auto", 44.2617269559147, -76.559581905584, '613-530-3790', 'K7P 2S5'],</v>
      </c>
      <c r="H82" t="s">
        <v>1000</v>
      </c>
    </row>
    <row r="83" spans="1:8" x14ac:dyDescent="0.2">
      <c r="A83" t="s">
        <v>90</v>
      </c>
      <c r="B83" t="str">
        <f t="shared" si="6"/>
        <v>Staples</v>
      </c>
      <c r="C83" t="str">
        <f t="shared" si="7"/>
        <v>44.23259</v>
      </c>
      <c r="D83" t="str">
        <f t="shared" si="8"/>
        <v>-76.4832707142857</v>
      </c>
      <c r="E83" t="str">
        <f t="shared" si="9"/>
        <v>613-542-3585</v>
      </c>
      <c r="F83" t="str">
        <f t="shared" si="10"/>
        <v>K7K 1A5</v>
      </c>
      <c r="G83" t="str">
        <f t="shared" si="11"/>
        <v>[ "Staples", 44.23259, -76.4832707142857, '613-542-3585', 'K7K 1A5'],</v>
      </c>
      <c r="H83" t="s">
        <v>1001</v>
      </c>
    </row>
    <row r="84" spans="1:8" x14ac:dyDescent="0.2">
      <c r="A84" t="s">
        <v>91</v>
      </c>
      <c r="B84" t="str">
        <f t="shared" si="6"/>
        <v>Canadian Tire</v>
      </c>
      <c r="C84" t="str">
        <f t="shared" si="7"/>
        <v>44.337385</v>
      </c>
      <c r="D84" t="str">
        <f t="shared" si="8"/>
        <v>-76.1504239285714</v>
      </c>
      <c r="E84" t="str">
        <f t="shared" si="9"/>
        <v>613-382-3729</v>
      </c>
      <c r="F84" t="str">
        <f t="shared" si="10"/>
        <v>K7G 1H4</v>
      </c>
      <c r="G84" t="str">
        <f t="shared" si="11"/>
        <v>[ "Canadian Tire", 44.337385, -76.1504239285714, '613-382-3729', 'K7G 1H4'],</v>
      </c>
      <c r="H84" t="s">
        <v>1002</v>
      </c>
    </row>
    <row r="85" spans="1:8" x14ac:dyDescent="0.2">
      <c r="A85" t="s">
        <v>92</v>
      </c>
      <c r="B85" t="str">
        <f t="shared" si="6"/>
        <v>ListenUp! Canada</v>
      </c>
      <c r="C85" t="str">
        <f t="shared" si="7"/>
        <v>44.230993125</v>
      </c>
      <c r="D85" t="str">
        <f t="shared" si="8"/>
        <v>-76.485105</v>
      </c>
      <c r="E85" t="str">
        <f t="shared" si="9"/>
        <v>613-546-2250</v>
      </c>
      <c r="F85" t="str">
        <f t="shared" si="10"/>
        <v>K7L 2N7</v>
      </c>
      <c r="G85" t="str">
        <f t="shared" si="11"/>
        <v>[ "ListenUp! Canada", 44.230993125, -76.485105, '613-546-2250', 'K7L 2N7'],</v>
      </c>
      <c r="H85" t="s">
        <v>1003</v>
      </c>
    </row>
    <row r="86" spans="1:8" x14ac:dyDescent="0.2">
      <c r="A86" t="s">
        <v>93</v>
      </c>
      <c r="B86" t="str">
        <f t="shared" si="6"/>
        <v>Lowes</v>
      </c>
      <c r="C86" t="str">
        <f t="shared" si="7"/>
        <v>44.261456779661</v>
      </c>
      <c r="D86" t="str">
        <f t="shared" si="8"/>
        <v>-76.5688013559322</v>
      </c>
      <c r="E86" t="str">
        <f t="shared" si="9"/>
        <v>613-634-5410</v>
      </c>
      <c r="F86" t="str">
        <f t="shared" si="10"/>
        <v>K7P 0G1</v>
      </c>
      <c r="G86" t="str">
        <f t="shared" si="11"/>
        <v>[ "Lowes", 44.261456779661, -76.5688013559322, '613-634-5410', 'K7P 0G1'],</v>
      </c>
      <c r="H86" t="s">
        <v>1004</v>
      </c>
    </row>
    <row r="87" spans="1:8" x14ac:dyDescent="0.2">
      <c r="A87" t="s">
        <v>94</v>
      </c>
      <c r="B87" t="str">
        <f t="shared" si="6"/>
        <v>Fastenal</v>
      </c>
      <c r="C87" t="str">
        <f t="shared" si="7"/>
        <v>44.25836</v>
      </c>
      <c r="D87" t="str">
        <f t="shared" si="8"/>
        <v>-76.56869</v>
      </c>
      <c r="E87" t="str">
        <f t="shared" si="9"/>
        <v>613-389-3968</v>
      </c>
      <c r="F87" t="str">
        <f t="shared" si="10"/>
        <v>K7P 0G3</v>
      </c>
      <c r="G87" t="str">
        <f t="shared" si="11"/>
        <v>[ "Fastenal", 44.25836, -76.56869, '613-389-3968', 'K7P 0G3'],</v>
      </c>
      <c r="H87" t="s">
        <v>1005</v>
      </c>
    </row>
    <row r="88" spans="1:8" x14ac:dyDescent="0.2">
      <c r="A88" t="s">
        <v>95</v>
      </c>
      <c r="B88" t="str">
        <f t="shared" si="6"/>
        <v>The Source</v>
      </c>
      <c r="C88" t="str">
        <f t="shared" si="7"/>
        <v>44.2564347058824</v>
      </c>
      <c r="D88" t="str">
        <f t="shared" si="8"/>
        <v>-76.5687373529412</v>
      </c>
      <c r="E88" t="str">
        <f t="shared" si="9"/>
        <v>613-389-8201</v>
      </c>
      <c r="F88" t="str">
        <f t="shared" si="10"/>
        <v>K7M 7H4</v>
      </c>
      <c r="G88" t="str">
        <f t="shared" si="11"/>
        <v>[ "The Source", 44.2564347058824, -76.5687373529412, '613-389-8201', 'K7M 7H4'],</v>
      </c>
      <c r="H88" t="s">
        <v>1006</v>
      </c>
    </row>
    <row r="89" spans="1:8" x14ac:dyDescent="0.2">
      <c r="A89" t="s">
        <v>96</v>
      </c>
      <c r="B89" t="str">
        <f t="shared" si="6"/>
        <v>Hock Shop Canada</v>
      </c>
      <c r="C89" t="str">
        <f t="shared" si="7"/>
        <v>44.23799</v>
      </c>
      <c r="D89" t="str">
        <f t="shared" si="8"/>
        <v>-76.54389</v>
      </c>
      <c r="E89" t="str">
        <f t="shared" si="9"/>
        <v>613-766-1577</v>
      </c>
      <c r="F89" t="str">
        <f t="shared" si="10"/>
        <v>K7M 4X4</v>
      </c>
      <c r="G89" t="str">
        <f t="shared" si="11"/>
        <v>[ "Hock Shop Canada", 44.23799, -76.54389, '613-766-1577', 'K7M 4X4'],</v>
      </c>
      <c r="H89" t="s">
        <v>1007</v>
      </c>
    </row>
    <row r="90" spans="1:8" x14ac:dyDescent="0.2">
      <c r="A90" t="s">
        <v>97</v>
      </c>
      <c r="B90" t="str">
        <f t="shared" si="6"/>
        <v>ListenUp! Canada</v>
      </c>
      <c r="C90" t="str">
        <f t="shared" si="7"/>
        <v>44.2509278198464</v>
      </c>
      <c r="D90" t="str">
        <f t="shared" si="8"/>
        <v>-76.5710049038168</v>
      </c>
      <c r="E90" t="str">
        <f t="shared" si="9"/>
        <v>613-634-0304</v>
      </c>
      <c r="F90" t="str">
        <f t="shared" si="10"/>
        <v>K7P 2N7</v>
      </c>
      <c r="G90" t="str">
        <f t="shared" si="11"/>
        <v>[ "ListenUp! Canada", 44.2509278198464, -76.5710049038168, '613-634-0304', 'K7P 2N7'],</v>
      </c>
      <c r="H90" t="s">
        <v>1008</v>
      </c>
    </row>
    <row r="91" spans="1:8" x14ac:dyDescent="0.2">
      <c r="A91" t="s">
        <v>98</v>
      </c>
      <c r="B91" t="str">
        <f t="shared" si="6"/>
        <v>Staples</v>
      </c>
      <c r="C91" t="str">
        <f t="shared" si="7"/>
        <v>44.2426689227649</v>
      </c>
      <c r="D91" t="str">
        <f t="shared" si="8"/>
        <v>-76.5678108991268</v>
      </c>
      <c r="E91" t="str">
        <f t="shared" si="9"/>
        <v>613-634-2112</v>
      </c>
      <c r="F91" t="str">
        <f t="shared" si="10"/>
        <v>K7M 9B8</v>
      </c>
      <c r="G91" t="str">
        <f t="shared" si="11"/>
        <v>[ "Staples", 44.2426689227649, -76.5678108991268, '613-634-2112', 'K7M 9B8'],</v>
      </c>
      <c r="H91" t="s">
        <v>1009</v>
      </c>
    </row>
    <row r="92" spans="1:8" x14ac:dyDescent="0.2">
      <c r="A92" t="s">
        <v>99</v>
      </c>
      <c r="B92" t="str">
        <f t="shared" si="6"/>
        <v>Home Depot</v>
      </c>
      <c r="C92" t="str">
        <f t="shared" si="7"/>
        <v>44.2421917434511</v>
      </c>
      <c r="D92" t="str">
        <f t="shared" si="8"/>
        <v>-76.5677826218341</v>
      </c>
      <c r="E92" t="str">
        <f t="shared" si="9"/>
        <v>613-384-3511</v>
      </c>
      <c r="F92" t="str">
        <f t="shared" si="10"/>
        <v>K7M 3X9</v>
      </c>
      <c r="G92" t="str">
        <f t="shared" si="11"/>
        <v>[ "Home Depot", 44.2421917434511, -76.5677826218341, '613-384-3511', 'K7M 3X9'],</v>
      </c>
      <c r="H92" t="s">
        <v>1010</v>
      </c>
    </row>
    <row r="93" spans="1:8" x14ac:dyDescent="0.2">
      <c r="A93" t="s">
        <v>100</v>
      </c>
      <c r="B93" t="str">
        <f t="shared" si="6"/>
        <v>United Rentals</v>
      </c>
      <c r="C93" t="str">
        <f t="shared" si="7"/>
        <v>44.2416552182819</v>
      </c>
      <c r="D93" t="str">
        <f t="shared" si="8"/>
        <v>-76.5713681266807</v>
      </c>
      <c r="E93" t="str">
        <f t="shared" si="9"/>
        <v>613-389-5211</v>
      </c>
      <c r="F93" t="str">
        <f t="shared" si="10"/>
        <v>K7M 4W7</v>
      </c>
      <c r="G93" t="str">
        <f t="shared" si="11"/>
        <v>[ "United Rentals", 44.2416552182819, -76.5713681266807, '613-389-5211', 'K7M 4W7'],</v>
      </c>
      <c r="H93" t="s">
        <v>1011</v>
      </c>
    </row>
    <row r="94" spans="1:8" x14ac:dyDescent="0.2">
      <c r="A94" t="s">
        <v>102</v>
      </c>
      <c r="B94" t="str">
        <f t="shared" si="6"/>
        <v>ListenUp! Canada</v>
      </c>
      <c r="C94" t="str">
        <f t="shared" si="7"/>
        <v>44.24091</v>
      </c>
      <c r="D94" t="str">
        <f t="shared" si="8"/>
        <v>-76.96616</v>
      </c>
      <c r="E94" t="str">
        <f t="shared" si="9"/>
        <v>613-354-7000</v>
      </c>
      <c r="F94" t="str">
        <f t="shared" si="10"/>
        <v>K7R 3V3</v>
      </c>
      <c r="G94" t="str">
        <f t="shared" si="11"/>
        <v>[ "ListenUp! Canada", 44.24091, -76.96616, '613-354-7000', 'K7R 3V3'],</v>
      </c>
      <c r="H94" t="s">
        <v>1012</v>
      </c>
    </row>
    <row r="95" spans="1:8" x14ac:dyDescent="0.2">
      <c r="A95" t="s">
        <v>103</v>
      </c>
      <c r="B95" t="str">
        <f t="shared" si="6"/>
        <v>The Source</v>
      </c>
      <c r="C95" t="str">
        <f t="shared" si="7"/>
        <v>44.2594669387755</v>
      </c>
      <c r="D95" t="str">
        <f t="shared" si="8"/>
        <v>-76.9696418367347</v>
      </c>
      <c r="E95" t="str">
        <f t="shared" si="9"/>
        <v>613-354-6366</v>
      </c>
      <c r="F95" t="str">
        <f t="shared" si="10"/>
        <v>K7R 3L2</v>
      </c>
      <c r="G95" t="str">
        <f t="shared" si="11"/>
        <v>[ "The Source", 44.2594669387755, -76.9696418367347, '613-354-6366', 'K7R 3L2'],</v>
      </c>
      <c r="H95" t="s">
        <v>1013</v>
      </c>
    </row>
    <row r="96" spans="1:8" x14ac:dyDescent="0.2">
      <c r="A96" t="s">
        <v>104</v>
      </c>
      <c r="B96" t="str">
        <f t="shared" si="6"/>
        <v>Foxboro Fasteners</v>
      </c>
      <c r="C96" t="str">
        <f t="shared" si="7"/>
        <v>44.2076483867091</v>
      </c>
      <c r="D96" t="str">
        <f t="shared" si="8"/>
        <v>-77.3954193747183</v>
      </c>
      <c r="E96" t="str">
        <f t="shared" si="9"/>
        <v>613-969-1933</v>
      </c>
      <c r="F96" t="str">
        <f t="shared" si="10"/>
        <v>K8N 4Z5</v>
      </c>
      <c r="G96" t="str">
        <f t="shared" si="11"/>
        <v>[ "Foxboro Fasteners", 44.2076483867091, -77.3954193747183, '613-969-1933', 'K8N 4Z5'],</v>
      </c>
      <c r="H96" t="s">
        <v>1014</v>
      </c>
    </row>
    <row r="97" spans="1:8" x14ac:dyDescent="0.2">
      <c r="A97" t="s">
        <v>105</v>
      </c>
      <c r="B97" t="str">
        <f t="shared" si="6"/>
        <v>Pharmasave</v>
      </c>
      <c r="C97" t="str">
        <f t="shared" si="7"/>
        <v>44.1844877777778</v>
      </c>
      <c r="D97" t="str">
        <f t="shared" si="8"/>
        <v>-77.3944644444445</v>
      </c>
      <c r="E97" t="str">
        <f t="shared" si="9"/>
        <v>613-962-4576</v>
      </c>
      <c r="F97" t="str">
        <f t="shared" si="10"/>
        <v>K8P 3C3</v>
      </c>
      <c r="G97" t="str">
        <f t="shared" si="11"/>
        <v>[ "Pharmasave", 44.1844877777778, -77.3944644444445, '613-962-4576', 'K8P 3C3'],</v>
      </c>
      <c r="H97" t="s">
        <v>1015</v>
      </c>
    </row>
    <row r="98" spans="1:8" x14ac:dyDescent="0.2">
      <c r="A98" t="s">
        <v>106</v>
      </c>
      <c r="B98" t="str">
        <f t="shared" si="6"/>
        <v>Newburgh Pharmacy</v>
      </c>
      <c r="C98" t="str">
        <f t="shared" si="7"/>
        <v>44.41552</v>
      </c>
      <c r="D98" t="str">
        <f t="shared" si="8"/>
        <v>-76.98359</v>
      </c>
      <c r="E98" t="str">
        <f t="shared" si="9"/>
        <v>613-378-2220</v>
      </c>
      <c r="F98" t="str">
        <f t="shared" si="10"/>
        <v>K0K 2S0</v>
      </c>
      <c r="G98" t="str">
        <f t="shared" si="11"/>
        <v>[ "Newburgh Pharmacy", 44.41552, -76.98359, '613-378-2220', 'K0K 2S0'],</v>
      </c>
      <c r="H98" t="s">
        <v>1016</v>
      </c>
    </row>
    <row r="99" spans="1:8" x14ac:dyDescent="0.2">
      <c r="A99" t="s">
        <v>107</v>
      </c>
      <c r="B99" t="str">
        <f t="shared" si="6"/>
        <v>Lowes</v>
      </c>
      <c r="C99" t="str">
        <f t="shared" si="7"/>
        <v>44.1957464158726</v>
      </c>
      <c r="D99" t="str">
        <f t="shared" si="8"/>
        <v>-77.400609762801</v>
      </c>
      <c r="E99" t="str">
        <f t="shared" si="9"/>
        <v>613-771-2945</v>
      </c>
      <c r="F99" t="str">
        <f t="shared" si="10"/>
        <v>K8N 4Z5</v>
      </c>
      <c r="G99" t="str">
        <f t="shared" si="11"/>
        <v>[ "Lowes", 44.1957464158726, -77.400609762801, '613-771-2945', 'K8N 4Z5'],</v>
      </c>
      <c r="H99" t="s">
        <v>1017</v>
      </c>
    </row>
    <row r="100" spans="1:8" x14ac:dyDescent="0.2">
      <c r="A100" t="s">
        <v>108</v>
      </c>
      <c r="B100" t="str">
        <f t="shared" si="6"/>
        <v>Staples</v>
      </c>
      <c r="C100" t="str">
        <f t="shared" si="7"/>
        <v>44.18638</v>
      </c>
      <c r="D100" t="str">
        <f t="shared" si="8"/>
        <v>-77.4044</v>
      </c>
      <c r="E100" t="str">
        <f t="shared" si="9"/>
        <v>613-961-7399</v>
      </c>
      <c r="F100" t="str">
        <f t="shared" si="10"/>
        <v>K8P 5L2</v>
      </c>
      <c r="G100" t="str">
        <f t="shared" si="11"/>
        <v>[ "Staples", 44.18638, -77.4044, '613-961-7399', 'K8P 5L2'],</v>
      </c>
      <c r="H100" t="s">
        <v>1018</v>
      </c>
    </row>
    <row r="101" spans="1:8" x14ac:dyDescent="0.2">
      <c r="A101" t="s">
        <v>110</v>
      </c>
      <c r="B101" t="str">
        <f t="shared" si="6"/>
        <v>RONA</v>
      </c>
      <c r="C101" t="str">
        <f t="shared" si="7"/>
        <v>44.13611</v>
      </c>
      <c r="D101" t="str">
        <f t="shared" si="8"/>
        <v>-77.58462</v>
      </c>
      <c r="E101" t="str">
        <f t="shared" si="9"/>
        <v>613-394-3351</v>
      </c>
      <c r="F101" t="str">
        <f t="shared" si="10"/>
        <v>K8V 5W6</v>
      </c>
      <c r="G101" t="str">
        <f t="shared" si="11"/>
        <v>[ "RONA", 44.13611, -77.58462, '613-394-3351', 'K8V 5W6'],</v>
      </c>
      <c r="H101" t="s">
        <v>1019</v>
      </c>
    </row>
    <row r="102" spans="1:8" x14ac:dyDescent="0.2">
      <c r="A102" t="s">
        <v>111</v>
      </c>
      <c r="B102" t="str">
        <f t="shared" si="6"/>
        <v>The Source</v>
      </c>
      <c r="C102" t="str">
        <f t="shared" si="7"/>
        <v>44.104645</v>
      </c>
      <c r="D102" t="str">
        <f t="shared" si="8"/>
        <v>-77.55904375</v>
      </c>
      <c r="E102" t="str">
        <f t="shared" si="9"/>
        <v>613-394-4253</v>
      </c>
      <c r="F102" t="str">
        <f t="shared" si="10"/>
        <v>K8V 5Z9</v>
      </c>
      <c r="G102" t="str">
        <f t="shared" si="11"/>
        <v>[ "The Source", 44.104645, -77.55904375, '613-394-4253', 'K8V 5Z9'],</v>
      </c>
      <c r="H102" t="s">
        <v>1020</v>
      </c>
    </row>
    <row r="103" spans="1:8" x14ac:dyDescent="0.2">
      <c r="A103" t="s">
        <v>112</v>
      </c>
      <c r="B103" t="str">
        <f t="shared" si="6"/>
        <v>RONA Campbellford</v>
      </c>
      <c r="C103" t="str">
        <f t="shared" si="7"/>
        <v>44.2890461052992</v>
      </c>
      <c r="D103" t="str">
        <f t="shared" si="8"/>
        <v>-77.8092744786324</v>
      </c>
      <c r="E103" t="str">
        <f t="shared" si="9"/>
        <v>705-653-1440</v>
      </c>
      <c r="F103" t="str">
        <f t="shared" si="10"/>
        <v>K0L 1L0</v>
      </c>
      <c r="G103" t="str">
        <f t="shared" si="11"/>
        <v>[ "RONA Campbellford", 44.2890461052992, -77.8092744786324, '705-653-1440', 'K0L 1L0'],</v>
      </c>
      <c r="H103" t="s">
        <v>1021</v>
      </c>
    </row>
    <row r="104" spans="1:8" x14ac:dyDescent="0.2">
      <c r="A104" t="s">
        <v>113</v>
      </c>
      <c r="B104" t="str">
        <f t="shared" si="6"/>
        <v>RONA</v>
      </c>
      <c r="C104" t="str">
        <f t="shared" si="7"/>
        <v>44.2918933333333</v>
      </c>
      <c r="D104" t="str">
        <f t="shared" si="8"/>
        <v>-77.5647533333333</v>
      </c>
      <c r="E104" t="str">
        <f t="shared" si="9"/>
        <v>613-395-3361</v>
      </c>
      <c r="F104" t="str">
        <f t="shared" si="10"/>
        <v>K0K 3E0</v>
      </c>
      <c r="G104" t="str">
        <f t="shared" si="11"/>
        <v>[ "RONA", 44.2918933333333, -77.5647533333333, '613-395-3361', 'K0K 3E0'],</v>
      </c>
      <c r="H104" t="s">
        <v>1022</v>
      </c>
    </row>
    <row r="105" spans="1:8" x14ac:dyDescent="0.2">
      <c r="A105" t="s">
        <v>114</v>
      </c>
      <c r="B105" t="str">
        <f t="shared" si="6"/>
        <v>ListenUp! Canada</v>
      </c>
      <c r="C105" t="str">
        <f t="shared" si="7"/>
        <v>43.96331</v>
      </c>
      <c r="D105" t="str">
        <f t="shared" si="8"/>
        <v>-78.29078</v>
      </c>
      <c r="E105" t="str">
        <f t="shared" si="9"/>
        <v>905-885-0759</v>
      </c>
      <c r="F105" t="str">
        <f t="shared" si="10"/>
        <v>L1A 3Y9</v>
      </c>
      <c r="G105" t="str">
        <f t="shared" si="11"/>
        <v>[ "ListenUp! Canada", 43.96331, -78.29078, '905-885-0759', 'L1A 3Y9'],</v>
      </c>
      <c r="H105" t="s">
        <v>1023</v>
      </c>
    </row>
    <row r="106" spans="1:8" x14ac:dyDescent="0.2">
      <c r="A106" t="s">
        <v>115</v>
      </c>
      <c r="B106" t="str">
        <f t="shared" si="6"/>
        <v>RONA</v>
      </c>
      <c r="C106" t="str">
        <f t="shared" si="7"/>
        <v>43.9076045270157</v>
      </c>
      <c r="D106" t="str">
        <f t="shared" si="8"/>
        <v>-78.5910229561934</v>
      </c>
      <c r="E106" t="str">
        <f t="shared" si="9"/>
        <v>905-987-4560</v>
      </c>
      <c r="F106" t="str">
        <f t="shared" si="10"/>
        <v>L1B 1C2</v>
      </c>
      <c r="G106" t="str">
        <f t="shared" si="11"/>
        <v>[ "RONA", 43.9076045270157, -78.5910229561934, '905-987-4560', 'L1B 1C2'],</v>
      </c>
      <c r="H106" t="s">
        <v>1024</v>
      </c>
    </row>
    <row r="107" spans="1:8" x14ac:dyDescent="0.2">
      <c r="A107" t="s">
        <v>116</v>
      </c>
      <c r="B107" t="str">
        <f t="shared" si="6"/>
        <v>Home Depot</v>
      </c>
      <c r="C107" t="str">
        <f t="shared" si="7"/>
        <v>43.9763283741377</v>
      </c>
      <c r="D107" t="str">
        <f t="shared" si="8"/>
        <v>-78.2001281293115</v>
      </c>
      <c r="E107" t="str">
        <f t="shared" si="9"/>
        <v>905-377-7600</v>
      </c>
      <c r="F107" t="str">
        <f t="shared" si="10"/>
        <v>K9A 0A8</v>
      </c>
      <c r="G107" t="str">
        <f t="shared" si="11"/>
        <v>[ "Home Depot", 43.9763283741377, -78.2001281293115, '905-377-7600', 'K9A 0A8'],</v>
      </c>
      <c r="H107" t="s">
        <v>1025</v>
      </c>
    </row>
    <row r="108" spans="1:8" x14ac:dyDescent="0.2">
      <c r="A108" t="s">
        <v>117</v>
      </c>
      <c r="B108" t="str">
        <f t="shared" si="6"/>
        <v>The Source</v>
      </c>
      <c r="C108" t="str">
        <f t="shared" si="7"/>
        <v>43.9711534146341</v>
      </c>
      <c r="D108" t="str">
        <f t="shared" si="8"/>
        <v>-78.2002748780488</v>
      </c>
      <c r="E108" t="str">
        <f t="shared" si="9"/>
        <v>905-377-9845</v>
      </c>
      <c r="F108" t="str">
        <f t="shared" si="10"/>
        <v>K9A 5H7</v>
      </c>
      <c r="G108" t="str">
        <f t="shared" si="11"/>
        <v>[ "The Source", 43.9711534146341, -78.2002748780488, '905-377-9845', 'K9A 5H7'],</v>
      </c>
      <c r="H108" t="s">
        <v>1026</v>
      </c>
    </row>
    <row r="109" spans="1:8" x14ac:dyDescent="0.2">
      <c r="A109" t="s">
        <v>118</v>
      </c>
      <c r="B109" t="str">
        <f t="shared" si="6"/>
        <v>Staples</v>
      </c>
      <c r="C109" t="str">
        <f t="shared" si="7"/>
        <v>43.97172</v>
      </c>
      <c r="D109" t="str">
        <f t="shared" si="8"/>
        <v>-78.19779</v>
      </c>
      <c r="E109" t="str">
        <f t="shared" si="9"/>
        <v>905-377-0458</v>
      </c>
      <c r="F109" t="str">
        <f t="shared" si="10"/>
        <v>K9A 5W4</v>
      </c>
      <c r="G109" t="str">
        <f t="shared" si="11"/>
        <v>[ "Staples", 43.97172, -78.19779, '905-377-0458', 'K9A 5W4'],</v>
      </c>
      <c r="H109" t="s">
        <v>1027</v>
      </c>
    </row>
    <row r="110" spans="1:8" x14ac:dyDescent="0.2">
      <c r="A110" t="s">
        <v>119</v>
      </c>
      <c r="B110" t="str">
        <f t="shared" si="6"/>
        <v>Staples</v>
      </c>
      <c r="C110" t="str">
        <f t="shared" si="7"/>
        <v>43.91057</v>
      </c>
      <c r="D110" t="str">
        <f t="shared" si="8"/>
        <v>-78.68024</v>
      </c>
      <c r="E110" t="str">
        <f t="shared" si="9"/>
        <v>905-623-1700</v>
      </c>
      <c r="F110" t="str">
        <f t="shared" si="10"/>
        <v>L1C 1P2</v>
      </c>
      <c r="G110" t="str">
        <f t="shared" si="11"/>
        <v>[ "Staples", 43.91057, -78.68024, '905-623-1700', 'L1C 1P2'],</v>
      </c>
      <c r="H110" t="s">
        <v>1028</v>
      </c>
    </row>
    <row r="111" spans="1:8" x14ac:dyDescent="0.2">
      <c r="A111" t="s">
        <v>121</v>
      </c>
      <c r="B111" t="str">
        <f t="shared" si="6"/>
        <v>Home Depot</v>
      </c>
      <c r="C111" t="str">
        <f t="shared" si="7"/>
        <v>43.920755913993</v>
      </c>
      <c r="D111" t="str">
        <f t="shared" si="8"/>
        <v>-78.9489120086596</v>
      </c>
      <c r="E111" t="str">
        <f t="shared" si="9"/>
        <v>905-655-2905</v>
      </c>
      <c r="F111" t="str">
        <f t="shared" si="10"/>
        <v>L1R 3K5</v>
      </c>
      <c r="G111" t="str">
        <f t="shared" si="11"/>
        <v>[ "Home Depot", 43.920755913993, -78.9489120086596, '905-655-2905', 'L1R 3K5'],</v>
      </c>
      <c r="H111" t="s">
        <v>1029</v>
      </c>
    </row>
    <row r="112" spans="1:8" x14ac:dyDescent="0.2">
      <c r="A112" t="s">
        <v>122</v>
      </c>
      <c r="B112" t="str">
        <f t="shared" si="6"/>
        <v>Staples</v>
      </c>
      <c r="C112" t="str">
        <f t="shared" si="7"/>
        <v>43.9184340778853</v>
      </c>
      <c r="D112" t="str">
        <f t="shared" si="8"/>
        <v>-78.9437186560068</v>
      </c>
      <c r="E112" t="str">
        <f t="shared" si="9"/>
        <v>--</v>
      </c>
      <c r="F112" t="str">
        <f t="shared" si="10"/>
        <v>L1R 0H4</v>
      </c>
      <c r="G112" t="str">
        <f t="shared" si="11"/>
        <v>[ "Staples", 43.9184340778853, -78.9437186560068, '--', 'L1R 0H4'],</v>
      </c>
      <c r="H112" t="s">
        <v>1030</v>
      </c>
    </row>
    <row r="113" spans="1:8" x14ac:dyDescent="0.2">
      <c r="A113" t="s">
        <v>123</v>
      </c>
      <c r="B113" t="str">
        <f t="shared" si="6"/>
        <v>Canadian Tire</v>
      </c>
      <c r="C113" t="str">
        <f t="shared" si="7"/>
        <v>43.9191693112809</v>
      </c>
      <c r="D113" t="str">
        <f t="shared" si="8"/>
        <v>-78.9481985068482</v>
      </c>
      <c r="E113" t="str">
        <f t="shared" si="9"/>
        <v>905-430-4962</v>
      </c>
      <c r="F113" t="str">
        <f t="shared" si="10"/>
        <v>L1R 3K5</v>
      </c>
      <c r="G113" t="str">
        <f t="shared" si="11"/>
        <v>[ "Canadian Tire", 43.9191693112809, -78.9481985068482, '905-430-4962', 'L1R 3K5'],</v>
      </c>
      <c r="H113" t="s">
        <v>1031</v>
      </c>
    </row>
    <row r="114" spans="1:8" x14ac:dyDescent="0.2">
      <c r="A114" t="s">
        <v>124</v>
      </c>
      <c r="B114" t="str">
        <f t="shared" si="6"/>
        <v>Canadian Tire</v>
      </c>
      <c r="C114" t="str">
        <f t="shared" si="7"/>
        <v>43.9363815152165</v>
      </c>
      <c r="D114" t="str">
        <f t="shared" si="8"/>
        <v>-78.8589058995898</v>
      </c>
      <c r="E114" t="str">
        <f t="shared" si="9"/>
        <v>905-433-5575</v>
      </c>
      <c r="F114" t="str">
        <f t="shared" si="10"/>
        <v>L1K 2B8</v>
      </c>
      <c r="G114" t="str">
        <f t="shared" si="11"/>
        <v>[ "Canadian Tire", 43.9363815152165, -78.8589058995898, '905-433-5575', 'L1K 2B8'],</v>
      </c>
      <c r="H114" t="s">
        <v>1032</v>
      </c>
    </row>
    <row r="115" spans="1:8" x14ac:dyDescent="0.2">
      <c r="A115" t="s">
        <v>125</v>
      </c>
      <c r="B115" t="str">
        <f t="shared" si="6"/>
        <v>Home Depot</v>
      </c>
      <c r="C115" t="str">
        <f t="shared" si="7"/>
        <v>43.942966</v>
      </c>
      <c r="D115" t="str">
        <f t="shared" si="8"/>
        <v>-78.850946</v>
      </c>
      <c r="E115" t="str">
        <f t="shared" si="9"/>
        <v>905-743-5600</v>
      </c>
      <c r="F115" t="str">
        <f t="shared" si="10"/>
        <v>L1H 7K5</v>
      </c>
      <c r="G115" t="str">
        <f t="shared" si="11"/>
        <v>[ "Home Depot", 43.942966, -78.850946, '905-743-5600', 'L1H 7K5'],</v>
      </c>
      <c r="H115" t="s">
        <v>1033</v>
      </c>
    </row>
    <row r="116" spans="1:8" x14ac:dyDescent="0.2">
      <c r="A116" t="s">
        <v>126</v>
      </c>
      <c r="B116" t="str">
        <f t="shared" si="6"/>
        <v>MOHLTC - EHSB - Oshawa CACC</v>
      </c>
      <c r="C116" t="str">
        <f t="shared" si="7"/>
        <v>43.899208284362</v>
      </c>
      <c r="D116" t="str">
        <f t="shared" si="8"/>
        <v>-78.9427566576219</v>
      </c>
      <c r="E116" t="str">
        <f t="shared" si="9"/>
        <v>905-430-5542</v>
      </c>
      <c r="F116" t="str">
        <f t="shared" si="10"/>
        <v>L1N 9G5</v>
      </c>
      <c r="G116" t="str">
        <f t="shared" si="11"/>
        <v>[ "MOHLTC - EHSB - Oshawa CACC", 43.899208284362, -78.9427566576219, '905-430-5542', 'L1N 9G5'],</v>
      </c>
      <c r="H116" t="s">
        <v>1034</v>
      </c>
    </row>
    <row r="117" spans="1:8" x14ac:dyDescent="0.2">
      <c r="A117" t="s">
        <v>127</v>
      </c>
      <c r="B117" t="str">
        <f t="shared" si="6"/>
        <v>The Source</v>
      </c>
      <c r="C117" t="str">
        <f t="shared" si="7"/>
        <v>43.9411300455574</v>
      </c>
      <c r="D117" t="str">
        <f t="shared" si="8"/>
        <v>-78.8423105538002</v>
      </c>
      <c r="E117" t="str">
        <f t="shared" si="9"/>
        <v>905-723-3407</v>
      </c>
      <c r="F117" t="str">
        <f t="shared" si="10"/>
        <v>L1H 7K5</v>
      </c>
      <c r="G117" t="str">
        <f t="shared" si="11"/>
        <v>[ "The Source", 43.9411300455574, -78.8423105538002, '905-723-3407', 'L1H 7K5'],</v>
      </c>
      <c r="H117" t="s">
        <v>1035</v>
      </c>
    </row>
    <row r="118" spans="1:8" x14ac:dyDescent="0.2">
      <c r="A118" t="s">
        <v>128</v>
      </c>
      <c r="B118" t="str">
        <f t="shared" si="6"/>
        <v>ListenUp! Canada</v>
      </c>
      <c r="C118" t="str">
        <f t="shared" si="7"/>
        <v>43.8889624</v>
      </c>
      <c r="D118" t="str">
        <f t="shared" si="8"/>
        <v>-78.9352684</v>
      </c>
      <c r="E118" t="str">
        <f t="shared" si="9"/>
        <v>905-668-5440</v>
      </c>
      <c r="F118" t="str">
        <f t="shared" si="10"/>
        <v>L1N 7B3</v>
      </c>
      <c r="G118" t="str">
        <f t="shared" si="11"/>
        <v>[ "ListenUp! Canada", 43.8889624, -78.9352684, '905-668-5440', 'L1N 7B3'],</v>
      </c>
      <c r="H118" t="s">
        <v>1036</v>
      </c>
    </row>
    <row r="119" spans="1:8" x14ac:dyDescent="0.2">
      <c r="A119" t="s">
        <v>129</v>
      </c>
      <c r="B119" t="str">
        <f t="shared" si="6"/>
        <v>ListenUp! Canada</v>
      </c>
      <c r="C119" t="str">
        <f t="shared" si="7"/>
        <v>43.8935839199709</v>
      </c>
      <c r="D119" t="str">
        <f t="shared" si="8"/>
        <v>-78.8812031841397</v>
      </c>
      <c r="E119" t="str">
        <f t="shared" si="9"/>
        <v>905-438-7997</v>
      </c>
      <c r="F119" t="str">
        <f t="shared" si="10"/>
        <v>L1J 2K9</v>
      </c>
      <c r="G119" t="str">
        <f t="shared" si="11"/>
        <v>[ "ListenUp! Canada", 43.8935839199709, -78.8812031841397, '905-438-7997', 'L1J 2K9'],</v>
      </c>
      <c r="H119" t="s">
        <v>1037</v>
      </c>
    </row>
    <row r="120" spans="1:8" x14ac:dyDescent="0.2">
      <c r="A120" t="s">
        <v>130</v>
      </c>
      <c r="B120" t="str">
        <f t="shared" si="6"/>
        <v>Staples</v>
      </c>
      <c r="C120" t="str">
        <f t="shared" si="7"/>
        <v>43.88695</v>
      </c>
      <c r="D120" t="str">
        <f t="shared" si="8"/>
        <v>-78.87582125</v>
      </c>
      <c r="E120" t="str">
        <f t="shared" si="9"/>
        <v>905-434-1947</v>
      </c>
      <c r="F120" t="str">
        <f t="shared" si="10"/>
        <v>L1J 2K5</v>
      </c>
      <c r="G120" t="str">
        <f t="shared" si="11"/>
        <v>[ "Staples", 43.88695, -78.87582125, '905-434-1947', 'L1J 2K5'],</v>
      </c>
      <c r="H120" t="s">
        <v>1038</v>
      </c>
    </row>
    <row r="121" spans="1:8" x14ac:dyDescent="0.2">
      <c r="A121" t="s">
        <v>131</v>
      </c>
      <c r="B121" t="str">
        <f t="shared" si="6"/>
        <v>Lowes</v>
      </c>
      <c r="C121" t="str">
        <f t="shared" si="7"/>
        <v>43.8791536206897</v>
      </c>
      <c r="D121" t="str">
        <f t="shared" si="8"/>
        <v>-78.882005862069</v>
      </c>
      <c r="E121" t="str">
        <f t="shared" si="9"/>
        <v>905-436-4940</v>
      </c>
      <c r="F121" t="str">
        <f t="shared" si="10"/>
        <v>L1J 0B6</v>
      </c>
      <c r="G121" t="str">
        <f t="shared" si="11"/>
        <v>[ "Lowes", 43.8791536206897, -78.882005862069, '905-436-4940', 'L1J 0B6'],</v>
      </c>
      <c r="H121" t="s">
        <v>1039</v>
      </c>
    </row>
    <row r="122" spans="1:8" x14ac:dyDescent="0.2">
      <c r="A122" t="s">
        <v>132</v>
      </c>
      <c r="B122" t="str">
        <f t="shared" si="6"/>
        <v>Home Depot</v>
      </c>
      <c r="C122" t="str">
        <f t="shared" si="7"/>
        <v>43.8669056517861</v>
      </c>
      <c r="D122" t="str">
        <f t="shared" si="8"/>
        <v>-78.9008313585739</v>
      </c>
      <c r="E122" t="str">
        <f t="shared" si="9"/>
        <v>905-571-5900</v>
      </c>
      <c r="F122" t="str">
        <f t="shared" si="10"/>
        <v>L1N 9K6</v>
      </c>
      <c r="G122" t="str">
        <f t="shared" si="11"/>
        <v>[ "Home Depot", 43.8669056517861, -78.9008313585739, '905-571-5900', 'L1N 9K6'],</v>
      </c>
      <c r="H122" t="s">
        <v>1040</v>
      </c>
    </row>
    <row r="123" spans="1:8" x14ac:dyDescent="0.2">
      <c r="A123" t="s">
        <v>133</v>
      </c>
      <c r="B123" t="str">
        <f t="shared" si="6"/>
        <v>Princess Auto</v>
      </c>
      <c r="C123" t="str">
        <f t="shared" si="7"/>
        <v>43.8656465070742</v>
      </c>
      <c r="D123" t="str">
        <f t="shared" si="8"/>
        <v>-78.9044570195808</v>
      </c>
      <c r="E123" t="str">
        <f t="shared" si="9"/>
        <v>905-665-8581</v>
      </c>
      <c r="F123" t="str">
        <f t="shared" si="10"/>
        <v>L1N 9W7</v>
      </c>
      <c r="G123" t="str">
        <f t="shared" si="11"/>
        <v>[ "Princess Auto", 43.8656465070742, -78.9044570195808, '905-665-8581', 'L1N 9W7'],</v>
      </c>
      <c r="H123" t="s">
        <v>1041</v>
      </c>
    </row>
    <row r="124" spans="1:8" x14ac:dyDescent="0.2">
      <c r="A124" t="s">
        <v>134</v>
      </c>
      <c r="B124" t="str">
        <f t="shared" si="6"/>
        <v>Fastenal</v>
      </c>
      <c r="C124" t="str">
        <f t="shared" si="7"/>
        <v>43.8596828812545</v>
      </c>
      <c r="D124" t="str">
        <f t="shared" si="8"/>
        <v>-78.896106598816</v>
      </c>
      <c r="E124" t="str">
        <f t="shared" si="9"/>
        <v>905-723-3500</v>
      </c>
      <c r="F124" t="str">
        <f t="shared" si="10"/>
        <v>L1N 8M2</v>
      </c>
      <c r="G124" t="str">
        <f t="shared" si="11"/>
        <v>[ "Fastenal", 43.8596828812545, -78.896106598816, '905-723-3500', 'L1N 8M2'],</v>
      </c>
      <c r="H124" t="s">
        <v>1042</v>
      </c>
    </row>
    <row r="125" spans="1:8" x14ac:dyDescent="0.2">
      <c r="A125" t="s">
        <v>135</v>
      </c>
      <c r="B125" t="str">
        <f t="shared" si="6"/>
        <v>Home Depot</v>
      </c>
      <c r="C125" t="str">
        <f t="shared" si="7"/>
        <v>43.8646801818182</v>
      </c>
      <c r="D125" t="str">
        <f t="shared" si="8"/>
        <v>-79.0104941818182</v>
      </c>
      <c r="E125" t="str">
        <f t="shared" si="9"/>
        <v>905-428-7939</v>
      </c>
      <c r="F125" t="str">
        <f t="shared" si="10"/>
        <v>L1Z 1G1</v>
      </c>
      <c r="G125" t="str">
        <f t="shared" si="11"/>
        <v>[ "Home Depot", 43.8646801818182, -79.0104941818182, '905-428-7939', 'L1Z 1G1'],</v>
      </c>
      <c r="H125" t="s">
        <v>1043</v>
      </c>
    </row>
    <row r="126" spans="1:8" x14ac:dyDescent="0.2">
      <c r="A126" t="s">
        <v>136</v>
      </c>
      <c r="B126" t="str">
        <f t="shared" si="6"/>
        <v>The Source</v>
      </c>
      <c r="C126" t="str">
        <f t="shared" si="7"/>
        <v>43.8638147</v>
      </c>
      <c r="D126" t="str">
        <f t="shared" si="8"/>
        <v>-79.0254152</v>
      </c>
      <c r="E126" t="str">
        <f t="shared" si="9"/>
        <v>905-427-8617</v>
      </c>
      <c r="F126" t="str">
        <f t="shared" si="10"/>
        <v>L1Z 1E8</v>
      </c>
      <c r="G126" t="str">
        <f t="shared" si="11"/>
        <v>[ "The Source", 43.8638147, -79.0254152, '905-427-8617', 'L1Z 1E8'],</v>
      </c>
      <c r="H126" t="s">
        <v>1044</v>
      </c>
    </row>
    <row r="127" spans="1:8" x14ac:dyDescent="0.2">
      <c r="A127" t="s">
        <v>137</v>
      </c>
      <c r="B127" t="str">
        <f t="shared" si="6"/>
        <v>Staples</v>
      </c>
      <c r="C127" t="str">
        <f t="shared" si="7"/>
        <v>43.859581</v>
      </c>
      <c r="D127" t="str">
        <f t="shared" si="8"/>
        <v>-79.026064</v>
      </c>
      <c r="E127" t="str">
        <f t="shared" si="9"/>
        <v>905-686-1422</v>
      </c>
      <c r="F127" t="str">
        <f t="shared" si="10"/>
        <v>L1S 7L8</v>
      </c>
      <c r="G127" t="str">
        <f t="shared" si="11"/>
        <v>[ "Staples", 43.859581, -79.026064, '905-686-1422', 'L1S 7L8'],</v>
      </c>
      <c r="H127" t="s">
        <v>1045</v>
      </c>
    </row>
    <row r="128" spans="1:8" x14ac:dyDescent="0.2">
      <c r="A128" t="s">
        <v>138</v>
      </c>
      <c r="B128" t="str">
        <f t="shared" si="6"/>
        <v>Lowes</v>
      </c>
      <c r="C128" t="str">
        <f t="shared" si="7"/>
        <v>43.84796</v>
      </c>
      <c r="D128" t="str">
        <f t="shared" si="8"/>
        <v>-79.07391</v>
      </c>
      <c r="E128" t="str">
        <f t="shared" si="9"/>
        <v>905-619-7530</v>
      </c>
      <c r="F128" t="str">
        <f t="shared" si="10"/>
        <v>L1V 4H7</v>
      </c>
      <c r="G128" t="str">
        <f t="shared" si="11"/>
        <v>[ "Lowes", 43.84796, -79.07391, '905-619-7530', 'L1V 4H7'],</v>
      </c>
      <c r="H128" t="s">
        <v>1046</v>
      </c>
    </row>
    <row r="129" spans="1:8" x14ac:dyDescent="0.2">
      <c r="A129" t="s">
        <v>139</v>
      </c>
      <c r="B129" t="str">
        <f t="shared" ref="B129:B192" si="12">MID(A129,SEARCH("name"&amp;CHAR(34)&amp;":"&amp;CHAR(34),A129)+7,SEARCH(CHAR(34)&amp;", "&amp;CHAR(34)&amp;"locationlinkurl",A129)-SEARCH("name"&amp;CHAR(34)&amp;":"&amp;CHAR(34),A129)-7)</f>
        <v>Staples</v>
      </c>
      <c r="C129" t="str">
        <f t="shared" ref="C129:C192" si="13">MID(A129,SEARCH(CHAR(34)&amp;"latitude"&amp;CHAR(34)&amp;":"&amp;CHAR(34),A129)+12,SEARCH(CHAR(34)&amp;", "&amp;CHAR(34)&amp;"url"&amp;CHAR(34),A129)-SEARCH(CHAR(34)&amp;"latitude"&amp;CHAR(34)&amp;":"&amp;CHAR(34),A129)-12)</f>
        <v>43.84316</v>
      </c>
      <c r="D129" t="str">
        <f t="shared" ref="D129:D192" si="14">MID(A129,SEARCH(CHAR(34)&amp;"longitude"&amp;CHAR(34)&amp;":"&amp;CHAR(34),A129)+13,SEARCH(CHAR(34)&amp;", "&amp;CHAR(34)&amp;"uid"&amp;CHAR(34),A129)-SEARCH(CHAR(34)&amp;"longitude"&amp;CHAR(34)&amp;":"&amp;CHAR(34),A129)-13)</f>
        <v>-79.06844</v>
      </c>
      <c r="E129" t="str">
        <f t="shared" ref="E129:E192" si="15">MID(A129,SEARCH(CHAR(34)&amp;"phone"&amp;CHAR(34)&amp;":"&amp;CHAR(34),A129)+9,SEARCH(CHAR(34)&amp;", "&amp;CHAR(34)&amp;"address2"&amp;CHAR(34),A129)-SEARCH(CHAR(34)&amp;"phone"&amp;CHAR(34)&amp;":"&amp;CHAR(34),A129)-9)</f>
        <v>905-683-4620</v>
      </c>
      <c r="F129" t="str">
        <f t="shared" ref="F129:F192" si="16">MID(A129,SEARCH(CHAR(34)&amp;"postalcode"&amp;CHAR(34)&amp;":"&amp;CHAR(34),A129)+14,SEARCH(CHAR(34)&amp;", "&amp;CHAR(34)&amp;"province"&amp;CHAR(34),A129)-SEARCH(CHAR(34)&amp;"postalcode"&amp;CHAR(34)&amp;":"&amp;CHAR(34),A129)-14)</f>
        <v>L1V 6K5</v>
      </c>
      <c r="G129" t="str">
        <f t="shared" ref="G129:G192" si="17">"[ "&amp;CHAR(34)&amp;B129&amp;CHAR(34)&amp;", "&amp;C129&amp;", "&amp;D129&amp;", '"&amp;E129&amp;"', '"&amp;F129&amp;"'],"</f>
        <v>[ "Staples", 43.84316, -79.06844, '905-683-4620', 'L1V 6K5'],</v>
      </c>
      <c r="H129" t="s">
        <v>1047</v>
      </c>
    </row>
    <row r="130" spans="1:8" x14ac:dyDescent="0.2">
      <c r="A130" t="s">
        <v>140</v>
      </c>
      <c r="B130" t="str">
        <f t="shared" si="12"/>
        <v>Canadian Tire</v>
      </c>
      <c r="C130" t="str">
        <f t="shared" si="13"/>
        <v>43.8434917861008</v>
      </c>
      <c r="D130" t="str">
        <f t="shared" si="14"/>
        <v>-79.0698554505003</v>
      </c>
      <c r="E130" t="str">
        <f t="shared" si="15"/>
        <v>905-686-2308</v>
      </c>
      <c r="F130" t="str">
        <f t="shared" si="16"/>
        <v>L1V 7C7</v>
      </c>
      <c r="G130" t="str">
        <f t="shared" si="17"/>
        <v>[ "Canadian Tire", 43.8434917861008, -79.0698554505003, '905-686-2308', 'L1V 7C7'],</v>
      </c>
      <c r="H130" t="s">
        <v>1048</v>
      </c>
    </row>
    <row r="131" spans="1:8" x14ac:dyDescent="0.2">
      <c r="A131" t="s">
        <v>141</v>
      </c>
      <c r="B131" t="str">
        <f t="shared" si="12"/>
        <v>Canadian Tire</v>
      </c>
      <c r="C131" t="str">
        <f t="shared" si="13"/>
        <v>43.90952</v>
      </c>
      <c r="D131" t="str">
        <f t="shared" si="14"/>
        <v>-78.71215</v>
      </c>
      <c r="E131" t="str">
        <f t="shared" si="15"/>
        <v>905-623-5000</v>
      </c>
      <c r="F131" t="str">
        <f t="shared" si="16"/>
        <v>L1C 0K5</v>
      </c>
      <c r="G131" t="str">
        <f t="shared" si="17"/>
        <v>[ "Canadian Tire", 43.90952, -78.71215, '905-623-5000', 'L1C 0K5'],</v>
      </c>
      <c r="H131" t="s">
        <v>1049</v>
      </c>
    </row>
    <row r="132" spans="1:8" x14ac:dyDescent="0.2">
      <c r="A132" t="s">
        <v>142</v>
      </c>
      <c r="B132" t="str">
        <f t="shared" si="12"/>
        <v>Batteries Expert</v>
      </c>
      <c r="C132" t="str">
        <f t="shared" si="13"/>
        <v>43.8345991836735</v>
      </c>
      <c r="D132" t="str">
        <f t="shared" si="14"/>
        <v>-79.0699165306122</v>
      </c>
      <c r="E132" t="str">
        <f t="shared" si="15"/>
        <v>905-831-5068</v>
      </c>
      <c r="F132" t="str">
        <f t="shared" si="16"/>
        <v>L1W 3S1</v>
      </c>
      <c r="G132" t="str">
        <f t="shared" si="17"/>
        <v>[ "Batteries Expert", 43.8345991836735, -79.0699165306122, '905-831-5068', 'L1W 3S1'],</v>
      </c>
      <c r="H132" t="s">
        <v>1050</v>
      </c>
    </row>
    <row r="133" spans="1:8" x14ac:dyDescent="0.2">
      <c r="A133" t="s">
        <v>143</v>
      </c>
      <c r="B133" t="str">
        <f t="shared" si="12"/>
        <v>Home Depot</v>
      </c>
      <c r="C133" t="str">
        <f t="shared" si="13"/>
        <v>43.91096</v>
      </c>
      <c r="D133" t="str">
        <f t="shared" si="14"/>
        <v>-78.70816</v>
      </c>
      <c r="E133" t="str">
        <f t="shared" si="15"/>
        <v>905-697-5170</v>
      </c>
      <c r="F133" t="str">
        <f t="shared" si="16"/>
        <v>L1C 0C3</v>
      </c>
      <c r="G133" t="str">
        <f t="shared" si="17"/>
        <v>[ "Home Depot", 43.91096, -78.70816, '905-697-5170', 'L1C 0C3'],</v>
      </c>
      <c r="H133" t="s">
        <v>1051</v>
      </c>
    </row>
    <row r="134" spans="1:8" x14ac:dyDescent="0.2">
      <c r="A134" t="s">
        <v>144</v>
      </c>
      <c r="B134" t="str">
        <f t="shared" si="12"/>
        <v>The Source</v>
      </c>
      <c r="C134" t="str">
        <f t="shared" si="13"/>
        <v>43.8381477777778</v>
      </c>
      <c r="D134" t="str">
        <f t="shared" si="14"/>
        <v>-79.0872377777778</v>
      </c>
      <c r="E134" t="str">
        <f t="shared" si="15"/>
        <v>905-839-3568</v>
      </c>
      <c r="F134" t="str">
        <f t="shared" si="16"/>
        <v>L1V 1B8</v>
      </c>
      <c r="G134" t="str">
        <f t="shared" si="17"/>
        <v>[ "The Source", 43.8381477777778, -79.0872377777778, '905-839-3568', 'L1V 1B8'],</v>
      </c>
      <c r="H134" t="s">
        <v>1052</v>
      </c>
    </row>
    <row r="135" spans="1:8" x14ac:dyDescent="0.2">
      <c r="A135" t="s">
        <v>145</v>
      </c>
      <c r="B135" t="str">
        <f t="shared" si="12"/>
        <v>Home Depot</v>
      </c>
      <c r="C135" t="str">
        <f t="shared" si="13"/>
        <v>43.829046715547</v>
      </c>
      <c r="D135" t="str">
        <f t="shared" si="14"/>
        <v>-79.0984834069593</v>
      </c>
      <c r="E135" t="str">
        <f t="shared" si="15"/>
        <v>905-421-2000</v>
      </c>
      <c r="F135" t="str">
        <f t="shared" si="16"/>
        <v>L1V 1B5</v>
      </c>
      <c r="G135" t="str">
        <f t="shared" si="17"/>
        <v>[ "Home Depot", 43.829046715547, -79.0984834069593, '905-421-2000', 'L1V 1B5'],</v>
      </c>
      <c r="H135" t="s">
        <v>1053</v>
      </c>
    </row>
    <row r="136" spans="1:8" x14ac:dyDescent="0.2">
      <c r="A136" t="s">
        <v>146</v>
      </c>
      <c r="B136" t="str">
        <f t="shared" si="12"/>
        <v>Staples</v>
      </c>
      <c r="C136" t="str">
        <f t="shared" si="13"/>
        <v>43.91057</v>
      </c>
      <c r="D136" t="str">
        <f t="shared" si="14"/>
        <v>-78.68024</v>
      </c>
      <c r="E136" t="str">
        <f t="shared" si="15"/>
        <v>905-623-1700</v>
      </c>
      <c r="F136" t="str">
        <f t="shared" si="16"/>
        <v>L1C 1P2</v>
      </c>
      <c r="G136" t="str">
        <f t="shared" si="17"/>
        <v>[ "Staples", 43.91057, -78.68024, '905-623-1700', 'L1C 1P2'],</v>
      </c>
      <c r="H136" t="s">
        <v>1028</v>
      </c>
    </row>
    <row r="137" spans="1:8" x14ac:dyDescent="0.2">
      <c r="A137" t="s">
        <v>147</v>
      </c>
      <c r="B137" t="str">
        <f t="shared" si="12"/>
        <v>Staples</v>
      </c>
      <c r="C137" t="str">
        <f t="shared" si="13"/>
        <v>44.09409625</v>
      </c>
      <c r="D137" t="str">
        <f t="shared" si="14"/>
        <v>-79.1307016666667</v>
      </c>
      <c r="E137" t="str">
        <f t="shared" si="15"/>
        <v>905-862-2614</v>
      </c>
      <c r="F137" t="str">
        <f t="shared" si="16"/>
        <v>L9P 1S9</v>
      </c>
      <c r="G137" t="str">
        <f t="shared" si="17"/>
        <v>[ "Staples", 44.09409625, -79.1307016666667, '905-862-2614', 'L9P 1S9'],</v>
      </c>
      <c r="H137" t="s">
        <v>1054</v>
      </c>
    </row>
    <row r="138" spans="1:8" x14ac:dyDescent="0.2">
      <c r="A138" t="s">
        <v>148</v>
      </c>
      <c r="B138" t="str">
        <f t="shared" si="12"/>
        <v>Best Buy</v>
      </c>
      <c r="C138" t="str">
        <f t="shared" si="13"/>
        <v>43.80644</v>
      </c>
      <c r="D138" t="str">
        <f t="shared" si="14"/>
        <v>-79.13402</v>
      </c>
      <c r="E138" t="str">
        <f t="shared" si="15"/>
        <v>--</v>
      </c>
      <c r="F138" t="str">
        <f t="shared" si="16"/>
        <v>L1V 1B8</v>
      </c>
      <c r="G138" t="str">
        <f t="shared" si="17"/>
        <v>[ "Best Buy", 43.80644, -79.13402, '--', 'L1V 1B8'],</v>
      </c>
      <c r="H138" t="s">
        <v>1055</v>
      </c>
    </row>
    <row r="139" spans="1:8" x14ac:dyDescent="0.2">
      <c r="A139" t="s">
        <v>149</v>
      </c>
      <c r="B139" t="str">
        <f t="shared" si="12"/>
        <v>ListenUp! Canada</v>
      </c>
      <c r="C139" t="str">
        <f t="shared" si="13"/>
        <v>44.1077506739765</v>
      </c>
      <c r="D139" t="str">
        <f t="shared" si="14"/>
        <v>-79.1229455265324</v>
      </c>
      <c r="E139" t="str">
        <f t="shared" si="15"/>
        <v>905-852-5933</v>
      </c>
      <c r="F139" t="str">
        <f t="shared" si="16"/>
        <v>L9P 1V9</v>
      </c>
      <c r="G139" t="str">
        <f t="shared" si="17"/>
        <v>[ "ListenUp! Canada", 44.1077506739765, -79.1229455265324, '905-852-5933', 'L9P 1V9'],</v>
      </c>
      <c r="H139" t="s">
        <v>1056</v>
      </c>
    </row>
    <row r="140" spans="1:8" x14ac:dyDescent="0.2">
      <c r="A140" t="s">
        <v>151</v>
      </c>
      <c r="B140" t="str">
        <f t="shared" si="12"/>
        <v>ListenUp! Canada</v>
      </c>
      <c r="C140" t="str">
        <f t="shared" si="13"/>
        <v>43.8652224</v>
      </c>
      <c r="D140" t="str">
        <f t="shared" si="14"/>
        <v>-79.2924453</v>
      </c>
      <c r="E140" t="str">
        <f t="shared" si="15"/>
        <v>905-479-6886</v>
      </c>
      <c r="F140" t="str">
        <f t="shared" si="16"/>
        <v>L3R 1N1</v>
      </c>
      <c r="G140" t="str">
        <f t="shared" si="17"/>
        <v>[ "ListenUp! Canada", 43.8652224, -79.2924453, '905-479-6886', 'L3R 1N1'],</v>
      </c>
      <c r="H140" t="s">
        <v>1057</v>
      </c>
    </row>
    <row r="141" spans="1:8" x14ac:dyDescent="0.2">
      <c r="A141" t="s">
        <v>152</v>
      </c>
      <c r="B141" t="str">
        <f t="shared" si="12"/>
        <v>Best Buy</v>
      </c>
      <c r="C141" t="str">
        <f t="shared" si="13"/>
        <v>43.8655657142857</v>
      </c>
      <c r="D141" t="str">
        <f t="shared" si="14"/>
        <v>-79.2913528571429</v>
      </c>
      <c r="E141" t="str">
        <f t="shared" si="15"/>
        <v>--</v>
      </c>
      <c r="F141" t="str">
        <f t="shared" si="16"/>
        <v>L3R 4M9</v>
      </c>
      <c r="G141" t="str">
        <f t="shared" si="17"/>
        <v>[ "Best Buy", 43.8655657142857, -79.2913528571429, '--', 'L3R 4M9'],</v>
      </c>
      <c r="H141" t="s">
        <v>1058</v>
      </c>
    </row>
    <row r="142" spans="1:8" x14ac:dyDescent="0.2">
      <c r="A142" t="s">
        <v>153</v>
      </c>
      <c r="B142" t="str">
        <f t="shared" si="12"/>
        <v>Staples</v>
      </c>
      <c r="C142" t="str">
        <f t="shared" si="13"/>
        <v>43.8511025</v>
      </c>
      <c r="D142" t="str">
        <f t="shared" si="14"/>
        <v>-79.3522558333333</v>
      </c>
      <c r="E142" t="str">
        <f t="shared" si="15"/>
        <v>905-479-3101</v>
      </c>
      <c r="F142" t="str">
        <f t="shared" si="16"/>
        <v>L3R 0J5</v>
      </c>
      <c r="G142" t="str">
        <f t="shared" si="17"/>
        <v>[ "Staples", 43.8511025, -79.3522558333333, '905-479-3101', 'L3R 0J5'],</v>
      </c>
      <c r="H142" t="s">
        <v>1059</v>
      </c>
    </row>
    <row r="143" spans="1:8" x14ac:dyDescent="0.2">
      <c r="A143" t="s">
        <v>154</v>
      </c>
      <c r="B143" t="str">
        <f t="shared" si="12"/>
        <v>Home Depot</v>
      </c>
      <c r="C143" t="str">
        <f t="shared" si="13"/>
        <v>43.850865</v>
      </c>
      <c r="D143" t="str">
        <f t="shared" si="14"/>
        <v>-79.353385</v>
      </c>
      <c r="E143" t="str">
        <f t="shared" si="15"/>
        <v>905-940-5900</v>
      </c>
      <c r="F143" t="str">
        <f t="shared" si="16"/>
        <v>L3R 0J6</v>
      </c>
      <c r="G143" t="str">
        <f t="shared" si="17"/>
        <v>[ "Home Depot", 43.850865, -79.353385, '905-940-5900', 'L3R 0J6'],</v>
      </c>
      <c r="H143" t="s">
        <v>1060</v>
      </c>
    </row>
    <row r="144" spans="1:8" x14ac:dyDescent="0.2">
      <c r="A144" t="s">
        <v>155</v>
      </c>
      <c r="B144" t="str">
        <f t="shared" si="12"/>
        <v>Princess Auto</v>
      </c>
      <c r="C144" t="str">
        <f t="shared" si="13"/>
        <v>43.8497606481056</v>
      </c>
      <c r="D144" t="str">
        <f t="shared" si="14"/>
        <v>-79.3580154079469</v>
      </c>
      <c r="E144" t="str">
        <f t="shared" si="15"/>
        <v>905-944-9696</v>
      </c>
      <c r="F144" t="str">
        <f t="shared" si="16"/>
        <v>L3R 4X7</v>
      </c>
      <c r="G144" t="str">
        <f t="shared" si="17"/>
        <v>[ "Princess Auto", 43.8497606481056, -79.3580154079469, '905-944-9696', 'L3R 4X7'],</v>
      </c>
      <c r="H144" t="s">
        <v>1061</v>
      </c>
    </row>
    <row r="145" spans="1:8" x14ac:dyDescent="0.2">
      <c r="A145" t="s">
        <v>156</v>
      </c>
      <c r="B145" t="str">
        <f t="shared" si="12"/>
        <v>Go Wireless Inc Canada (Parent)</v>
      </c>
      <c r="C145" t="str">
        <f t="shared" si="13"/>
        <v>43.8410172451317</v>
      </c>
      <c r="D145" t="str">
        <f t="shared" si="14"/>
        <v>-79.3261101042016</v>
      </c>
      <c r="E145" t="str">
        <f t="shared" si="15"/>
        <v>905-940-8750</v>
      </c>
      <c r="F145" t="str">
        <f t="shared" si="16"/>
        <v>L3R 9X5</v>
      </c>
      <c r="G145" t="str">
        <f t="shared" si="17"/>
        <v>[ "Go Wireless Inc Canada (Parent)", 43.8410172451317, -79.3261101042016, '905-940-8750', 'L3R 9X5'],</v>
      </c>
      <c r="H145" t="s">
        <v>1062</v>
      </c>
    </row>
    <row r="146" spans="1:8" x14ac:dyDescent="0.2">
      <c r="A146" t="s">
        <v>157</v>
      </c>
      <c r="B146" t="str">
        <f t="shared" si="12"/>
        <v>Go Wireless Canada</v>
      </c>
      <c r="C146" t="str">
        <f t="shared" si="13"/>
        <v>43.8401537747984</v>
      </c>
      <c r="D146" t="str">
        <f t="shared" si="14"/>
        <v>-79.3284351589818</v>
      </c>
      <c r="E146" t="str">
        <f t="shared" si="15"/>
        <v>905-432-3665</v>
      </c>
      <c r="F146" t="str">
        <f t="shared" si="16"/>
        <v>L3R 9X5</v>
      </c>
      <c r="G146" t="str">
        <f t="shared" si="17"/>
        <v>[ "Go Wireless Canada", 43.8401537747984, -79.3284351589818, '905-432-3665', 'L3R 9X5'],</v>
      </c>
      <c r="H146" t="s">
        <v>1063</v>
      </c>
    </row>
    <row r="147" spans="1:8" x14ac:dyDescent="0.2">
      <c r="A147" t="s">
        <v>158</v>
      </c>
      <c r="B147" t="str">
        <f t="shared" si="12"/>
        <v>Pinnacle Hobby</v>
      </c>
      <c r="C147" t="str">
        <f t="shared" si="13"/>
        <v>43.8912729740915</v>
      </c>
      <c r="D147" t="str">
        <f t="shared" si="14"/>
        <v>-79.2658992414536</v>
      </c>
      <c r="E147" t="str">
        <f t="shared" si="15"/>
        <v>905-471-9634</v>
      </c>
      <c r="F147" t="str">
        <f t="shared" si="16"/>
        <v>L3P 7R1</v>
      </c>
      <c r="G147" t="str">
        <f t="shared" si="17"/>
        <v>[ "Pinnacle Hobby", 43.8912729740915, -79.2658992414536, '905-471-9634', 'L3P 7R1'],</v>
      </c>
      <c r="H147" t="s">
        <v>1064</v>
      </c>
    </row>
    <row r="148" spans="1:8" x14ac:dyDescent="0.2">
      <c r="A148" t="s">
        <v>159</v>
      </c>
      <c r="B148" t="str">
        <f t="shared" si="12"/>
        <v>Home Depot</v>
      </c>
      <c r="C148" t="str">
        <f t="shared" si="13"/>
        <v>43.90374</v>
      </c>
      <c r="D148" t="str">
        <f t="shared" si="14"/>
        <v>-79.26985</v>
      </c>
      <c r="E148" t="str">
        <f t="shared" si="15"/>
        <v>905-201-5500</v>
      </c>
      <c r="F148" t="str">
        <f t="shared" si="16"/>
        <v>L6E 0G5</v>
      </c>
      <c r="G148" t="str">
        <f t="shared" si="17"/>
        <v>[ "Home Depot", 43.90374, -79.26985, '905-201-5500', 'L6E 0G5'],</v>
      </c>
      <c r="H148" t="s">
        <v>1065</v>
      </c>
    </row>
    <row r="149" spans="1:8" x14ac:dyDescent="0.2">
      <c r="A149" t="s">
        <v>160</v>
      </c>
      <c r="B149" t="str">
        <f t="shared" si="12"/>
        <v>Home Depot</v>
      </c>
      <c r="C149" t="str">
        <f t="shared" si="13"/>
        <v>43.899563</v>
      </c>
      <c r="D149" t="str">
        <f t="shared" si="14"/>
        <v>-79.391825</v>
      </c>
      <c r="E149" t="str">
        <f t="shared" si="15"/>
        <v>905-787-7200</v>
      </c>
      <c r="F149" t="str">
        <f t="shared" si="16"/>
        <v>L4S 1M6</v>
      </c>
      <c r="G149" t="str">
        <f t="shared" si="17"/>
        <v>[ "Home Depot", 43.899563, -79.391825, '905-787-7200', 'L4S 1M6'],</v>
      </c>
      <c r="H149" t="s">
        <v>1066</v>
      </c>
    </row>
    <row r="150" spans="1:8" x14ac:dyDescent="0.2">
      <c r="A150" t="s">
        <v>161</v>
      </c>
      <c r="B150" t="str">
        <f t="shared" si="12"/>
        <v>Staples</v>
      </c>
      <c r="C150" t="str">
        <f t="shared" si="13"/>
        <v>43.89947</v>
      </c>
      <c r="D150" t="str">
        <f t="shared" si="14"/>
        <v>-79.39223</v>
      </c>
      <c r="E150" t="str">
        <f t="shared" si="15"/>
        <v>905-770-1600</v>
      </c>
      <c r="F150" t="str">
        <f t="shared" si="16"/>
        <v>L4S 0B2</v>
      </c>
      <c r="G150" t="str">
        <f t="shared" si="17"/>
        <v>[ "Staples", 43.89947, -79.39223, '905-770-1600', 'L4S 0B2'],</v>
      </c>
      <c r="H150" t="s">
        <v>1067</v>
      </c>
    </row>
    <row r="151" spans="1:8" x14ac:dyDescent="0.2">
      <c r="A151" t="s">
        <v>162</v>
      </c>
      <c r="B151" t="str">
        <f t="shared" si="12"/>
        <v>Home Depot</v>
      </c>
      <c r="C151" t="str">
        <f t="shared" si="13"/>
        <v>43.8516</v>
      </c>
      <c r="D151" t="str">
        <f t="shared" si="14"/>
        <v>-79.25286</v>
      </c>
      <c r="E151" t="str">
        <f t="shared" si="15"/>
        <v>905-201-2590</v>
      </c>
      <c r="F151" t="str">
        <f t="shared" si="16"/>
        <v>L3S 4K7</v>
      </c>
      <c r="G151" t="str">
        <f t="shared" si="17"/>
        <v>[ "Home Depot", 43.8516, -79.25286, '905-201-2590', 'L3S 4K7'],</v>
      </c>
      <c r="H151" t="s">
        <v>1068</v>
      </c>
    </row>
    <row r="152" spans="1:8" x14ac:dyDescent="0.2">
      <c r="A152" t="s">
        <v>163</v>
      </c>
      <c r="B152" t="str">
        <f t="shared" si="12"/>
        <v>ListenUp! Canada</v>
      </c>
      <c r="C152" t="str">
        <f t="shared" si="13"/>
        <v>43.8504080701754</v>
      </c>
      <c r="D152" t="str">
        <f t="shared" si="14"/>
        <v>-79.4092054385965</v>
      </c>
      <c r="E152" t="str">
        <f t="shared" si="15"/>
        <v>905-889-2199</v>
      </c>
      <c r="F152" t="str">
        <f t="shared" si="16"/>
        <v>L4B 3M6</v>
      </c>
      <c r="G152" t="str">
        <f t="shared" si="17"/>
        <v>[ "ListenUp! Canada", 43.8504080701754, -79.4092054385965, '905-889-2199', 'L4B 3M6'],</v>
      </c>
      <c r="H152" t="s">
        <v>1069</v>
      </c>
    </row>
    <row r="153" spans="1:8" x14ac:dyDescent="0.2">
      <c r="A153" t="s">
        <v>164</v>
      </c>
      <c r="B153" t="str">
        <f t="shared" si="12"/>
        <v>RONA</v>
      </c>
      <c r="C153" t="str">
        <f t="shared" si="13"/>
        <v>43.8146</v>
      </c>
      <c r="D153" t="str">
        <f t="shared" si="14"/>
        <v>-79.29221</v>
      </c>
      <c r="E153" t="str">
        <f t="shared" si="15"/>
        <v>416-396-3453</v>
      </c>
      <c r="F153" t="str">
        <f t="shared" si="16"/>
        <v>M1V 4V3</v>
      </c>
      <c r="G153" t="str">
        <f t="shared" si="17"/>
        <v>[ "RONA", 43.8146, -79.29221, '416-396-3453', 'M1V 4V3'],</v>
      </c>
      <c r="H153" t="s">
        <v>1070</v>
      </c>
    </row>
    <row r="154" spans="1:8" x14ac:dyDescent="0.2">
      <c r="A154" t="s">
        <v>165</v>
      </c>
      <c r="B154" t="str">
        <f t="shared" si="12"/>
        <v>Lowes</v>
      </c>
      <c r="C154" t="str">
        <f t="shared" si="13"/>
        <v>43.8340925</v>
      </c>
      <c r="D154" t="str">
        <f t="shared" si="14"/>
        <v>-79.2526589</v>
      </c>
      <c r="E154" t="str">
        <f t="shared" si="15"/>
        <v>416-940-4827</v>
      </c>
      <c r="F154" t="str">
        <f t="shared" si="16"/>
        <v>M1V 5P7</v>
      </c>
      <c r="G154" t="str">
        <f t="shared" si="17"/>
        <v>[ "Lowes", 43.8340925, -79.2526589, '416-940-4827', 'M1V 5P7'],</v>
      </c>
      <c r="H154" t="s">
        <v>1071</v>
      </c>
    </row>
    <row r="155" spans="1:8" x14ac:dyDescent="0.2">
      <c r="A155" t="s">
        <v>166</v>
      </c>
      <c r="B155" t="str">
        <f t="shared" si="12"/>
        <v>Home Depot</v>
      </c>
      <c r="C155" t="str">
        <f t="shared" si="13"/>
        <v>43.8414159822526</v>
      </c>
      <c r="D155" t="str">
        <f t="shared" si="14"/>
        <v>-79.4228972184826</v>
      </c>
      <c r="E155" t="str">
        <f t="shared" si="15"/>
        <v>905-763-2311</v>
      </c>
      <c r="F155" t="str">
        <f t="shared" si="16"/>
        <v>L4B 4K1</v>
      </c>
      <c r="G155" t="str">
        <f t="shared" si="17"/>
        <v>[ "Home Depot", 43.8414159822526, -79.4228972184826, '905-763-2311', 'L4B 4K1'],</v>
      </c>
      <c r="H155" t="s">
        <v>1072</v>
      </c>
    </row>
    <row r="156" spans="1:8" x14ac:dyDescent="0.2">
      <c r="A156" t="s">
        <v>167</v>
      </c>
      <c r="B156" t="str">
        <f t="shared" si="12"/>
        <v>Staples Canada/Business Depot</v>
      </c>
      <c r="C156" t="str">
        <f t="shared" si="13"/>
        <v>43.8410902360863</v>
      </c>
      <c r="D156" t="str">
        <f t="shared" si="14"/>
        <v>-79.4226223429902</v>
      </c>
      <c r="E156" t="str">
        <f t="shared" si="15"/>
        <v>905-882-6995</v>
      </c>
      <c r="F156" t="str">
        <f t="shared" si="16"/>
        <v>L4B 4M6</v>
      </c>
      <c r="G156" t="str">
        <f t="shared" si="17"/>
        <v>[ "Staples Canada/Business Depot", 43.8410902360863, -79.4226223429902, '905-882-6995', 'L4B 4M6'],</v>
      </c>
      <c r="H156" t="s">
        <v>1073</v>
      </c>
    </row>
    <row r="157" spans="1:8" x14ac:dyDescent="0.2">
      <c r="A157" t="s">
        <v>168</v>
      </c>
      <c r="B157" t="str">
        <f t="shared" si="12"/>
        <v>ListenUp! Canada</v>
      </c>
      <c r="C157" t="str">
        <f t="shared" si="13"/>
        <v>43.8003307</v>
      </c>
      <c r="D157" t="str">
        <f t="shared" si="14"/>
        <v>-79.3004262</v>
      </c>
      <c r="E157" t="str">
        <f t="shared" si="15"/>
        <v>416-494-6901</v>
      </c>
      <c r="F157" t="str">
        <f t="shared" si="16"/>
        <v>M1T 3T6</v>
      </c>
      <c r="G157" t="str">
        <f t="shared" si="17"/>
        <v>[ "ListenUp! Canada", 43.8003307, -79.3004262, '416-494-6901', 'M1T 3T6'],</v>
      </c>
      <c r="H157" t="s">
        <v>1074</v>
      </c>
    </row>
    <row r="158" spans="1:8" x14ac:dyDescent="0.2">
      <c r="A158" t="s">
        <v>169</v>
      </c>
      <c r="B158" t="str">
        <f t="shared" si="12"/>
        <v>Federal Wireless Communication Inc.</v>
      </c>
      <c r="C158" t="str">
        <f t="shared" si="13"/>
        <v>43.8106164</v>
      </c>
      <c r="D158" t="str">
        <f t="shared" si="14"/>
        <v>-79.2528031</v>
      </c>
      <c r="E158" t="str">
        <f t="shared" si="15"/>
        <v>416-321-6606</v>
      </c>
      <c r="F158" t="str">
        <f t="shared" si="16"/>
        <v>M1S 5A5</v>
      </c>
      <c r="G158" t="str">
        <f t="shared" si="17"/>
        <v>[ "Federal Wireless Communication Inc.", 43.8106164, -79.2528031, '416-321-6606', 'M1S 5A5'],</v>
      </c>
      <c r="H158" t="s">
        <v>1075</v>
      </c>
    </row>
    <row r="159" spans="1:8" x14ac:dyDescent="0.2">
      <c r="A159" t="s">
        <v>170</v>
      </c>
      <c r="B159" t="str">
        <f t="shared" si="12"/>
        <v>Canadian Tire</v>
      </c>
      <c r="C159" t="str">
        <f t="shared" si="13"/>
        <v>43.9568185393775</v>
      </c>
      <c r="D159" t="str">
        <f t="shared" si="14"/>
        <v>-79.2786247921156</v>
      </c>
      <c r="E159" t="str">
        <f t="shared" si="15"/>
        <v>905-640-5800</v>
      </c>
      <c r="F159" t="str">
        <f t="shared" si="16"/>
        <v>L4A 0K2</v>
      </c>
      <c r="G159" t="str">
        <f t="shared" si="17"/>
        <v>[ "Canadian Tire", 43.9568185393775, -79.2786247921156, '905-640-5800', 'L4A 0K2'],</v>
      </c>
      <c r="H159" t="s">
        <v>1076</v>
      </c>
    </row>
    <row r="160" spans="1:8" x14ac:dyDescent="0.2">
      <c r="A160" t="s">
        <v>171</v>
      </c>
      <c r="B160" t="str">
        <f t="shared" si="12"/>
        <v>Staples</v>
      </c>
      <c r="C160" t="str">
        <f t="shared" si="13"/>
        <v>43.9582946871189</v>
      </c>
      <c r="D160" t="str">
        <f t="shared" si="14"/>
        <v>-79.2718495160064</v>
      </c>
      <c r="E160" t="str">
        <f t="shared" si="15"/>
        <v>905-642-6800</v>
      </c>
      <c r="F160" t="str">
        <f t="shared" si="16"/>
        <v>L4A 0K2</v>
      </c>
      <c r="G160" t="str">
        <f t="shared" si="17"/>
        <v>[ "Staples", 43.9582946871189, -79.2718495160064, '905-642-6800', 'L4A 0K2'],</v>
      </c>
      <c r="H160" t="s">
        <v>1077</v>
      </c>
    </row>
    <row r="161" spans="1:8" x14ac:dyDescent="0.2">
      <c r="A161" t="s">
        <v>172</v>
      </c>
      <c r="B161" t="str">
        <f t="shared" si="12"/>
        <v>Fastenal</v>
      </c>
      <c r="C161" t="str">
        <f t="shared" si="13"/>
        <v>43.8093601645066</v>
      </c>
      <c r="D161" t="str">
        <f t="shared" si="14"/>
        <v>-79.2435452702725</v>
      </c>
      <c r="E161" t="str">
        <f t="shared" si="15"/>
        <v>416-646-1681</v>
      </c>
      <c r="F161" t="str">
        <f t="shared" si="16"/>
        <v>M1B 2W4</v>
      </c>
      <c r="G161" t="str">
        <f t="shared" si="17"/>
        <v>[ "Fastenal", 43.8093601645066, -79.2435452702725, '416-646-1681', 'M1B 2W4'],</v>
      </c>
      <c r="H161" t="s">
        <v>1078</v>
      </c>
    </row>
    <row r="162" spans="1:8" x14ac:dyDescent="0.2">
      <c r="A162" t="s">
        <v>173</v>
      </c>
      <c r="B162" t="str">
        <f t="shared" si="12"/>
        <v>The Source</v>
      </c>
      <c r="C162" t="str">
        <f t="shared" si="13"/>
        <v>43.9649619587629</v>
      </c>
      <c r="D162" t="str">
        <f t="shared" si="14"/>
        <v>-79.2758659793814</v>
      </c>
      <c r="E162" t="str">
        <f t="shared" si="15"/>
        <v>905-642-4776</v>
      </c>
      <c r="F162" t="str">
        <f t="shared" si="16"/>
        <v>L4A 1H3</v>
      </c>
      <c r="G162" t="str">
        <f t="shared" si="17"/>
        <v>[ "The Source", 43.9649619587629, -79.2758659793814, '905-642-4776', 'L4A 1H3'],</v>
      </c>
      <c r="H162" t="s">
        <v>1079</v>
      </c>
    </row>
    <row r="163" spans="1:8" x14ac:dyDescent="0.2">
      <c r="A163" t="s">
        <v>174</v>
      </c>
      <c r="B163" t="str">
        <f t="shared" si="12"/>
        <v>Canadian Tire</v>
      </c>
      <c r="C163" t="str">
        <f t="shared" si="13"/>
        <v>43.7899618</v>
      </c>
      <c r="D163" t="str">
        <f t="shared" si="14"/>
        <v>-79.2610837</v>
      </c>
      <c r="E163" t="str">
        <f t="shared" si="15"/>
        <v>416-298-0000</v>
      </c>
      <c r="F163" t="str">
        <f t="shared" si="16"/>
        <v>M1S 3V5</v>
      </c>
      <c r="G163" t="str">
        <f t="shared" si="17"/>
        <v>[ "Canadian Tire", 43.7899618, -79.2610837, '416-298-0000', 'M1S 3V5'],</v>
      </c>
      <c r="H163" t="s">
        <v>1080</v>
      </c>
    </row>
    <row r="164" spans="1:8" x14ac:dyDescent="0.2">
      <c r="A164" t="s">
        <v>175</v>
      </c>
      <c r="B164" t="str">
        <f t="shared" si="12"/>
        <v>ListenUp! Canada</v>
      </c>
      <c r="C164" t="str">
        <f t="shared" si="13"/>
        <v>43.8091281818182</v>
      </c>
      <c r="D164" t="str">
        <f t="shared" si="14"/>
        <v>-79.2214209090909</v>
      </c>
      <c r="E164" t="str">
        <f t="shared" si="15"/>
        <v>416-282-5574</v>
      </c>
      <c r="F164" t="str">
        <f t="shared" si="16"/>
        <v>M1B 4Z8</v>
      </c>
      <c r="G164" t="str">
        <f t="shared" si="17"/>
        <v>[ "ListenUp! Canada", 43.8091281818182, -79.2214209090909, '416-282-5574', 'M1B 4Z8'],</v>
      </c>
      <c r="H164" t="s">
        <v>1081</v>
      </c>
    </row>
    <row r="165" spans="1:8" x14ac:dyDescent="0.2">
      <c r="A165" t="s">
        <v>176</v>
      </c>
      <c r="B165" t="str">
        <f t="shared" si="12"/>
        <v>Franklin Empire</v>
      </c>
      <c r="C165" t="str">
        <f t="shared" si="13"/>
        <v>43.785577392966</v>
      </c>
      <c r="D165" t="str">
        <f t="shared" si="14"/>
        <v>-79.2556527454995</v>
      </c>
      <c r="E165" t="str">
        <f t="shared" si="15"/>
        <v>416-299-4443</v>
      </c>
      <c r="F165" t="str">
        <f t="shared" si="16"/>
        <v>M1S 3P8</v>
      </c>
      <c r="G165" t="str">
        <f t="shared" si="17"/>
        <v>[ "Franklin Empire", 43.785577392966, -79.2556527454995, '416-299-4443', 'M1S 3P8'],</v>
      </c>
      <c r="H165" t="s">
        <v>1082</v>
      </c>
    </row>
    <row r="166" spans="1:8" x14ac:dyDescent="0.2">
      <c r="A166" t="s">
        <v>177</v>
      </c>
      <c r="B166" t="str">
        <f t="shared" si="12"/>
        <v>The Source</v>
      </c>
      <c r="C166" t="str">
        <f t="shared" si="13"/>
        <v>43.7958802857143</v>
      </c>
      <c r="D166" t="str">
        <f t="shared" si="14"/>
        <v>-79.4195102857143</v>
      </c>
      <c r="E166" t="str">
        <f t="shared" si="15"/>
        <v>416-223-1943</v>
      </c>
      <c r="F166" t="str">
        <f t="shared" si="16"/>
        <v>M2M 3X4</v>
      </c>
      <c r="G166" t="str">
        <f t="shared" si="17"/>
        <v>[ "The Source", 43.7958802857143, -79.4195102857143, '416-223-1943', 'M2M 3X4'],</v>
      </c>
      <c r="H166" t="s">
        <v>1083</v>
      </c>
    </row>
    <row r="167" spans="1:8" x14ac:dyDescent="0.2">
      <c r="A167" t="s">
        <v>178</v>
      </c>
      <c r="B167" t="str">
        <f t="shared" si="12"/>
        <v>Canadian Tire</v>
      </c>
      <c r="C167" t="str">
        <f t="shared" si="13"/>
        <v>43.7957925</v>
      </c>
      <c r="D167" t="str">
        <f t="shared" si="14"/>
        <v>-79.41948875</v>
      </c>
      <c r="E167" t="str">
        <f t="shared" si="15"/>
        <v>416-222-2511</v>
      </c>
      <c r="F167" t="str">
        <f t="shared" si="16"/>
        <v>M2M 3X4</v>
      </c>
      <c r="G167" t="str">
        <f t="shared" si="17"/>
        <v>[ "Canadian Tire", 43.7957925, -79.41948875, '416-222-2511', 'M2M 3X4'],</v>
      </c>
      <c r="H167" t="s">
        <v>1084</v>
      </c>
    </row>
    <row r="168" spans="1:8" x14ac:dyDescent="0.2">
      <c r="A168" t="s">
        <v>179</v>
      </c>
      <c r="B168" t="str">
        <f t="shared" si="12"/>
        <v>Princess Auto</v>
      </c>
      <c r="C168" t="str">
        <f t="shared" si="13"/>
        <v>43.78416</v>
      </c>
      <c r="D168" t="str">
        <f t="shared" si="14"/>
        <v>-79.25592</v>
      </c>
      <c r="E168" t="str">
        <f t="shared" si="15"/>
        <v>647-253-5600</v>
      </c>
      <c r="F168" t="str">
        <f t="shared" si="16"/>
        <v>M1S 5K7</v>
      </c>
      <c r="G168" t="str">
        <f t="shared" si="17"/>
        <v>[ "Princess Auto", 43.78416, -79.25592, '647-253-5600', 'M1S 5K7'],</v>
      </c>
      <c r="H168" t="s">
        <v>1085</v>
      </c>
    </row>
    <row r="169" spans="1:8" x14ac:dyDescent="0.2">
      <c r="A169" t="s">
        <v>180</v>
      </c>
      <c r="B169" t="str">
        <f t="shared" si="12"/>
        <v>Canadian College of Naturopathic Medicine</v>
      </c>
      <c r="C169" t="str">
        <f t="shared" si="13"/>
        <v>43.7707414</v>
      </c>
      <c r="D169" t="str">
        <f t="shared" si="14"/>
        <v>-79.3658736</v>
      </c>
      <c r="E169" t="str">
        <f t="shared" si="15"/>
        <v>416-498-1255</v>
      </c>
      <c r="F169" t="str">
        <f t="shared" si="16"/>
        <v>M2K 1E2</v>
      </c>
      <c r="G169" t="str">
        <f t="shared" si="17"/>
        <v>[ "Canadian College of Naturopathic Medicine", 43.7707414, -79.3658736, '416-498-1255', 'M2K 1E2'],</v>
      </c>
      <c r="H169" t="s">
        <v>1086</v>
      </c>
    </row>
    <row r="170" spans="1:8" x14ac:dyDescent="0.2">
      <c r="A170" t="s">
        <v>181</v>
      </c>
      <c r="B170" t="str">
        <f t="shared" si="12"/>
        <v>Best Buy</v>
      </c>
      <c r="C170" t="str">
        <f t="shared" si="13"/>
        <v>43.775466</v>
      </c>
      <c r="D170" t="str">
        <f t="shared" si="14"/>
        <v>-79.25395</v>
      </c>
      <c r="E170" t="str">
        <f t="shared" si="15"/>
        <v>--</v>
      </c>
      <c r="F170" t="str">
        <f t="shared" si="16"/>
        <v>M1P 4P5</v>
      </c>
      <c r="G170" t="str">
        <f t="shared" si="17"/>
        <v>[ "Best Buy", 43.775466, -79.25395, '--', 'M1P 4P5'],</v>
      </c>
      <c r="H170" t="s">
        <v>1087</v>
      </c>
    </row>
    <row r="171" spans="1:8" x14ac:dyDescent="0.2">
      <c r="A171" t="s">
        <v>182</v>
      </c>
      <c r="B171" t="str">
        <f t="shared" si="12"/>
        <v>The Source</v>
      </c>
      <c r="C171" t="str">
        <f t="shared" si="13"/>
        <v>43.8082546569289</v>
      </c>
      <c r="D171" t="str">
        <f t="shared" si="14"/>
        <v>-79.4543521119226</v>
      </c>
      <c r="E171" t="str">
        <f t="shared" si="15"/>
        <v>905-889-0074</v>
      </c>
      <c r="F171" t="str">
        <f t="shared" si="16"/>
        <v>L4J 4P8</v>
      </c>
      <c r="G171" t="str">
        <f t="shared" si="17"/>
        <v>[ "The Source", 43.8082546569289, -79.4543521119226, '905-889-0074', 'L4J 4P8'],</v>
      </c>
      <c r="H171" t="s">
        <v>1088</v>
      </c>
    </row>
    <row r="172" spans="1:8" x14ac:dyDescent="0.2">
      <c r="A172" t="s">
        <v>183</v>
      </c>
      <c r="B172" t="str">
        <f t="shared" si="12"/>
        <v>Best Buy</v>
      </c>
      <c r="C172" t="str">
        <f t="shared" si="13"/>
        <v>43.77976</v>
      </c>
      <c r="D172" t="str">
        <f t="shared" si="14"/>
        <v>-79.41556</v>
      </c>
      <c r="E172" t="str">
        <f t="shared" si="15"/>
        <v>--</v>
      </c>
      <c r="F172" t="str">
        <f t="shared" si="16"/>
        <v>M2M 3X4</v>
      </c>
      <c r="G172" t="str">
        <f t="shared" si="17"/>
        <v>[ "Best Buy", 43.77976, -79.41556, '--', 'M2M 3X4'],</v>
      </c>
      <c r="H172" t="s">
        <v>1089</v>
      </c>
    </row>
    <row r="173" spans="1:8" x14ac:dyDescent="0.2">
      <c r="A173" t="s">
        <v>184</v>
      </c>
      <c r="B173" t="str">
        <f t="shared" si="12"/>
        <v>Home Depot</v>
      </c>
      <c r="C173" t="str">
        <f t="shared" si="13"/>
        <v>43.76262</v>
      </c>
      <c r="D173" t="str">
        <f t="shared" si="14"/>
        <v>-79.29468</v>
      </c>
      <c r="E173" t="str">
        <f t="shared" si="15"/>
        <v>416-609-1800</v>
      </c>
      <c r="F173" t="str">
        <f t="shared" si="16"/>
        <v>M1R 4E6</v>
      </c>
      <c r="G173" t="str">
        <f t="shared" si="17"/>
        <v>[ "Home Depot", 43.76262, -79.29468, '416-609-1800', 'M1R 4E6'],</v>
      </c>
      <c r="H173" t="s">
        <v>1090</v>
      </c>
    </row>
    <row r="174" spans="1:8" x14ac:dyDescent="0.2">
      <c r="A174" t="s">
        <v>185</v>
      </c>
      <c r="B174" t="str">
        <f t="shared" si="12"/>
        <v>Staples</v>
      </c>
      <c r="C174" t="str">
        <f t="shared" si="13"/>
        <v>43.75861</v>
      </c>
      <c r="D174" t="str">
        <f t="shared" si="14"/>
        <v>-79.31211</v>
      </c>
      <c r="E174" t="str">
        <f t="shared" si="15"/>
        <v>416-444-5237</v>
      </c>
      <c r="F174" t="str">
        <f t="shared" si="16"/>
        <v>M1R 4B7</v>
      </c>
      <c r="G174" t="str">
        <f t="shared" si="17"/>
        <v>[ "Staples", 43.75861, -79.31211, '416-444-5237', 'M1R 4B7'],</v>
      </c>
      <c r="H174" t="s">
        <v>1091</v>
      </c>
    </row>
    <row r="175" spans="1:8" x14ac:dyDescent="0.2">
      <c r="A175" t="s">
        <v>186</v>
      </c>
      <c r="B175" t="str">
        <f t="shared" si="12"/>
        <v>Staples</v>
      </c>
      <c r="C175" t="str">
        <f t="shared" si="13"/>
        <v>43.79976</v>
      </c>
      <c r="D175" t="str">
        <f t="shared" si="14"/>
        <v>-79.19677</v>
      </c>
      <c r="E175" t="str">
        <f t="shared" si="15"/>
        <v>416-208-7728</v>
      </c>
      <c r="F175" t="str">
        <f t="shared" si="16"/>
        <v>M1V 1K4</v>
      </c>
      <c r="G175" t="str">
        <f t="shared" si="17"/>
        <v>[ "Staples", 43.79976, -79.19677, '416-208-7728', 'M1V 1K4'],</v>
      </c>
      <c r="H175" t="s">
        <v>1092</v>
      </c>
    </row>
    <row r="176" spans="1:8" x14ac:dyDescent="0.2">
      <c r="A176" t="s">
        <v>187</v>
      </c>
      <c r="B176" t="str">
        <f t="shared" si="12"/>
        <v>Home Depot</v>
      </c>
      <c r="C176" t="str">
        <f t="shared" si="13"/>
        <v>43.8014078156504</v>
      </c>
      <c r="D176" t="str">
        <f t="shared" si="14"/>
        <v>-79.1945958807861</v>
      </c>
      <c r="E176" t="str">
        <f t="shared" si="15"/>
        <v>416-283-3166</v>
      </c>
      <c r="F176" t="str">
        <f t="shared" si="16"/>
        <v>M1B 5N6</v>
      </c>
      <c r="G176" t="str">
        <f t="shared" si="17"/>
        <v>[ "Home Depot", 43.8014078156504, -79.1945958807861, '416-283-3166', 'M1B 5N6'],</v>
      </c>
      <c r="H176" t="s">
        <v>1093</v>
      </c>
    </row>
    <row r="177" spans="1:8" x14ac:dyDescent="0.2">
      <c r="A177" t="s">
        <v>188</v>
      </c>
      <c r="B177" t="str">
        <f t="shared" si="12"/>
        <v>RONA</v>
      </c>
      <c r="C177" t="str">
        <f t="shared" si="13"/>
        <v>43.7644127</v>
      </c>
      <c r="D177" t="str">
        <f t="shared" si="14"/>
        <v>-79.3993942</v>
      </c>
      <c r="E177" t="str">
        <f t="shared" si="15"/>
        <v>416-225-7726</v>
      </c>
      <c r="F177" t="str">
        <f t="shared" si="16"/>
        <v>M2N 3B1</v>
      </c>
      <c r="G177" t="str">
        <f t="shared" si="17"/>
        <v>[ "RONA", 43.7644127, -79.3993942, '416-225-7726', 'M2N 3B1'],</v>
      </c>
      <c r="H177" t="s">
        <v>1094</v>
      </c>
    </row>
    <row r="178" spans="1:8" x14ac:dyDescent="0.2">
      <c r="A178" t="s">
        <v>189</v>
      </c>
      <c r="B178" t="str">
        <f t="shared" si="12"/>
        <v>Canadian Tire</v>
      </c>
      <c r="C178" t="str">
        <f t="shared" si="13"/>
        <v>43.81358</v>
      </c>
      <c r="D178" t="str">
        <f t="shared" si="14"/>
        <v>-79.47625</v>
      </c>
      <c r="E178" t="str">
        <f t="shared" si="15"/>
        <v>905-889-7455</v>
      </c>
      <c r="F178" t="str">
        <f t="shared" si="16"/>
        <v>L4J 8R9</v>
      </c>
      <c r="G178" t="str">
        <f t="shared" si="17"/>
        <v>[ "Canadian Tire", 43.81358, -79.47625, '905-889-7455', 'L4J 8R9'],</v>
      </c>
      <c r="H178" t="s">
        <v>1095</v>
      </c>
    </row>
    <row r="179" spans="1:8" x14ac:dyDescent="0.2">
      <c r="A179" t="s">
        <v>190</v>
      </c>
      <c r="B179" t="str">
        <f t="shared" si="12"/>
        <v>Best Buy Canada</v>
      </c>
      <c r="C179" t="str">
        <f t="shared" si="13"/>
        <v>43.768118</v>
      </c>
      <c r="D179" t="str">
        <f t="shared" si="14"/>
        <v>-79.412616</v>
      </c>
      <c r="E179" t="str">
        <f t="shared" si="15"/>
        <v>416-642-7980</v>
      </c>
      <c r="F179" t="str">
        <f t="shared" si="16"/>
        <v>M2N 6Z4</v>
      </c>
      <c r="G179" t="str">
        <f t="shared" si="17"/>
        <v>[ "Best Buy Canada", 43.768118, -79.412616, '416-642-7980', 'M2N 6Z4'],</v>
      </c>
      <c r="H179" t="s">
        <v>1096</v>
      </c>
    </row>
    <row r="180" spans="1:8" x14ac:dyDescent="0.2">
      <c r="A180" t="s">
        <v>191</v>
      </c>
      <c r="B180" t="str">
        <f t="shared" si="12"/>
        <v>Kelcom</v>
      </c>
      <c r="C180" t="str">
        <f t="shared" si="13"/>
        <v>43.817102051282</v>
      </c>
      <c r="D180" t="str">
        <f t="shared" si="14"/>
        <v>-79.4836097435897</v>
      </c>
      <c r="E180" t="str">
        <f t="shared" si="15"/>
        <v>905-761-6070</v>
      </c>
      <c r="F180" t="str">
        <f t="shared" si="16"/>
        <v>L4K 3N6</v>
      </c>
      <c r="G180" t="str">
        <f t="shared" si="17"/>
        <v>[ "Kelcom", 43.817102051282, -79.4836097435897, '905-761-6070', 'L4K 3N6'],</v>
      </c>
      <c r="H180" t="s">
        <v>1097</v>
      </c>
    </row>
    <row r="181" spans="1:8" x14ac:dyDescent="0.2">
      <c r="A181" t="s">
        <v>192</v>
      </c>
      <c r="B181" t="str">
        <f t="shared" si="12"/>
        <v>ListenUp! Canada</v>
      </c>
      <c r="C181" t="str">
        <f t="shared" si="13"/>
        <v>43.78216</v>
      </c>
      <c r="D181" t="str">
        <f t="shared" si="14"/>
        <v>-79.207</v>
      </c>
      <c r="E181" t="str">
        <f t="shared" si="15"/>
        <v>416-283-1940</v>
      </c>
      <c r="F181" t="str">
        <f t="shared" si="16"/>
        <v>M1E 5E9</v>
      </c>
      <c r="G181" t="str">
        <f t="shared" si="17"/>
        <v>[ "ListenUp! Canada", 43.78216, -79.207, '416-283-1940', 'M1E 5E9'],</v>
      </c>
      <c r="H181" t="s">
        <v>1098</v>
      </c>
    </row>
    <row r="182" spans="1:8" x14ac:dyDescent="0.2">
      <c r="A182" t="s">
        <v>193</v>
      </c>
      <c r="B182" t="str">
        <f t="shared" si="12"/>
        <v>Staples</v>
      </c>
      <c r="C182" t="str">
        <f t="shared" si="13"/>
        <v>43.7984506</v>
      </c>
      <c r="D182" t="str">
        <f t="shared" si="14"/>
        <v>-79.4709573</v>
      </c>
      <c r="E182" t="str">
        <f t="shared" si="15"/>
        <v>905-669-5096</v>
      </c>
      <c r="F182" t="str">
        <f t="shared" si="16"/>
        <v>L4J 7R5</v>
      </c>
      <c r="G182" t="str">
        <f t="shared" si="17"/>
        <v>[ "Staples", 43.7984506, -79.4709573, '905-669-5096', 'L4J 7R5'],</v>
      </c>
      <c r="H182" t="s">
        <v>1099</v>
      </c>
    </row>
    <row r="183" spans="1:8" x14ac:dyDescent="0.2">
      <c r="A183" t="s">
        <v>194</v>
      </c>
      <c r="B183" t="str">
        <f t="shared" si="12"/>
        <v>Trion Power Tools Services Inc.</v>
      </c>
      <c r="C183" t="str">
        <f t="shared" si="13"/>
        <v>43.811413837805</v>
      </c>
      <c r="D183" t="str">
        <f t="shared" si="14"/>
        <v>-79.4880696655048</v>
      </c>
      <c r="E183" t="str">
        <f t="shared" si="15"/>
        <v>905-738-5060</v>
      </c>
      <c r="F183" t="str">
        <f t="shared" si="16"/>
        <v>L4K 3M7</v>
      </c>
      <c r="G183" t="str">
        <f t="shared" si="17"/>
        <v>[ "Trion Power Tools Services Inc.", 43.811413837805, -79.4880696655048, '905-738-5060', 'L4K 3M7'],</v>
      </c>
      <c r="H183" t="s">
        <v>1100</v>
      </c>
    </row>
    <row r="184" spans="1:8" x14ac:dyDescent="0.2">
      <c r="A184" t="s">
        <v>195</v>
      </c>
      <c r="B184" t="str">
        <f t="shared" si="12"/>
        <v>ListenUp! Canada</v>
      </c>
      <c r="C184" t="str">
        <f t="shared" si="13"/>
        <v>43.7441644444444</v>
      </c>
      <c r="D184" t="str">
        <f t="shared" si="14"/>
        <v>-79.3454033333333</v>
      </c>
      <c r="E184" t="str">
        <f t="shared" si="15"/>
        <v>416-441-3251</v>
      </c>
      <c r="F184" t="str">
        <f t="shared" si="16"/>
        <v>M3B 2W7</v>
      </c>
      <c r="G184" t="str">
        <f t="shared" si="17"/>
        <v>[ "ListenUp! Canada", 43.7441644444444, -79.3454033333333, '416-441-3251', 'M3B 2W7'],</v>
      </c>
      <c r="H184" t="s">
        <v>1101</v>
      </c>
    </row>
    <row r="185" spans="1:8" x14ac:dyDescent="0.2">
      <c r="A185" t="s">
        <v>196</v>
      </c>
      <c r="B185" t="str">
        <f t="shared" si="12"/>
        <v>ListenUp! Canada</v>
      </c>
      <c r="C185" t="str">
        <f t="shared" si="13"/>
        <v>43.74771</v>
      </c>
      <c r="D185" t="str">
        <f t="shared" si="14"/>
        <v>-79.3856283333333</v>
      </c>
      <c r="E185" t="str">
        <f t="shared" si="15"/>
        <v>416-510-2705</v>
      </c>
      <c r="F185" t="str">
        <f t="shared" si="16"/>
        <v>M2L 2Y5</v>
      </c>
      <c r="G185" t="str">
        <f t="shared" si="17"/>
        <v>[ "ListenUp! Canada", 43.74771, -79.3856283333333, '416-510-2705', 'M2L 2Y5'],</v>
      </c>
      <c r="H185" t="s">
        <v>1102</v>
      </c>
    </row>
    <row r="186" spans="1:8" x14ac:dyDescent="0.2">
      <c r="A186" t="s">
        <v>197</v>
      </c>
      <c r="B186" t="str">
        <f t="shared" si="12"/>
        <v>ListenUp! Canada</v>
      </c>
      <c r="C186" t="str">
        <f t="shared" si="13"/>
        <v>43.7601748</v>
      </c>
      <c r="D186" t="str">
        <f t="shared" si="14"/>
        <v>-79.2284333</v>
      </c>
      <c r="E186" t="str">
        <f t="shared" si="15"/>
        <v>416-439-7888</v>
      </c>
      <c r="F186" t="str">
        <f t="shared" si="16"/>
        <v>M1H 1A9</v>
      </c>
      <c r="G186" t="str">
        <f t="shared" si="17"/>
        <v>[ "ListenUp! Canada", 43.7601748, -79.2284333, '416-439-7888', 'M1H 1A9'],</v>
      </c>
      <c r="H186" t="s">
        <v>1103</v>
      </c>
    </row>
    <row r="187" spans="1:8" x14ac:dyDescent="0.2">
      <c r="A187" t="s">
        <v>198</v>
      </c>
      <c r="B187" t="str">
        <f t="shared" si="12"/>
        <v>Home Depot</v>
      </c>
      <c r="C187" t="str">
        <f t="shared" si="13"/>
        <v>43.7846456</v>
      </c>
      <c r="D187" t="str">
        <f t="shared" si="14"/>
        <v>-79.4809113</v>
      </c>
      <c r="E187" t="str">
        <f t="shared" si="15"/>
        <v>416-664-9800</v>
      </c>
      <c r="F187" t="str">
        <f t="shared" si="16"/>
        <v>M3J 3A8</v>
      </c>
      <c r="G187" t="str">
        <f t="shared" si="17"/>
        <v>[ "Home Depot", 43.7846456, -79.4809113, '416-664-9800', 'M3J 3A8'],</v>
      </c>
      <c r="H187" t="s">
        <v>1104</v>
      </c>
    </row>
    <row r="188" spans="1:8" x14ac:dyDescent="0.2">
      <c r="A188" t="s">
        <v>199</v>
      </c>
      <c r="B188" t="str">
        <f t="shared" si="12"/>
        <v>ListenUp! Canada</v>
      </c>
      <c r="C188" t="str">
        <f t="shared" si="13"/>
        <v>43.7665105</v>
      </c>
      <c r="D188" t="str">
        <f t="shared" si="14"/>
        <v>-79.1926905</v>
      </c>
      <c r="E188" t="str">
        <f t="shared" si="15"/>
        <v>416-724-9600</v>
      </c>
      <c r="F188" t="str">
        <f t="shared" si="16"/>
        <v>M1E 2S2</v>
      </c>
      <c r="G188" t="str">
        <f t="shared" si="17"/>
        <v>[ "ListenUp! Canada", 43.7665105, -79.1926905, '416-724-9600', 'M1E 2S2'],</v>
      </c>
      <c r="H188" t="s">
        <v>1105</v>
      </c>
    </row>
    <row r="189" spans="1:8" x14ac:dyDescent="0.2">
      <c r="A189" t="s">
        <v>200</v>
      </c>
      <c r="B189" t="str">
        <f t="shared" si="12"/>
        <v>Canadian Tire</v>
      </c>
      <c r="C189" t="str">
        <f t="shared" si="13"/>
        <v>43.7976226086956</v>
      </c>
      <c r="D189" t="str">
        <f t="shared" si="14"/>
        <v>-79.1538730434783</v>
      </c>
      <c r="E189" t="str">
        <f t="shared" si="15"/>
        <v>416-283-7707</v>
      </c>
      <c r="F189" t="str">
        <f t="shared" si="16"/>
        <v>M1B 4X3</v>
      </c>
      <c r="G189" t="str">
        <f t="shared" si="17"/>
        <v>[ "Canadian Tire", 43.7976226086956, -79.1538730434783, '416-283-7707', 'M1B 4X3'],</v>
      </c>
      <c r="H189" t="s">
        <v>1106</v>
      </c>
    </row>
    <row r="190" spans="1:8" x14ac:dyDescent="0.2">
      <c r="A190" t="s">
        <v>201</v>
      </c>
      <c r="B190" t="str">
        <f t="shared" si="12"/>
        <v>Best Buy</v>
      </c>
      <c r="C190" t="str">
        <f t="shared" si="13"/>
        <v>43.7205099</v>
      </c>
      <c r="D190" t="str">
        <f t="shared" si="14"/>
        <v>-79.6000779</v>
      </c>
      <c r="E190" t="str">
        <f t="shared" si="15"/>
        <v>--</v>
      </c>
      <c r="F190" t="str">
        <f t="shared" si="16"/>
        <v>M9W 6K5</v>
      </c>
      <c r="G190" t="str">
        <f t="shared" si="17"/>
        <v>[ "Best Buy", 43.7205099, -79.6000779, '--', 'M9W 6K5'],</v>
      </c>
      <c r="H190" t="s">
        <v>1107</v>
      </c>
    </row>
    <row r="191" spans="1:8" x14ac:dyDescent="0.2">
      <c r="A191" t="s">
        <v>202</v>
      </c>
      <c r="B191" t="str">
        <f t="shared" si="12"/>
        <v>Home Depot</v>
      </c>
      <c r="C191" t="str">
        <f t="shared" si="13"/>
        <v>43.70865</v>
      </c>
      <c r="D191" t="str">
        <f t="shared" si="14"/>
        <v>-79.565265</v>
      </c>
      <c r="E191" t="str">
        <f t="shared" si="15"/>
        <v>416-746-1357</v>
      </c>
      <c r="F191" t="str">
        <f t="shared" si="16"/>
        <v>M9W 4J4</v>
      </c>
      <c r="G191" t="str">
        <f t="shared" si="17"/>
        <v>[ "Home Depot", 43.70865, -79.565265, '416-746-1357', 'M9W 4J4'],</v>
      </c>
      <c r="H191" t="s">
        <v>1108</v>
      </c>
    </row>
    <row r="192" spans="1:8" x14ac:dyDescent="0.2">
      <c r="A192" t="s">
        <v>203</v>
      </c>
      <c r="B192" t="str">
        <f t="shared" si="12"/>
        <v>Franklin Empire</v>
      </c>
      <c r="C192" t="str">
        <f t="shared" si="13"/>
        <v>43.69355</v>
      </c>
      <c r="D192" t="str">
        <f t="shared" si="14"/>
        <v>-79.59861</v>
      </c>
      <c r="E192" t="str">
        <f t="shared" si="15"/>
        <v>416-248-0176</v>
      </c>
      <c r="F192" t="str">
        <f t="shared" si="16"/>
        <v>M9W 5G6</v>
      </c>
      <c r="G192" t="str">
        <f t="shared" si="17"/>
        <v>[ "Franklin Empire", 43.69355, -79.59861, '416-248-0176', 'M9W 5G6'],</v>
      </c>
      <c r="H192" t="s">
        <v>1109</v>
      </c>
    </row>
    <row r="193" spans="1:8" x14ac:dyDescent="0.2">
      <c r="A193" t="s">
        <v>204</v>
      </c>
      <c r="B193" t="str">
        <f t="shared" ref="B193:B256" si="18">MID(A193,SEARCH("name"&amp;CHAR(34)&amp;":"&amp;CHAR(34),A193)+7,SEARCH(CHAR(34)&amp;", "&amp;CHAR(34)&amp;"locationlinkurl",A193)-SEARCH("name"&amp;CHAR(34)&amp;":"&amp;CHAR(34),A193)-7)</f>
        <v>La Source</v>
      </c>
      <c r="C193" t="str">
        <f t="shared" ref="C193:C256" si="19">MID(A193,SEARCH(CHAR(34)&amp;"latitude"&amp;CHAR(34)&amp;":"&amp;CHAR(34),A193)+12,SEARCH(CHAR(34)&amp;", "&amp;CHAR(34)&amp;"url"&amp;CHAR(34),A193)-SEARCH(CHAR(34)&amp;"latitude"&amp;CHAR(34)&amp;":"&amp;CHAR(34),A193)-12)</f>
        <v>43.68765</v>
      </c>
      <c r="D193" t="str">
        <f t="shared" ref="D193:D256" si="20">MID(A193,SEARCH(CHAR(34)&amp;"longitude"&amp;CHAR(34)&amp;":"&amp;CHAR(34),A193)+13,SEARCH(CHAR(34)&amp;", "&amp;CHAR(34)&amp;"uid"&amp;CHAR(34),A193)-SEARCH(CHAR(34)&amp;"longitude"&amp;CHAR(34)&amp;":"&amp;CHAR(34),A193)-13)</f>
        <v>-79.62194</v>
      </c>
      <c r="E193" t="str">
        <f t="shared" ref="E193:E256" si="21">MID(A193,SEARCH(CHAR(34)&amp;"phone"&amp;CHAR(34)&amp;":"&amp;CHAR(34),A193)+9,SEARCH(CHAR(34)&amp;", "&amp;CHAR(34)&amp;"address2"&amp;CHAR(34),A193)-SEARCH(CHAR(34)&amp;"phone"&amp;CHAR(34)&amp;":"&amp;CHAR(34),A193)-9)</f>
        <v>905-672-6301</v>
      </c>
      <c r="F193" t="str">
        <f t="shared" ref="F193:F256" si="22">MID(A193,SEARCH(CHAR(34)&amp;"postalcode"&amp;CHAR(34)&amp;":"&amp;CHAR(34),A193)+14,SEARCH(CHAR(34)&amp;", "&amp;CHAR(34)&amp;"province"&amp;CHAR(34),A193)-SEARCH(CHAR(34)&amp;"postalcode"&amp;CHAR(34)&amp;":"&amp;CHAR(34),A193)-14)</f>
        <v>L5P 1B2</v>
      </c>
      <c r="G193" t="str">
        <f t="shared" ref="G193:G256" si="23">"[ "&amp;CHAR(34)&amp;B193&amp;CHAR(34)&amp;", "&amp;C193&amp;", "&amp;D193&amp;", '"&amp;E193&amp;"', '"&amp;F193&amp;"'],"</f>
        <v>[ "La Source", 43.68765, -79.62194, '905-672-6301', 'L5P 1B2'],</v>
      </c>
      <c r="H193" t="s">
        <v>1110</v>
      </c>
    </row>
    <row r="194" spans="1:8" x14ac:dyDescent="0.2">
      <c r="A194" t="s">
        <v>205</v>
      </c>
      <c r="B194" t="str">
        <f t="shared" si="18"/>
        <v>Lakeshore Communications</v>
      </c>
      <c r="C194" t="str">
        <f t="shared" si="19"/>
        <v>43.6811083333333</v>
      </c>
      <c r="D194" t="str">
        <f t="shared" si="20"/>
        <v>-79.5916170833333</v>
      </c>
      <c r="E194" t="str">
        <f t="shared" si="21"/>
        <v>416-675-2929</v>
      </c>
      <c r="F194" t="str">
        <f t="shared" si="22"/>
        <v>M9W 1A4</v>
      </c>
      <c r="G194" t="str">
        <f t="shared" si="23"/>
        <v>[ "Lakeshore Communications", 43.6811083333333, -79.5916170833333, '416-675-2929', 'M9W 1A4'],</v>
      </c>
      <c r="H194" t="s">
        <v>1111</v>
      </c>
    </row>
    <row r="195" spans="1:8" x14ac:dyDescent="0.2">
      <c r="A195" t="s">
        <v>206</v>
      </c>
      <c r="B195" t="str">
        <f t="shared" si="18"/>
        <v>ListenUp! Canada</v>
      </c>
      <c r="C195" t="str">
        <f t="shared" si="19"/>
        <v>43.7824005</v>
      </c>
      <c r="D195" t="str">
        <f t="shared" si="20"/>
        <v>-79.5814143</v>
      </c>
      <c r="E195" t="str">
        <f t="shared" si="21"/>
        <v>905-850-8065</v>
      </c>
      <c r="F195" t="str">
        <f t="shared" si="22"/>
        <v>L4H 0P6</v>
      </c>
      <c r="G195" t="str">
        <f t="shared" si="23"/>
        <v>[ "ListenUp! Canada", 43.7824005, -79.5814143, '905-850-8065', 'L4H 0P6'],</v>
      </c>
      <c r="H195" t="s">
        <v>1112</v>
      </c>
    </row>
    <row r="196" spans="1:8" x14ac:dyDescent="0.2">
      <c r="A196" t="s">
        <v>207</v>
      </c>
      <c r="B196" t="str">
        <f t="shared" si="18"/>
        <v>Vaughan Public Libraries</v>
      </c>
      <c r="C196" t="str">
        <f t="shared" si="19"/>
        <v>43.7847275</v>
      </c>
      <c r="D196" t="str">
        <f t="shared" si="20"/>
        <v>-79.593464375</v>
      </c>
      <c r="E196" t="str">
        <f t="shared" si="21"/>
        <v>905-653-7323</v>
      </c>
      <c r="F196" t="str">
        <f t="shared" si="22"/>
        <v>L4L 2S7</v>
      </c>
      <c r="G196" t="str">
        <f t="shared" si="23"/>
        <v>[ "Vaughan Public Libraries", 43.7847275, -79.593464375, '905-653-7323', 'L4L 2S7'],</v>
      </c>
      <c r="H196" t="s">
        <v>1113</v>
      </c>
    </row>
    <row r="197" spans="1:8" x14ac:dyDescent="0.2">
      <c r="A197" t="s">
        <v>208</v>
      </c>
      <c r="B197" t="str">
        <f t="shared" si="18"/>
        <v>Advantech Communication Systems</v>
      </c>
      <c r="C197" t="str">
        <f t="shared" si="19"/>
        <v>43.7867956637033</v>
      </c>
      <c r="D197" t="str">
        <f t="shared" si="20"/>
        <v>-79.5535294998399</v>
      </c>
      <c r="E197" t="str">
        <f t="shared" si="21"/>
        <v>905-266-1901</v>
      </c>
      <c r="F197" t="str">
        <f t="shared" si="22"/>
        <v>L4L 6A9</v>
      </c>
      <c r="G197" t="str">
        <f t="shared" si="23"/>
        <v>[ "Advantech Communication Systems", 43.7867956637033, -79.5535294998399, '905-266-1901', 'L4L 6A9'],</v>
      </c>
      <c r="H197" t="s">
        <v>1114</v>
      </c>
    </row>
    <row r="198" spans="1:8" x14ac:dyDescent="0.2">
      <c r="A198" t="s">
        <v>209</v>
      </c>
      <c r="B198" t="str">
        <f t="shared" si="18"/>
        <v>Canadian Tire</v>
      </c>
      <c r="C198" t="str">
        <f t="shared" si="19"/>
        <v>43.7887668115942</v>
      </c>
      <c r="D198" t="str">
        <f t="shared" si="20"/>
        <v>-79.5506539130435</v>
      </c>
      <c r="E198" t="str">
        <f t="shared" si="21"/>
        <v>905-851-3214</v>
      </c>
      <c r="F198" t="str">
        <f t="shared" si="22"/>
        <v>L4L 9C3</v>
      </c>
      <c r="G198" t="str">
        <f t="shared" si="23"/>
        <v>[ "Canadian Tire", 43.7887668115942, -79.5506539130435, '905-851-3214', 'L4L 9C3'],</v>
      </c>
      <c r="H198" t="s">
        <v>1115</v>
      </c>
    </row>
    <row r="199" spans="1:8" x14ac:dyDescent="0.2">
      <c r="A199" t="s">
        <v>210</v>
      </c>
      <c r="B199" t="str">
        <f t="shared" si="18"/>
        <v>Staples</v>
      </c>
      <c r="C199" t="str">
        <f t="shared" si="19"/>
        <v>43.7854118</v>
      </c>
      <c r="D199" t="str">
        <f t="shared" si="20"/>
        <v>-79.5413764</v>
      </c>
      <c r="E199" t="str">
        <f t="shared" si="21"/>
        <v>905-856-6588</v>
      </c>
      <c r="F199" t="str">
        <f t="shared" si="22"/>
        <v>L4L 9J8</v>
      </c>
      <c r="G199" t="str">
        <f t="shared" si="23"/>
        <v>[ "Staples", 43.7854118, -79.5413764, '905-856-6588', 'L4L 9J8'],</v>
      </c>
      <c r="H199" t="s">
        <v>1116</v>
      </c>
    </row>
    <row r="200" spans="1:8" x14ac:dyDescent="0.2">
      <c r="A200" t="s">
        <v>211</v>
      </c>
      <c r="B200" t="str">
        <f t="shared" si="18"/>
        <v>Home Depot</v>
      </c>
      <c r="C200" t="str">
        <f t="shared" si="19"/>
        <v>43.7920975864228</v>
      </c>
      <c r="D200" t="str">
        <f t="shared" si="20"/>
        <v>-79.5438865267616</v>
      </c>
      <c r="E200" t="str">
        <f t="shared" si="21"/>
        <v>905-851-1800</v>
      </c>
      <c r="F200" t="str">
        <f t="shared" si="22"/>
        <v>L4L 8T2</v>
      </c>
      <c r="G200" t="str">
        <f t="shared" si="23"/>
        <v>[ "Home Depot", 43.7920975864228, -79.5438865267616, '905-851-1800', 'L4L 8T2'],</v>
      </c>
      <c r="H200" t="s">
        <v>1117</v>
      </c>
    </row>
    <row r="201" spans="1:8" x14ac:dyDescent="0.2">
      <c r="A201" t="s">
        <v>212</v>
      </c>
      <c r="B201" t="str">
        <f t="shared" si="18"/>
        <v>Ricoh Canada</v>
      </c>
      <c r="C201" t="str">
        <f t="shared" si="19"/>
        <v>43.6612163079398</v>
      </c>
      <c r="D201" t="str">
        <f t="shared" si="20"/>
        <v>-79.6085778031673</v>
      </c>
      <c r="E201" t="str">
        <f t="shared" si="21"/>
        <v>905-795-7926</v>
      </c>
      <c r="F201" t="str">
        <f t="shared" si="22"/>
        <v>L4W 5L1</v>
      </c>
      <c r="G201" t="str">
        <f t="shared" si="23"/>
        <v>[ "Ricoh Canada", 43.6612163079398, -79.6085778031673, '905-795-7926', 'L4W 5L1'],</v>
      </c>
      <c r="H201" t="s">
        <v>1118</v>
      </c>
    </row>
    <row r="202" spans="1:8" x14ac:dyDescent="0.2">
      <c r="A202" t="s">
        <v>213</v>
      </c>
      <c r="B202" t="str">
        <f t="shared" si="18"/>
        <v>Transcontinental Printing</v>
      </c>
      <c r="C202" t="str">
        <f t="shared" si="19"/>
        <v>43.7111904510481</v>
      </c>
      <c r="D202" t="str">
        <f t="shared" si="20"/>
        <v>-79.6904347644193</v>
      </c>
      <c r="E202" t="str">
        <f t="shared" si="21"/>
        <v>905-458-4777</v>
      </c>
      <c r="F202" t="str">
        <f t="shared" si="22"/>
        <v>L6T 1C1</v>
      </c>
      <c r="G202" t="str">
        <f t="shared" si="23"/>
        <v>[ "Transcontinental Printing", 43.7111904510481, -79.6904347644193, '905-458-4777', 'L6T 1C1'],</v>
      </c>
      <c r="H202" t="s">
        <v>1119</v>
      </c>
    </row>
    <row r="203" spans="1:8" x14ac:dyDescent="0.2">
      <c r="A203" t="s">
        <v>214</v>
      </c>
      <c r="B203" t="str">
        <f t="shared" si="18"/>
        <v>Staples Canada</v>
      </c>
      <c r="C203" t="str">
        <f t="shared" si="19"/>
        <v>43.6680095533643</v>
      </c>
      <c r="D203" t="str">
        <f t="shared" si="20"/>
        <v>-79.6452371511541</v>
      </c>
      <c r="E203" t="str">
        <f t="shared" si="21"/>
        <v>905-565-2545</v>
      </c>
      <c r="F203" t="str">
        <f t="shared" si="22"/>
        <v>L5T 1G6</v>
      </c>
      <c r="G203" t="str">
        <f t="shared" si="23"/>
        <v>[ "Staples Canada", 43.6680095533643, -79.6452371511541, '905-565-2545', 'L5T 1G6'],</v>
      </c>
      <c r="H203" t="s">
        <v>1120</v>
      </c>
    </row>
    <row r="204" spans="1:8" x14ac:dyDescent="0.2">
      <c r="A204" t="s">
        <v>215</v>
      </c>
      <c r="B204" t="str">
        <f t="shared" si="18"/>
        <v>Staples</v>
      </c>
      <c r="C204" t="str">
        <f t="shared" si="19"/>
        <v>43.7422160823042</v>
      </c>
      <c r="D204" t="str">
        <f t="shared" si="20"/>
        <v>-79.6973981517214</v>
      </c>
      <c r="E204" t="str">
        <f t="shared" si="21"/>
        <v>905-791-4522</v>
      </c>
      <c r="F204" t="str">
        <f t="shared" si="22"/>
        <v>L6T 5J1</v>
      </c>
      <c r="G204" t="str">
        <f t="shared" si="23"/>
        <v>[ "Staples", 43.7422160823042, -79.6973981517214, '905-791-4522', 'L6T 5J1'],</v>
      </c>
      <c r="H204" t="s">
        <v>1121</v>
      </c>
    </row>
    <row r="205" spans="1:8" x14ac:dyDescent="0.2">
      <c r="A205" t="s">
        <v>216</v>
      </c>
      <c r="B205" t="str">
        <f t="shared" si="18"/>
        <v>Home Depot</v>
      </c>
      <c r="C205" t="str">
        <f t="shared" si="19"/>
        <v>43.7463925195484</v>
      </c>
      <c r="D205" t="str">
        <f t="shared" si="20"/>
        <v>-79.6994949174633</v>
      </c>
      <c r="E205" t="str">
        <f t="shared" si="21"/>
        <v>905-494-2200</v>
      </c>
      <c r="F205" t="str">
        <f t="shared" si="22"/>
        <v>L6S 0B8</v>
      </c>
      <c r="G205" t="str">
        <f t="shared" si="23"/>
        <v>[ "Home Depot", 43.7463925195484, -79.6994949174633, '905-494-2200', 'L6S 0B8'],</v>
      </c>
      <c r="H205" t="s">
        <v>1122</v>
      </c>
    </row>
    <row r="206" spans="1:8" x14ac:dyDescent="0.2">
      <c r="A206" t="s">
        <v>217</v>
      </c>
      <c r="B206" t="str">
        <f t="shared" si="18"/>
        <v>Lowes</v>
      </c>
      <c r="C206" t="str">
        <f t="shared" si="19"/>
        <v>43.79482</v>
      </c>
      <c r="D206" t="str">
        <f t="shared" si="20"/>
        <v>-79.53192</v>
      </c>
      <c r="E206" t="str">
        <f t="shared" si="21"/>
        <v>905-532-5630</v>
      </c>
      <c r="F206" t="str">
        <f t="shared" si="22"/>
        <v>L4K 3Y8</v>
      </c>
      <c r="G206" t="str">
        <f t="shared" si="23"/>
        <v>[ "Lowes", 43.79482, -79.53192, '905-532-5630', 'L4K 3Y8'],</v>
      </c>
      <c r="H206" t="s">
        <v>1123</v>
      </c>
    </row>
    <row r="207" spans="1:8" x14ac:dyDescent="0.2">
      <c r="A207" t="s">
        <v>218</v>
      </c>
      <c r="B207" t="str">
        <f t="shared" si="18"/>
        <v>Princess Auto</v>
      </c>
      <c r="C207" t="str">
        <f t="shared" si="19"/>
        <v>43.6680075233941</v>
      </c>
      <c r="D207" t="str">
        <f t="shared" si="20"/>
        <v>-79.664780667741</v>
      </c>
      <c r="E207" t="str">
        <f t="shared" si="21"/>
        <v>905-564-1011</v>
      </c>
      <c r="F207" t="str">
        <f t="shared" si="22"/>
        <v>L5T 2Z9</v>
      </c>
      <c r="G207" t="str">
        <f t="shared" si="23"/>
        <v>[ "Princess Auto", 43.6680075233941, -79.664780667741, '905-564-1011', 'L5T 2Z9'],</v>
      </c>
      <c r="H207" t="s">
        <v>1124</v>
      </c>
    </row>
    <row r="208" spans="1:8" x14ac:dyDescent="0.2">
      <c r="A208" t="s">
        <v>219</v>
      </c>
      <c r="B208" t="str">
        <f t="shared" si="18"/>
        <v>Fastenal</v>
      </c>
      <c r="C208" t="str">
        <f t="shared" si="19"/>
        <v>43.7807858</v>
      </c>
      <c r="D208" t="str">
        <f t="shared" si="20"/>
        <v>-79.4973294</v>
      </c>
      <c r="E208" t="str">
        <f t="shared" si="21"/>
        <v>416-646-1681</v>
      </c>
      <c r="F208" t="str">
        <f t="shared" si="22"/>
        <v>M2M 3Y1</v>
      </c>
      <c r="G208" t="str">
        <f t="shared" si="23"/>
        <v>[ "Fastenal", 43.7807858, -79.4973294, '416-646-1681', 'M2M 3Y1'],</v>
      </c>
      <c r="H208" t="s">
        <v>1125</v>
      </c>
    </row>
    <row r="209" spans="1:8" x14ac:dyDescent="0.2">
      <c r="A209" t="s">
        <v>220</v>
      </c>
      <c r="B209" t="str">
        <f t="shared" si="18"/>
        <v>Staples Canada</v>
      </c>
      <c r="C209" t="str">
        <f t="shared" si="19"/>
        <v>43.6598001549726</v>
      </c>
      <c r="D209" t="str">
        <f t="shared" si="20"/>
        <v>-79.6637084686646</v>
      </c>
      <c r="E209" t="str">
        <f t="shared" si="21"/>
        <v>289-562-2532</v>
      </c>
      <c r="F209" t="str">
        <f t="shared" si="22"/>
        <v>L5T 1W8</v>
      </c>
      <c r="G209" t="str">
        <f t="shared" si="23"/>
        <v>[ "Staples Canada", 43.6598001549726, -79.6637084686646, '289-562-2532', 'L5T 1W8'],</v>
      </c>
      <c r="H209" t="s">
        <v>1126</v>
      </c>
    </row>
    <row r="210" spans="1:8" x14ac:dyDescent="0.2">
      <c r="A210" t="s">
        <v>221</v>
      </c>
      <c r="B210" t="str">
        <f t="shared" si="18"/>
        <v>RONA</v>
      </c>
      <c r="C210" t="str">
        <f t="shared" si="19"/>
        <v>43.6605323529412</v>
      </c>
      <c r="D210" t="str">
        <f t="shared" si="20"/>
        <v>-79.5107564705882</v>
      </c>
      <c r="E210" t="str">
        <f t="shared" si="21"/>
        <v>416-232-1460</v>
      </c>
      <c r="F210" t="str">
        <f t="shared" si="22"/>
        <v>M8X 1Y6</v>
      </c>
      <c r="G210" t="str">
        <f t="shared" si="23"/>
        <v>[ "RONA", 43.6605323529412, -79.5107564705882, '416-232-1460', 'M8X 1Y6'],</v>
      </c>
      <c r="H210" t="s">
        <v>1127</v>
      </c>
    </row>
    <row r="211" spans="1:8" x14ac:dyDescent="0.2">
      <c r="A211" t="s">
        <v>222</v>
      </c>
      <c r="B211" t="str">
        <f t="shared" si="18"/>
        <v>Staples</v>
      </c>
      <c r="C211" t="str">
        <f t="shared" si="19"/>
        <v>43.63927</v>
      </c>
      <c r="D211" t="str">
        <f t="shared" si="20"/>
        <v>-79.62362</v>
      </c>
      <c r="E211" t="str">
        <f t="shared" si="21"/>
        <v>905-602-5889</v>
      </c>
      <c r="F211" t="str">
        <f t="shared" si="22"/>
        <v>L4W 5K1</v>
      </c>
      <c r="G211" t="str">
        <f t="shared" si="23"/>
        <v>[ "Staples", 43.63927, -79.62362, '905-602-5889', 'L4W 5K1'],</v>
      </c>
      <c r="H211" t="s">
        <v>1128</v>
      </c>
    </row>
    <row r="212" spans="1:8" x14ac:dyDescent="0.2">
      <c r="A212" t="s">
        <v>223</v>
      </c>
      <c r="B212" t="str">
        <f t="shared" si="18"/>
        <v>Home Depot</v>
      </c>
      <c r="C212" t="str">
        <f t="shared" si="19"/>
        <v>43.7846456</v>
      </c>
      <c r="D212" t="str">
        <f t="shared" si="20"/>
        <v>-79.4809113</v>
      </c>
      <c r="E212" t="str">
        <f t="shared" si="21"/>
        <v>416-664-9800</v>
      </c>
      <c r="F212" t="str">
        <f t="shared" si="22"/>
        <v>M3J 3A8</v>
      </c>
      <c r="G212" t="str">
        <f t="shared" si="23"/>
        <v>[ "Home Depot", 43.7846456, -79.4809113, '416-664-9800', 'M3J 3A8'],</v>
      </c>
      <c r="H212" t="s">
        <v>1104</v>
      </c>
    </row>
    <row r="213" spans="1:8" x14ac:dyDescent="0.2">
      <c r="A213" t="s">
        <v>224</v>
      </c>
      <c r="B213" t="str">
        <f t="shared" si="18"/>
        <v>Home Depot</v>
      </c>
      <c r="C213" t="str">
        <f t="shared" si="19"/>
        <v>43.7012625</v>
      </c>
      <c r="D213" t="str">
        <f t="shared" si="20"/>
        <v>-79.4641591666667</v>
      </c>
      <c r="E213" t="str">
        <f t="shared" si="21"/>
        <v>416-780-4730</v>
      </c>
      <c r="F213" t="str">
        <f t="shared" si="22"/>
        <v>M6B 3X8</v>
      </c>
      <c r="G213" t="str">
        <f t="shared" si="23"/>
        <v>[ "Home Depot", 43.7012625, -79.4641591666667, '416-780-4730', 'M6B 3X8'],</v>
      </c>
      <c r="H213" t="s">
        <v>1129</v>
      </c>
    </row>
    <row r="214" spans="1:8" x14ac:dyDescent="0.2">
      <c r="A214" t="s">
        <v>225</v>
      </c>
      <c r="B214" t="str">
        <f t="shared" si="18"/>
        <v>Home Depot</v>
      </c>
      <c r="C214" t="str">
        <f t="shared" si="19"/>
        <v>43.67934</v>
      </c>
      <c r="D214" t="str">
        <f t="shared" si="20"/>
        <v>-79.71553</v>
      </c>
      <c r="E214" t="str">
        <f t="shared" si="21"/>
        <v>905-457-1800</v>
      </c>
      <c r="F214" t="str">
        <f t="shared" si="22"/>
        <v>L6W 4R8</v>
      </c>
      <c r="G214" t="str">
        <f t="shared" si="23"/>
        <v>[ "Home Depot", 43.67934, -79.71553, '905-457-1800', 'L6W 4R8'],</v>
      </c>
      <c r="H214" t="s">
        <v>1130</v>
      </c>
    </row>
    <row r="215" spans="1:8" x14ac:dyDescent="0.2">
      <c r="A215" t="s">
        <v>226</v>
      </c>
      <c r="B215" t="str">
        <f t="shared" si="18"/>
        <v>Home Depot</v>
      </c>
      <c r="C215" t="str">
        <f t="shared" si="19"/>
        <v>43.7298423415831</v>
      </c>
      <c r="D215" t="str">
        <f t="shared" si="20"/>
        <v>-79.4540872039017</v>
      </c>
      <c r="E215" t="str">
        <f t="shared" si="21"/>
        <v>416-373-6000</v>
      </c>
      <c r="F215" t="str">
        <f t="shared" si="22"/>
        <v>M3K 2C8</v>
      </c>
      <c r="G215" t="str">
        <f t="shared" si="23"/>
        <v>[ "Home Depot", 43.7298423415831, -79.4540872039017, '416-373-6000', 'M3K 2C8'],</v>
      </c>
      <c r="H215" t="s">
        <v>1131</v>
      </c>
    </row>
    <row r="216" spans="1:8" x14ac:dyDescent="0.2">
      <c r="A216" t="s">
        <v>227</v>
      </c>
      <c r="B216" t="str">
        <f t="shared" si="18"/>
        <v>ListenUp! Canada</v>
      </c>
      <c r="C216" t="str">
        <f t="shared" si="19"/>
        <v>43.749713093676</v>
      </c>
      <c r="D216" t="str">
        <f t="shared" si="20"/>
        <v>-79.7391703430019</v>
      </c>
      <c r="E216" t="str">
        <f t="shared" si="21"/>
        <v>905-595-2844</v>
      </c>
      <c r="F216" t="str">
        <f t="shared" si="22"/>
        <v>L6R 0W3</v>
      </c>
      <c r="G216" t="str">
        <f t="shared" si="23"/>
        <v>[ "ListenUp! Canada", 43.749713093676, -79.7391703430019, '905-595-2844', 'L6R 0W3'],</v>
      </c>
      <c r="H216" t="s">
        <v>1132</v>
      </c>
    </row>
    <row r="217" spans="1:8" x14ac:dyDescent="0.2">
      <c r="A217" t="s">
        <v>228</v>
      </c>
      <c r="B217" t="str">
        <f t="shared" si="18"/>
        <v>RONA</v>
      </c>
      <c r="C217" t="str">
        <f t="shared" si="19"/>
        <v>43.6254612467473</v>
      </c>
      <c r="D217" t="str">
        <f t="shared" si="20"/>
        <v>-79.6065350291245</v>
      </c>
      <c r="E217" t="str">
        <f t="shared" si="21"/>
        <v>905-602-0795</v>
      </c>
      <c r="F217" t="str">
        <f t="shared" si="22"/>
        <v>L4W 1V5</v>
      </c>
      <c r="G217" t="str">
        <f t="shared" si="23"/>
        <v>[ "RONA", 43.6254612467473, -79.6065350291245, '905-602-0795', 'L4W 1V5'],</v>
      </c>
      <c r="H217" t="s">
        <v>1133</v>
      </c>
    </row>
    <row r="218" spans="1:8" x14ac:dyDescent="0.2">
      <c r="A218" t="s">
        <v>229</v>
      </c>
      <c r="B218" t="str">
        <f t="shared" si="18"/>
        <v>Canadian Tire</v>
      </c>
      <c r="C218" t="str">
        <f t="shared" si="19"/>
        <v>43.8297258263448</v>
      </c>
      <c r="D218" t="str">
        <f t="shared" si="20"/>
        <v>-79.5372892772554</v>
      </c>
      <c r="E218" t="str">
        <f t="shared" si="21"/>
        <v>905-417-0125</v>
      </c>
      <c r="F218" t="str">
        <f t="shared" si="22"/>
        <v>L4K 5R3</v>
      </c>
      <c r="G218" t="str">
        <f t="shared" si="23"/>
        <v>[ "Canadian Tire", 43.8297258263448, -79.5372892772554, '905-417-0125', 'L4K 5R3'],</v>
      </c>
      <c r="H218" t="s">
        <v>1134</v>
      </c>
    </row>
    <row r="219" spans="1:8" x14ac:dyDescent="0.2">
      <c r="A219" t="s">
        <v>230</v>
      </c>
      <c r="B219" t="str">
        <f t="shared" si="18"/>
        <v>Best Buy</v>
      </c>
      <c r="C219" t="str">
        <f t="shared" si="19"/>
        <v>43.62993</v>
      </c>
      <c r="D219" t="str">
        <f t="shared" si="20"/>
        <v>-79.55195</v>
      </c>
      <c r="E219" t="str">
        <f t="shared" si="21"/>
        <v>--</v>
      </c>
      <c r="F219" t="str">
        <f t="shared" si="22"/>
        <v>M9B 3Y8</v>
      </c>
      <c r="G219" t="str">
        <f t="shared" si="23"/>
        <v>[ "Best Buy", 43.62993, -79.55195, '--', 'M9B 3Y8'],</v>
      </c>
      <c r="H219" t="s">
        <v>1135</v>
      </c>
    </row>
    <row r="220" spans="1:8" x14ac:dyDescent="0.2">
      <c r="A220" t="s">
        <v>231</v>
      </c>
      <c r="B220" t="str">
        <f t="shared" si="18"/>
        <v>uBreakiFix</v>
      </c>
      <c r="C220" t="str">
        <f t="shared" si="19"/>
        <v>43.6265720048875</v>
      </c>
      <c r="D220" t="str">
        <f t="shared" si="20"/>
        <v>-79.5650736806528</v>
      </c>
      <c r="E220" t="str">
        <f t="shared" si="21"/>
        <v>905-232-0365</v>
      </c>
      <c r="F220" t="str">
        <f t="shared" si="22"/>
        <v>L4X 1L9</v>
      </c>
      <c r="G220" t="str">
        <f t="shared" si="23"/>
        <v>[ "uBreakiFix", 43.6265720048875, -79.5650736806528, '905-232-0365', 'L4X 1L9'],</v>
      </c>
      <c r="H220" t="s">
        <v>1136</v>
      </c>
    </row>
    <row r="221" spans="1:8" x14ac:dyDescent="0.2">
      <c r="A221" t="s">
        <v>232</v>
      </c>
      <c r="B221" t="str">
        <f t="shared" si="18"/>
        <v>Lowes</v>
      </c>
      <c r="C221" t="str">
        <f t="shared" si="19"/>
        <v>43.67655</v>
      </c>
      <c r="D221" t="str">
        <f t="shared" si="20"/>
        <v>-79.72394</v>
      </c>
      <c r="E221" t="str">
        <f t="shared" si="21"/>
        <v>905-874-5000</v>
      </c>
      <c r="F221" t="str">
        <f t="shared" si="22"/>
        <v>L6W 4V2</v>
      </c>
      <c r="G221" t="str">
        <f t="shared" si="23"/>
        <v>[ "Lowes", 43.67655, -79.72394, '905-874-5000', 'L6W 4V2'],</v>
      </c>
      <c r="H221" t="s">
        <v>1137</v>
      </c>
    </row>
    <row r="222" spans="1:8" x14ac:dyDescent="0.2">
      <c r="A222" t="s">
        <v>233</v>
      </c>
      <c r="B222" t="str">
        <f t="shared" si="18"/>
        <v>ListenUp! Canada</v>
      </c>
      <c r="C222" t="str">
        <f t="shared" si="19"/>
        <v>43.7019</v>
      </c>
      <c r="D222" t="str">
        <f t="shared" si="20"/>
        <v>-79.452005</v>
      </c>
      <c r="E222" t="str">
        <f t="shared" si="21"/>
        <v>416-630-5111</v>
      </c>
      <c r="F222" t="str">
        <f t="shared" si="22"/>
        <v>M6B 4J3</v>
      </c>
      <c r="G222" t="str">
        <f t="shared" si="23"/>
        <v>[ "ListenUp! Canada", 43.7019, -79.452005, '416-630-5111', 'M6B 4J3'],</v>
      </c>
      <c r="H222" t="s">
        <v>1138</v>
      </c>
    </row>
    <row r="223" spans="1:8" x14ac:dyDescent="0.2">
      <c r="A223" t="s">
        <v>234</v>
      </c>
      <c r="B223" t="str">
        <f t="shared" si="18"/>
        <v>Canadian Tire</v>
      </c>
      <c r="C223" t="str">
        <f t="shared" si="19"/>
        <v>43.6708312</v>
      </c>
      <c r="D223" t="str">
        <f t="shared" si="20"/>
        <v>-79.471975</v>
      </c>
      <c r="E223" t="str">
        <f t="shared" si="21"/>
        <v>416-766-8141</v>
      </c>
      <c r="F223" t="str">
        <f t="shared" si="22"/>
        <v>M6N 5B4</v>
      </c>
      <c r="G223" t="str">
        <f t="shared" si="23"/>
        <v>[ "Canadian Tire", 43.6708312, -79.471975, '416-766-8141', 'M6N 5B4'],</v>
      </c>
      <c r="H223" t="s">
        <v>1139</v>
      </c>
    </row>
    <row r="224" spans="1:8" x14ac:dyDescent="0.2">
      <c r="A224" t="s">
        <v>235</v>
      </c>
      <c r="B224" t="str">
        <f t="shared" si="18"/>
        <v>Canadian Tire</v>
      </c>
      <c r="C224" t="str">
        <f t="shared" si="19"/>
        <v>43.7166569</v>
      </c>
      <c r="D224" t="str">
        <f t="shared" si="20"/>
        <v>-79.4472576</v>
      </c>
      <c r="E224" t="str">
        <f t="shared" si="21"/>
        <v>416-787-1203</v>
      </c>
      <c r="F224" t="str">
        <f t="shared" si="22"/>
        <v>M6A 1B6</v>
      </c>
      <c r="G224" t="str">
        <f t="shared" si="23"/>
        <v>[ "Canadian Tire", 43.7166569, -79.4472576, '416-787-1203', 'M6A 1B6'],</v>
      </c>
      <c r="H224" t="s">
        <v>1140</v>
      </c>
    </row>
    <row r="225" spans="1:8" x14ac:dyDescent="0.2">
      <c r="A225" t="s">
        <v>236</v>
      </c>
      <c r="B225" t="str">
        <f t="shared" si="18"/>
        <v>Home Depot</v>
      </c>
      <c r="C225" t="str">
        <f t="shared" si="19"/>
        <v>43.6717588</v>
      </c>
      <c r="D225" t="str">
        <f t="shared" si="20"/>
        <v>-79.470253</v>
      </c>
      <c r="E225" t="str">
        <f t="shared" si="21"/>
        <v>416-766-2800</v>
      </c>
      <c r="F225" t="str">
        <f t="shared" si="22"/>
        <v>M6N 5A8</v>
      </c>
      <c r="G225" t="str">
        <f t="shared" si="23"/>
        <v>[ "Home Depot", 43.6717588, -79.470253, '416-766-2800', 'M6N 5A8'],</v>
      </c>
      <c r="H225" t="s">
        <v>1141</v>
      </c>
    </row>
    <row r="226" spans="1:8" x14ac:dyDescent="0.2">
      <c r="A226" t="s">
        <v>237</v>
      </c>
      <c r="B226" t="str">
        <f t="shared" si="18"/>
        <v>Best Buy Canada</v>
      </c>
      <c r="C226" t="str">
        <f t="shared" si="19"/>
        <v>43.6694475</v>
      </c>
      <c r="D226" t="str">
        <f t="shared" si="20"/>
        <v>-79.4700725</v>
      </c>
      <c r="E226" t="str">
        <f t="shared" si="21"/>
        <v>416-766-1577</v>
      </c>
      <c r="F226" t="str">
        <f t="shared" si="22"/>
        <v>M6N 5G8</v>
      </c>
      <c r="G226" t="str">
        <f t="shared" si="23"/>
        <v>[ "Best Buy Canada", 43.6694475, -79.4700725, '416-766-1577', 'M6N 5G8'],</v>
      </c>
      <c r="H226" t="s">
        <v>1142</v>
      </c>
    </row>
    <row r="227" spans="1:8" x14ac:dyDescent="0.2">
      <c r="A227" t="s">
        <v>238</v>
      </c>
      <c r="B227" t="str">
        <f t="shared" si="18"/>
        <v>RONA</v>
      </c>
      <c r="C227" t="str">
        <f t="shared" si="19"/>
        <v>43.66924</v>
      </c>
      <c r="D227" t="str">
        <f t="shared" si="20"/>
        <v>-79.46998</v>
      </c>
      <c r="E227" t="str">
        <f t="shared" si="21"/>
        <v>416-766-9393</v>
      </c>
      <c r="F227" t="str">
        <f t="shared" si="22"/>
        <v>M6N 5B7</v>
      </c>
      <c r="G227" t="str">
        <f t="shared" si="23"/>
        <v>[ "RONA", 43.66924, -79.46998, '416-766-9393', 'M6N 5B7'],</v>
      </c>
      <c r="H227" t="s">
        <v>1143</v>
      </c>
    </row>
    <row r="228" spans="1:8" x14ac:dyDescent="0.2">
      <c r="A228" t="s">
        <v>239</v>
      </c>
      <c r="B228" t="str">
        <f t="shared" si="18"/>
        <v>Staples</v>
      </c>
      <c r="C228" t="str">
        <f t="shared" si="19"/>
        <v>43.6230371052632</v>
      </c>
      <c r="D228" t="str">
        <f t="shared" si="20"/>
        <v>-79.5691739473684</v>
      </c>
      <c r="E228" t="str">
        <f t="shared" si="21"/>
        <v>905-279-4392</v>
      </c>
      <c r="F228" t="str">
        <f t="shared" si="22"/>
        <v>L4X 2X8</v>
      </c>
      <c r="G228" t="str">
        <f t="shared" si="23"/>
        <v>[ "Staples", 43.6230371052632, -79.5691739473684, '905-279-4392', 'L4X 2X8'],</v>
      </c>
      <c r="H228" t="s">
        <v>1144</v>
      </c>
    </row>
    <row r="229" spans="1:8" x14ac:dyDescent="0.2">
      <c r="A229" t="s">
        <v>240</v>
      </c>
      <c r="B229" t="str">
        <f t="shared" si="18"/>
        <v>Trion Power Tools Services Inc.</v>
      </c>
      <c r="C229" t="str">
        <f t="shared" si="19"/>
        <v>43.811413837805</v>
      </c>
      <c r="D229" t="str">
        <f t="shared" si="20"/>
        <v>-79.4880696655048</v>
      </c>
      <c r="E229" t="str">
        <f t="shared" si="21"/>
        <v>905-738-5060</v>
      </c>
      <c r="F229" t="str">
        <f t="shared" si="22"/>
        <v>L4K 3M7</v>
      </c>
      <c r="G229" t="str">
        <f t="shared" si="23"/>
        <v>[ "Trion Power Tools Services Inc.", 43.811413837805, -79.4880696655048, '905-738-5060', 'L4K 3M7'],</v>
      </c>
      <c r="H229" t="s">
        <v>1100</v>
      </c>
    </row>
    <row r="230" spans="1:8" x14ac:dyDescent="0.2">
      <c r="A230" t="s">
        <v>241</v>
      </c>
      <c r="B230" t="str">
        <f t="shared" si="18"/>
        <v>Staples</v>
      </c>
      <c r="C230" t="str">
        <f t="shared" si="19"/>
        <v>43.6700824</v>
      </c>
      <c r="D230" t="str">
        <f t="shared" si="20"/>
        <v>-79.4664952</v>
      </c>
      <c r="E230" t="str">
        <f t="shared" si="21"/>
        <v>416-762-2816</v>
      </c>
      <c r="F230" t="str">
        <f t="shared" si="22"/>
        <v>M6N 3E2</v>
      </c>
      <c r="G230" t="str">
        <f t="shared" si="23"/>
        <v>[ "Staples", 43.6700824, -79.4664952, '416-762-2816', 'M6N 3E2'],</v>
      </c>
      <c r="H230" t="s">
        <v>1145</v>
      </c>
    </row>
    <row r="231" spans="1:8" x14ac:dyDescent="0.2">
      <c r="A231" t="s">
        <v>242</v>
      </c>
      <c r="B231" t="str">
        <f t="shared" si="18"/>
        <v>Staples</v>
      </c>
      <c r="C231" t="str">
        <f t="shared" si="19"/>
        <v>43.7984506</v>
      </c>
      <c r="D231" t="str">
        <f t="shared" si="20"/>
        <v>-79.4709573</v>
      </c>
      <c r="E231" t="str">
        <f t="shared" si="21"/>
        <v>905-669-5096</v>
      </c>
      <c r="F231" t="str">
        <f t="shared" si="22"/>
        <v>L4J 7R5</v>
      </c>
      <c r="G231" t="str">
        <f t="shared" si="23"/>
        <v>[ "Staples", 43.7984506, -79.4709573, '905-669-5096', 'L4J 7R5'],</v>
      </c>
      <c r="H231" t="s">
        <v>1099</v>
      </c>
    </row>
    <row r="232" spans="1:8" x14ac:dyDescent="0.2">
      <c r="A232" t="s">
        <v>243</v>
      </c>
      <c r="B232" t="str">
        <f t="shared" si="18"/>
        <v>ListenUp! Canada</v>
      </c>
      <c r="C232" t="str">
        <f t="shared" si="19"/>
        <v>43.8358008333333</v>
      </c>
      <c r="D232" t="str">
        <f t="shared" si="20"/>
        <v>-79.5337363888889</v>
      </c>
      <c r="E232" t="str">
        <f t="shared" si="21"/>
        <v>905-303-2224</v>
      </c>
      <c r="F232" t="str">
        <f t="shared" si="22"/>
        <v>M6B 4H8</v>
      </c>
      <c r="G232" t="str">
        <f t="shared" si="23"/>
        <v>[ "ListenUp! Canada", 43.8358008333333, -79.5337363888889, '905-303-2224', 'M6B 4H8'],</v>
      </c>
      <c r="H232" t="s">
        <v>1146</v>
      </c>
    </row>
    <row r="233" spans="1:8" x14ac:dyDescent="0.2">
      <c r="A233" t="s">
        <v>244</v>
      </c>
      <c r="B233" t="str">
        <f t="shared" si="18"/>
        <v>The Source</v>
      </c>
      <c r="C233" t="str">
        <f t="shared" si="19"/>
        <v>43.6438509859155</v>
      </c>
      <c r="D233" t="str">
        <f t="shared" si="20"/>
        <v>-79.6964157746479</v>
      </c>
      <c r="E233" t="str">
        <f t="shared" si="21"/>
        <v>905-673-0140</v>
      </c>
      <c r="F233" t="str">
        <f t="shared" si="22"/>
        <v>L5T 2L6</v>
      </c>
      <c r="G233" t="str">
        <f t="shared" si="23"/>
        <v>[ "The Source", 43.6438509859155, -79.6964157746479, '905-673-0140', 'L5T 2L6'],</v>
      </c>
      <c r="H233" t="s">
        <v>1147</v>
      </c>
    </row>
    <row r="234" spans="1:8" x14ac:dyDescent="0.2">
      <c r="A234" t="s">
        <v>245</v>
      </c>
      <c r="B234" t="str">
        <f t="shared" si="18"/>
        <v>ListenUp! Canada</v>
      </c>
      <c r="C234" t="str">
        <f t="shared" si="19"/>
        <v>43.649745</v>
      </c>
      <c r="D234" t="str">
        <f t="shared" si="20"/>
        <v>-79.482619375</v>
      </c>
      <c r="E234" t="str">
        <f t="shared" si="21"/>
        <v>416-767-7523</v>
      </c>
      <c r="F234" t="str">
        <f t="shared" si="22"/>
        <v>M6S 1P5</v>
      </c>
      <c r="G234" t="str">
        <f t="shared" si="23"/>
        <v>[ "ListenUp! Canada", 43.649745, -79.482619375, '416-767-7523', 'M6S 1P5'],</v>
      </c>
      <c r="H234" t="s">
        <v>1148</v>
      </c>
    </row>
    <row r="235" spans="1:8" x14ac:dyDescent="0.2">
      <c r="A235" t="s">
        <v>246</v>
      </c>
      <c r="B235" t="str">
        <f t="shared" si="18"/>
        <v>RONA</v>
      </c>
      <c r="C235" t="str">
        <f t="shared" si="19"/>
        <v>43.629895</v>
      </c>
      <c r="D235" t="str">
        <f t="shared" si="20"/>
        <v>-79.5173525</v>
      </c>
      <c r="E235" t="str">
        <f t="shared" si="21"/>
        <v>416-503-2469</v>
      </c>
      <c r="F235" t="str">
        <f t="shared" si="22"/>
        <v>M8Z 4P8</v>
      </c>
      <c r="G235" t="str">
        <f t="shared" si="23"/>
        <v>[ "RONA", 43.629895, -79.5173525, '416-503-2469', 'M8Z 4P8'],</v>
      </c>
      <c r="H235" t="s">
        <v>1149</v>
      </c>
    </row>
    <row r="236" spans="1:8" x14ac:dyDescent="0.2">
      <c r="A236" t="s">
        <v>247</v>
      </c>
      <c r="B236" t="str">
        <f t="shared" si="18"/>
        <v>Kelcom</v>
      </c>
      <c r="C236" t="str">
        <f t="shared" si="19"/>
        <v>43.817102051282</v>
      </c>
      <c r="D236" t="str">
        <f t="shared" si="20"/>
        <v>-79.4836097435897</v>
      </c>
      <c r="E236" t="str">
        <f t="shared" si="21"/>
        <v>905-761-6070</v>
      </c>
      <c r="F236" t="str">
        <f t="shared" si="22"/>
        <v>L4K 3N6</v>
      </c>
      <c r="G236" t="str">
        <f t="shared" si="23"/>
        <v>[ "Kelcom", 43.817102051282, -79.4836097435897, '905-761-6070', 'L4K 3N6'],</v>
      </c>
      <c r="H236" t="s">
        <v>1097</v>
      </c>
    </row>
    <row r="237" spans="1:8" x14ac:dyDescent="0.2">
      <c r="A237" t="s">
        <v>248</v>
      </c>
      <c r="B237" t="str">
        <f t="shared" si="18"/>
        <v>Canadian Tire</v>
      </c>
      <c r="C237" t="str">
        <f t="shared" si="19"/>
        <v>43.81358</v>
      </c>
      <c r="D237" t="str">
        <f t="shared" si="20"/>
        <v>-79.47625</v>
      </c>
      <c r="E237" t="str">
        <f t="shared" si="21"/>
        <v>905-889-7455</v>
      </c>
      <c r="F237" t="str">
        <f t="shared" si="22"/>
        <v>L4J 8R9</v>
      </c>
      <c r="G237" t="str">
        <f t="shared" si="23"/>
        <v>[ "Canadian Tire", 43.81358, -79.47625, '905-889-7455', 'L4J 8R9'],</v>
      </c>
      <c r="H237" t="s">
        <v>1095</v>
      </c>
    </row>
    <row r="238" spans="1:8" x14ac:dyDescent="0.2">
      <c r="A238" t="s">
        <v>249</v>
      </c>
      <c r="B238" t="str">
        <f t="shared" si="18"/>
        <v>Home Depot</v>
      </c>
      <c r="C238" t="str">
        <f t="shared" si="19"/>
        <v>43.6160075925926</v>
      </c>
      <c r="D238" t="str">
        <f t="shared" si="20"/>
        <v>-79.5569162037037</v>
      </c>
      <c r="E238" t="str">
        <f t="shared" si="21"/>
        <v>416-626-9800</v>
      </c>
      <c r="F238" t="str">
        <f t="shared" si="22"/>
        <v>M9C 1A7</v>
      </c>
      <c r="G238" t="str">
        <f t="shared" si="23"/>
        <v>[ "Home Depot", 43.6160075925926, -79.5569162037037, '416-626-9800', 'M9C 1A7'],</v>
      </c>
      <c r="H238" t="s">
        <v>1150</v>
      </c>
    </row>
    <row r="239" spans="1:8" x14ac:dyDescent="0.2">
      <c r="A239" t="s">
        <v>250</v>
      </c>
      <c r="B239" t="str">
        <f t="shared" si="18"/>
        <v>Home Depot</v>
      </c>
      <c r="C239" t="str">
        <f t="shared" si="19"/>
        <v>43.8471519298622</v>
      </c>
      <c r="D239" t="str">
        <f t="shared" si="20"/>
        <v>-79.5541409777682</v>
      </c>
      <c r="E239" t="str">
        <f t="shared" si="21"/>
        <v>905-303-2323</v>
      </c>
      <c r="F239" t="str">
        <f t="shared" si="22"/>
        <v>L4H 4E8</v>
      </c>
      <c r="G239" t="str">
        <f t="shared" si="23"/>
        <v>[ "Home Depot", 43.8471519298622, -79.5541409777682, '905-303-2323', 'L4H 4E8'],</v>
      </c>
      <c r="H239" t="s">
        <v>1151</v>
      </c>
    </row>
    <row r="240" spans="1:8" x14ac:dyDescent="0.2">
      <c r="A240" t="s">
        <v>251</v>
      </c>
      <c r="B240" t="str">
        <f t="shared" si="18"/>
        <v>Canadian Tire</v>
      </c>
      <c r="C240" t="str">
        <f t="shared" si="19"/>
        <v>43.65879</v>
      </c>
      <c r="D240" t="str">
        <f t="shared" si="20"/>
        <v>-79.3289</v>
      </c>
      <c r="E240" t="str">
        <f t="shared" si="21"/>
        <v>416-778-0102</v>
      </c>
      <c r="F240" t="str">
        <f t="shared" si="22"/>
        <v>M4M 1B4</v>
      </c>
      <c r="G240" t="str">
        <f t="shared" si="23"/>
        <v>[ "Canadian Tire", 43.65879, -79.3289, '416-778-0102', 'M4M 1B4'],</v>
      </c>
      <c r="H240" t="s">
        <v>1152</v>
      </c>
    </row>
    <row r="241" spans="1:8" x14ac:dyDescent="0.2">
      <c r="A241" t="s">
        <v>252</v>
      </c>
      <c r="B241" t="str">
        <f t="shared" si="18"/>
        <v>Staples</v>
      </c>
      <c r="C241" t="str">
        <f t="shared" si="19"/>
        <v>43.65126</v>
      </c>
      <c r="D241" t="str">
        <f t="shared" si="20"/>
        <v>-79.36401</v>
      </c>
      <c r="E241" t="str">
        <f t="shared" si="21"/>
        <v>416-368-3331</v>
      </c>
      <c r="F241" t="str">
        <f t="shared" si="22"/>
        <v>M5A 1E9</v>
      </c>
      <c r="G241" t="str">
        <f t="shared" si="23"/>
        <v>[ "Staples", 43.65126, -79.36401, '416-368-3331', 'M5A 1E9'],</v>
      </c>
      <c r="H241" t="s">
        <v>1153</v>
      </c>
    </row>
    <row r="242" spans="1:8" x14ac:dyDescent="0.2">
      <c r="A242" t="s">
        <v>253</v>
      </c>
      <c r="B242" t="str">
        <f t="shared" si="18"/>
        <v>Staples</v>
      </c>
      <c r="C242" t="str">
        <f t="shared" si="19"/>
        <v>43.6496261538462</v>
      </c>
      <c r="D242" t="str">
        <f t="shared" si="20"/>
        <v>-79.3780784615385</v>
      </c>
      <c r="E242" t="str">
        <f t="shared" si="21"/>
        <v>416-203-3525</v>
      </c>
      <c r="F242" t="str">
        <f t="shared" si="22"/>
        <v>M5C 1S8</v>
      </c>
      <c r="G242" t="str">
        <f t="shared" si="23"/>
        <v>[ "Staples", 43.6496261538462, -79.3780784615385, '416-203-3525', 'M5C 1S8'],</v>
      </c>
      <c r="H242" t="s">
        <v>1154</v>
      </c>
    </row>
    <row r="243" spans="1:8" x14ac:dyDescent="0.2">
      <c r="A243" t="s">
        <v>254</v>
      </c>
      <c r="B243" t="str">
        <f t="shared" si="18"/>
        <v>Home Depot</v>
      </c>
      <c r="C243" t="str">
        <f t="shared" si="19"/>
        <v>43.6686185294118</v>
      </c>
      <c r="D243" t="str">
        <f t="shared" si="20"/>
        <v>-79.3382991176471</v>
      </c>
      <c r="E243" t="str">
        <f t="shared" si="21"/>
        <v>416-462-6270</v>
      </c>
      <c r="F243" t="str">
        <f t="shared" si="22"/>
        <v>M4M 3G6</v>
      </c>
      <c r="G243" t="str">
        <f t="shared" si="23"/>
        <v>[ "Home Depot", 43.6686185294118, -79.3382991176471, '416-462-6270', 'M4M 3G6'],</v>
      </c>
      <c r="H243" t="s">
        <v>1155</v>
      </c>
    </row>
    <row r="244" spans="1:8" x14ac:dyDescent="0.2">
      <c r="A244" t="s">
        <v>255</v>
      </c>
      <c r="B244" t="str">
        <f t="shared" si="18"/>
        <v>The Source</v>
      </c>
      <c r="C244" t="str">
        <f t="shared" si="19"/>
        <v>43.6686185294118</v>
      </c>
      <c r="D244" t="str">
        <f t="shared" si="20"/>
        <v>-79.3382991176471</v>
      </c>
      <c r="E244" t="str">
        <f t="shared" si="21"/>
        <v>416-463-3422</v>
      </c>
      <c r="F244" t="str">
        <f t="shared" si="22"/>
        <v>M4M 3G6</v>
      </c>
      <c r="G244" t="str">
        <f t="shared" si="23"/>
        <v>[ "The Source", 43.6686185294118, -79.3382991176471, '416-463-3422', 'M4M 3G6'],</v>
      </c>
      <c r="H244" t="s">
        <v>1156</v>
      </c>
    </row>
    <row r="245" spans="1:8" x14ac:dyDescent="0.2">
      <c r="A245" t="s">
        <v>256</v>
      </c>
      <c r="B245" t="str">
        <f t="shared" si="18"/>
        <v>Atlas Machinery Supply</v>
      </c>
      <c r="C245" t="str">
        <f t="shared" si="19"/>
        <v>43.6504605263158</v>
      </c>
      <c r="D245" t="str">
        <f t="shared" si="20"/>
        <v>-79.3882905263158</v>
      </c>
      <c r="E245" t="str">
        <f t="shared" si="21"/>
        <v>416-598-3553</v>
      </c>
      <c r="F245" t="str">
        <f t="shared" si="22"/>
        <v>M5V 1Z4</v>
      </c>
      <c r="G245" t="str">
        <f t="shared" si="23"/>
        <v>[ "Atlas Machinery Supply", 43.6504605263158, -79.3882905263158, '416-598-3553', 'M5V 1Z4'],</v>
      </c>
      <c r="H245" t="s">
        <v>1157</v>
      </c>
    </row>
    <row r="246" spans="1:8" x14ac:dyDescent="0.2">
      <c r="A246" t="s">
        <v>257</v>
      </c>
      <c r="B246" t="str">
        <f t="shared" si="18"/>
        <v>Mountain Equipment Co-op</v>
      </c>
      <c r="C246" t="str">
        <f t="shared" si="19"/>
        <v>43.6459</v>
      </c>
      <c r="D246" t="str">
        <f t="shared" si="20"/>
        <v>-79.392955</v>
      </c>
      <c r="E246" t="str">
        <f t="shared" si="21"/>
        <v>416-340-2667</v>
      </c>
      <c r="F246" t="str">
        <f t="shared" si="22"/>
        <v>M5V 1K2</v>
      </c>
      <c r="G246" t="str">
        <f t="shared" si="23"/>
        <v>[ "Mountain Equipment Co-op", 43.6459, -79.392955, '416-340-2667', 'M5V 1K2'],</v>
      </c>
      <c r="H246" t="s">
        <v>1158</v>
      </c>
    </row>
    <row r="247" spans="1:8" x14ac:dyDescent="0.2">
      <c r="A247" t="s">
        <v>258</v>
      </c>
      <c r="B247" t="str">
        <f t="shared" si="18"/>
        <v>Staples</v>
      </c>
      <c r="C247" t="str">
        <f t="shared" si="19"/>
        <v>43.6532061538462</v>
      </c>
      <c r="D247" t="str">
        <f t="shared" si="20"/>
        <v>-79.3874469230769</v>
      </c>
      <c r="E247" t="str">
        <f t="shared" si="21"/>
        <v>416-598-4818</v>
      </c>
      <c r="F247" t="str">
        <f t="shared" si="22"/>
        <v>M5G 2J5</v>
      </c>
      <c r="G247" t="str">
        <f t="shared" si="23"/>
        <v>[ "Staples", 43.6532061538462, -79.3874469230769, '416-598-4818', 'M5G 2J5'],</v>
      </c>
      <c r="H247" t="s">
        <v>1159</v>
      </c>
    </row>
    <row r="248" spans="1:8" x14ac:dyDescent="0.2">
      <c r="A248" t="s">
        <v>259</v>
      </c>
      <c r="B248" t="str">
        <f t="shared" si="18"/>
        <v>ListenUp! Canada</v>
      </c>
      <c r="C248" t="str">
        <f t="shared" si="19"/>
        <v>43.67148</v>
      </c>
      <c r="D248" t="str">
        <f t="shared" si="20"/>
        <v>-79.2932566666667</v>
      </c>
      <c r="E248" t="str">
        <f t="shared" si="21"/>
        <v>--</v>
      </c>
      <c r="F248" t="str">
        <f t="shared" si="22"/>
        <v>M4E 1E3</v>
      </c>
      <c r="G248" t="str">
        <f t="shared" si="23"/>
        <v>[ "ListenUp! Canada", 43.67148, -79.2932566666667, '--', 'M4E 1E3'],</v>
      </c>
      <c r="H248" t="s">
        <v>1160</v>
      </c>
    </row>
    <row r="249" spans="1:8" x14ac:dyDescent="0.2">
      <c r="A249" t="s">
        <v>260</v>
      </c>
      <c r="B249" t="str">
        <f t="shared" si="18"/>
        <v>ListenUp! Canada</v>
      </c>
      <c r="C249" t="str">
        <f t="shared" si="19"/>
        <v>43.6606114285714</v>
      </c>
      <c r="D249" t="str">
        <f t="shared" si="20"/>
        <v>-79.3857528571429</v>
      </c>
      <c r="E249" t="str">
        <f t="shared" si="21"/>
        <v>416-591-9124</v>
      </c>
      <c r="F249" t="str">
        <f t="shared" si="22"/>
        <v>M5G 1N8</v>
      </c>
      <c r="G249" t="str">
        <f t="shared" si="23"/>
        <v>[ "ListenUp! Canada", 43.6606114285714, -79.3857528571429, '416-591-9124', 'M5G 1N8'],</v>
      </c>
      <c r="H249" t="s">
        <v>1161</v>
      </c>
    </row>
    <row r="250" spans="1:8" x14ac:dyDescent="0.2">
      <c r="A250" t="s">
        <v>261</v>
      </c>
      <c r="B250" t="str">
        <f t="shared" si="18"/>
        <v>Ministry of Tourism Culture and Sport</v>
      </c>
      <c r="C250" t="str">
        <f t="shared" si="19"/>
        <v>43.6634308</v>
      </c>
      <c r="D250" t="str">
        <f t="shared" si="20"/>
        <v>-79.3876749</v>
      </c>
      <c r="E250" t="str">
        <f t="shared" si="21"/>
        <v>416-327-1189</v>
      </c>
      <c r="F250" t="str">
        <f t="shared" si="22"/>
        <v>M7A 2E1</v>
      </c>
      <c r="G250" t="str">
        <f t="shared" si="23"/>
        <v>[ "Ministry of Tourism Culture and Sport", 43.6634308, -79.3876749, '416-327-1189', 'M7A 2E1'],</v>
      </c>
      <c r="H250" t="s">
        <v>1162</v>
      </c>
    </row>
    <row r="251" spans="1:8" x14ac:dyDescent="0.2">
      <c r="A251" t="s">
        <v>262</v>
      </c>
      <c r="B251" t="str">
        <f t="shared" si="18"/>
        <v>Program Development &amp; Capacity Office HR Ontario</v>
      </c>
      <c r="C251" t="str">
        <f t="shared" si="19"/>
        <v>43.6639486956522</v>
      </c>
      <c r="D251" t="str">
        <f t="shared" si="20"/>
        <v>-79.3889460869565</v>
      </c>
      <c r="E251" t="str">
        <f t="shared" si="21"/>
        <v>416-327-4887</v>
      </c>
      <c r="F251" t="str">
        <f t="shared" si="22"/>
        <v>M7A 1N3</v>
      </c>
      <c r="G251" t="str">
        <f t="shared" si="23"/>
        <v>[ "Program Development &amp; Capacity Office HR Ontario", 43.6639486956522, -79.3889460869565, '416-327-4887', 'M7A 1N3'],</v>
      </c>
      <c r="H251" t="s">
        <v>1163</v>
      </c>
    </row>
    <row r="252" spans="1:8" x14ac:dyDescent="0.2">
      <c r="A252" t="s">
        <v>263</v>
      </c>
      <c r="B252" t="str">
        <f t="shared" si="18"/>
        <v>Office of the Corporate Chief Information Officer I+IT</v>
      </c>
      <c r="C252" t="str">
        <f t="shared" si="19"/>
        <v>43.6639486956522</v>
      </c>
      <c r="D252" t="str">
        <f t="shared" si="20"/>
        <v>-79.3889460869565</v>
      </c>
      <c r="E252" t="str">
        <f t="shared" si="21"/>
        <v>416-212-8242</v>
      </c>
      <c r="F252" t="str">
        <f t="shared" si="22"/>
        <v>M7A 1N3</v>
      </c>
      <c r="G252" t="str">
        <f t="shared" si="23"/>
        <v>[ "Office of the Corporate Chief Information Officer I+IT", 43.6639486956522, -79.3889460869565, '416-212-8242', 'M7A 1N3'],</v>
      </c>
      <c r="H252" t="s">
        <v>1164</v>
      </c>
    </row>
    <row r="253" spans="1:8" x14ac:dyDescent="0.2">
      <c r="A253" t="s">
        <v>264</v>
      </c>
      <c r="B253" t="str">
        <f t="shared" si="18"/>
        <v>Ministry of Health and Long-Term Care</v>
      </c>
      <c r="C253" t="str">
        <f t="shared" si="19"/>
        <v>43.6668838461538</v>
      </c>
      <c r="D253" t="str">
        <f t="shared" si="20"/>
        <v>-79.3882746153846</v>
      </c>
      <c r="E253" t="str">
        <f t="shared" si="21"/>
        <v>416-327-9447</v>
      </c>
      <c r="F253" t="str">
        <f t="shared" si="22"/>
        <v>M5S 2B1</v>
      </c>
      <c r="G253" t="str">
        <f t="shared" si="23"/>
        <v>[ "Ministry of Health and Long-Term Care", 43.6668838461538, -79.3882746153846, '416-327-9447', 'M5S 2B1'],</v>
      </c>
      <c r="H253" t="s">
        <v>1165</v>
      </c>
    </row>
    <row r="254" spans="1:8" x14ac:dyDescent="0.2">
      <c r="A254" t="s">
        <v>265</v>
      </c>
      <c r="B254" t="str">
        <f t="shared" si="18"/>
        <v>Canadian Tire</v>
      </c>
      <c r="C254" t="str">
        <f t="shared" si="19"/>
        <v>43.672983030303</v>
      </c>
      <c r="D254" t="str">
        <f t="shared" si="20"/>
        <v>-79.3878990909091</v>
      </c>
      <c r="E254" t="str">
        <f t="shared" si="21"/>
        <v>416-925-9592</v>
      </c>
      <c r="F254" t="str">
        <f t="shared" si="22"/>
        <v>M4W 2H2</v>
      </c>
      <c r="G254" t="str">
        <f t="shared" si="23"/>
        <v>[ "Canadian Tire", 43.672983030303, -79.3878990909091, '416-925-9592', 'M4W 2H2'],</v>
      </c>
      <c r="H254" t="s">
        <v>1166</v>
      </c>
    </row>
    <row r="255" spans="1:8" x14ac:dyDescent="0.2">
      <c r="A255" t="s">
        <v>266</v>
      </c>
      <c r="B255" t="str">
        <f t="shared" si="18"/>
        <v>Evergreen Brick Works</v>
      </c>
      <c r="C255" t="str">
        <f t="shared" si="19"/>
        <v>43.6833973255541</v>
      </c>
      <c r="D255" t="str">
        <f t="shared" si="20"/>
        <v>-79.3650023256323</v>
      </c>
      <c r="E255" t="str">
        <f t="shared" si="21"/>
        <v>416-596-1495</v>
      </c>
      <c r="F255" t="str">
        <f t="shared" si="22"/>
        <v>M4W 3X8</v>
      </c>
      <c r="G255" t="str">
        <f t="shared" si="23"/>
        <v>[ "Evergreen Brick Works", 43.6833973255541, -79.3650023256323, '416-596-1495', 'M4W 3X8'],</v>
      </c>
      <c r="H255" t="s">
        <v>1167</v>
      </c>
    </row>
    <row r="256" spans="1:8" x14ac:dyDescent="0.2">
      <c r="A256" t="s">
        <v>267</v>
      </c>
      <c r="B256" t="str">
        <f t="shared" si="18"/>
        <v>MNJCC</v>
      </c>
      <c r="C256" t="str">
        <f t="shared" si="19"/>
        <v>43.6660371428571</v>
      </c>
      <c r="D256" t="str">
        <f t="shared" si="20"/>
        <v>-79.4035023809524</v>
      </c>
      <c r="E256" t="str">
        <f t="shared" si="21"/>
        <v>416-924-6211</v>
      </c>
      <c r="F256" t="str">
        <f t="shared" si="22"/>
        <v>M5S 2J2</v>
      </c>
      <c r="G256" t="str">
        <f t="shared" si="23"/>
        <v>[ "MNJCC", 43.6660371428571, -79.4035023809524, '416-924-6211', 'M5S 2J2'],</v>
      </c>
      <c r="H256" t="s">
        <v>1168</v>
      </c>
    </row>
    <row r="257" spans="1:8" x14ac:dyDescent="0.2">
      <c r="A257" t="s">
        <v>268</v>
      </c>
      <c r="B257" t="str">
        <f t="shared" ref="B257:B320" si="24">MID(A257,SEARCH("name"&amp;CHAR(34)&amp;":"&amp;CHAR(34),A257)+7,SEARCH(CHAR(34)&amp;", "&amp;CHAR(34)&amp;"locationlinkurl",A257)-SEARCH("name"&amp;CHAR(34)&amp;":"&amp;CHAR(34),A257)-7)</f>
        <v>ListenUp! Canada</v>
      </c>
      <c r="C257" t="str">
        <f t="shared" ref="C257:C320" si="25">MID(A257,SEARCH(CHAR(34)&amp;"latitude"&amp;CHAR(34)&amp;":"&amp;CHAR(34),A257)+12,SEARCH(CHAR(34)&amp;", "&amp;CHAR(34)&amp;"url"&amp;CHAR(34),A257)-SEARCH(CHAR(34)&amp;"latitude"&amp;CHAR(34)&amp;":"&amp;CHAR(34),A257)-12)</f>
        <v>43.6886695</v>
      </c>
      <c r="D257" t="str">
        <f t="shared" ref="D257:D320" si="26">MID(A257,SEARCH(CHAR(34)&amp;"longitude"&amp;CHAR(34)&amp;":"&amp;CHAR(34),A257)+13,SEARCH(CHAR(34)&amp;", "&amp;CHAR(34)&amp;"uid"&amp;CHAR(34),A257)-SEARCH(CHAR(34)&amp;"longitude"&amp;CHAR(34)&amp;":"&amp;CHAR(34),A257)-13)</f>
        <v>-79.299492</v>
      </c>
      <c r="E257" t="str">
        <f t="shared" ref="E257:E320" si="27">MID(A257,SEARCH(CHAR(34)&amp;"phone"&amp;CHAR(34)&amp;":"&amp;CHAR(34),A257)+9,SEARCH(CHAR(34)&amp;", "&amp;CHAR(34)&amp;"address2"&amp;CHAR(34),A257)-SEARCH(CHAR(34)&amp;"phone"&amp;CHAR(34)&amp;":"&amp;CHAR(34),A257)-9)</f>
        <v>416-691-3305</v>
      </c>
      <c r="F257" t="str">
        <f t="shared" ref="F257:F320" si="28">MID(A257,SEARCH(CHAR(34)&amp;"postalcode"&amp;CHAR(34)&amp;":"&amp;CHAR(34),A257)+14,SEARCH(CHAR(34)&amp;", "&amp;CHAR(34)&amp;"province"&amp;CHAR(34),A257)-SEARCH(CHAR(34)&amp;"postalcode"&amp;CHAR(34)&amp;":"&amp;CHAR(34),A257)-14)</f>
        <v>M4K 1M8</v>
      </c>
      <c r="G257" t="str">
        <f t="shared" ref="G257:G320" si="29">"[ "&amp;CHAR(34)&amp;B257&amp;CHAR(34)&amp;", "&amp;C257&amp;", "&amp;D257&amp;", '"&amp;E257&amp;"', '"&amp;F257&amp;"'],"</f>
        <v>[ "ListenUp! Canada", 43.6886695, -79.299492, '416-691-3305', 'M4K 1M8'],</v>
      </c>
      <c r="H257" t="s">
        <v>1169</v>
      </c>
    </row>
    <row r="258" spans="1:8" x14ac:dyDescent="0.2">
      <c r="A258" t="s">
        <v>269</v>
      </c>
      <c r="B258" t="str">
        <f t="shared" si="24"/>
        <v>The Source</v>
      </c>
      <c r="C258" t="str">
        <f t="shared" si="25"/>
        <v>43.63605125</v>
      </c>
      <c r="D258" t="str">
        <f t="shared" si="26"/>
        <v>-79.42622875</v>
      </c>
      <c r="E258" t="str">
        <f t="shared" si="27"/>
        <v>416-516-2225</v>
      </c>
      <c r="F258" t="str">
        <f t="shared" si="28"/>
        <v>M6H 4A9</v>
      </c>
      <c r="G258" t="str">
        <f t="shared" si="29"/>
        <v>[ "The Source", 43.63605125, -79.42622875, '416-516-2225', 'M6H 4A9'],</v>
      </c>
      <c r="H258" t="s">
        <v>1170</v>
      </c>
    </row>
    <row r="259" spans="1:8" x14ac:dyDescent="0.2">
      <c r="A259" t="s">
        <v>270</v>
      </c>
      <c r="B259" t="str">
        <f t="shared" si="24"/>
        <v>Best Buy</v>
      </c>
      <c r="C259" t="str">
        <f t="shared" si="25"/>
        <v>43.6395682758621</v>
      </c>
      <c r="D259" t="str">
        <f t="shared" si="26"/>
        <v>-79.4275837931034</v>
      </c>
      <c r="E259" t="str">
        <f t="shared" si="27"/>
        <v>--</v>
      </c>
      <c r="F259" t="str">
        <f t="shared" si="28"/>
        <v>M6A 3A1</v>
      </c>
      <c r="G259" t="str">
        <f t="shared" si="29"/>
        <v>[ "Best Buy", 43.6395682758621, -79.4275837931034, '--', 'M6A 3A1'],</v>
      </c>
      <c r="H259" t="s">
        <v>1171</v>
      </c>
    </row>
    <row r="260" spans="1:8" x14ac:dyDescent="0.2">
      <c r="A260" t="s">
        <v>271</v>
      </c>
      <c r="B260" t="str">
        <f t="shared" si="24"/>
        <v>Staples</v>
      </c>
      <c r="C260" t="str">
        <f t="shared" si="25"/>
        <v>43.6796533333333</v>
      </c>
      <c r="D260" t="str">
        <f t="shared" si="26"/>
        <v>-79.3906066666667</v>
      </c>
      <c r="E260" t="str">
        <f t="shared" si="27"/>
        <v>416-961-4949</v>
      </c>
      <c r="F260" t="str">
        <f t="shared" si="28"/>
        <v>M4W 2L8</v>
      </c>
      <c r="G260" t="str">
        <f t="shared" si="29"/>
        <v>[ "Staples", 43.6796533333333, -79.3906066666667, '416-961-4949', 'M4W 2L8'],</v>
      </c>
      <c r="H260" t="s">
        <v>1172</v>
      </c>
    </row>
    <row r="261" spans="1:8" x14ac:dyDescent="0.2">
      <c r="A261" t="s">
        <v>272</v>
      </c>
      <c r="B261" t="str">
        <f t="shared" si="24"/>
        <v>Staples</v>
      </c>
      <c r="C261" t="str">
        <f t="shared" si="25"/>
        <v>43.69088</v>
      </c>
      <c r="D261" t="str">
        <f t="shared" si="26"/>
        <v>-79.2898</v>
      </c>
      <c r="E261" t="str">
        <f t="shared" si="27"/>
        <v>416-686-4711</v>
      </c>
      <c r="F261" t="str">
        <f t="shared" si="28"/>
        <v>M4C 1M9</v>
      </c>
      <c r="G261" t="str">
        <f t="shared" si="29"/>
        <v>[ "Staples", 43.69088, -79.2898, '416-686-4711', 'M4C 1M9'],</v>
      </c>
      <c r="H261" t="s">
        <v>1173</v>
      </c>
    </row>
    <row r="262" spans="1:8" x14ac:dyDescent="0.2">
      <c r="A262" t="s">
        <v>273</v>
      </c>
      <c r="B262" t="str">
        <f t="shared" si="24"/>
        <v>ListenUP! Canada</v>
      </c>
      <c r="C262" t="str">
        <f t="shared" si="25"/>
        <v>43.6877735</v>
      </c>
      <c r="D262" t="str">
        <f t="shared" si="26"/>
        <v>-79.3943262</v>
      </c>
      <c r="E262" t="str">
        <f t="shared" si="27"/>
        <v>416-925-9223</v>
      </c>
      <c r="F262" t="str">
        <f t="shared" si="28"/>
        <v>M4V 1K7</v>
      </c>
      <c r="G262" t="str">
        <f t="shared" si="29"/>
        <v>[ "ListenUP! Canada", 43.6877735, -79.3943262, '416-925-9223', 'M4V 1K7'],</v>
      </c>
      <c r="H262" t="s">
        <v>1174</v>
      </c>
    </row>
    <row r="263" spans="1:8" x14ac:dyDescent="0.2">
      <c r="A263" t="s">
        <v>274</v>
      </c>
      <c r="B263" t="str">
        <f t="shared" si="24"/>
        <v>ListenUp! Canada</v>
      </c>
      <c r="C263" t="str">
        <f t="shared" si="25"/>
        <v>43.688923125</v>
      </c>
      <c r="D263" t="str">
        <f t="shared" si="26"/>
        <v>-79.39446125</v>
      </c>
      <c r="E263" t="str">
        <f t="shared" si="27"/>
        <v>416-920-7474</v>
      </c>
      <c r="F263" t="str">
        <f t="shared" si="28"/>
        <v>M4T 1Z2</v>
      </c>
      <c r="G263" t="str">
        <f t="shared" si="29"/>
        <v>[ "ListenUp! Canada", 43.688923125, -79.39446125, '416-920-7474', 'M4T 1Z2'],</v>
      </c>
      <c r="H263" t="s">
        <v>1175</v>
      </c>
    </row>
    <row r="264" spans="1:8" x14ac:dyDescent="0.2">
      <c r="A264" t="s">
        <v>275</v>
      </c>
      <c r="B264" t="str">
        <f t="shared" si="24"/>
        <v>Telus</v>
      </c>
      <c r="C264" t="str">
        <f t="shared" si="25"/>
        <v>43.70528</v>
      </c>
      <c r="D264" t="str">
        <f t="shared" si="26"/>
        <v>-79.36148</v>
      </c>
      <c r="E264" t="str">
        <f t="shared" si="27"/>
        <v>416-422-6422</v>
      </c>
      <c r="F264" t="str">
        <f t="shared" si="28"/>
        <v>M4G 3T4</v>
      </c>
      <c r="G264" t="str">
        <f t="shared" si="29"/>
        <v>[ "Telus", 43.70528, -79.36148, '416-422-6422', 'M4G 3T4'],</v>
      </c>
      <c r="H264" t="s">
        <v>1176</v>
      </c>
    </row>
    <row r="265" spans="1:8" x14ac:dyDescent="0.2">
      <c r="A265" t="s">
        <v>276</v>
      </c>
      <c r="B265" t="str">
        <f t="shared" si="24"/>
        <v>Home Depot</v>
      </c>
      <c r="C265" t="str">
        <f t="shared" si="25"/>
        <v>43.7089125</v>
      </c>
      <c r="D265" t="str">
        <f t="shared" si="26"/>
        <v>-79.3134525</v>
      </c>
      <c r="E265" t="str">
        <f t="shared" si="27"/>
        <v>416-752-5900</v>
      </c>
      <c r="F265" t="str">
        <f t="shared" si="28"/>
        <v>M4B 3L8</v>
      </c>
      <c r="G265" t="str">
        <f t="shared" si="29"/>
        <v>[ "Home Depot", 43.7089125, -79.3134525, '416-752-5900', 'M4B 3L8'],</v>
      </c>
      <c r="H265" t="s">
        <v>1177</v>
      </c>
    </row>
    <row r="266" spans="1:8" x14ac:dyDescent="0.2">
      <c r="A266" t="s">
        <v>277</v>
      </c>
      <c r="B266" t="str">
        <f t="shared" si="24"/>
        <v>Home Depot</v>
      </c>
      <c r="C266" t="str">
        <f t="shared" si="25"/>
        <v>43.71146</v>
      </c>
      <c r="D266" t="str">
        <f t="shared" si="26"/>
        <v>-79.35851</v>
      </c>
      <c r="E266" t="str">
        <f t="shared" si="27"/>
        <v>416-467-2300</v>
      </c>
      <c r="F266" t="str">
        <f t="shared" si="28"/>
        <v>M4G 4H9</v>
      </c>
      <c r="G266" t="str">
        <f t="shared" si="29"/>
        <v>[ "Home Depot", 43.71146, -79.35851, '416-467-2300', 'M4G 4H9'],</v>
      </c>
      <c r="H266" t="s">
        <v>1178</v>
      </c>
    </row>
    <row r="267" spans="1:8" x14ac:dyDescent="0.2">
      <c r="A267" t="s">
        <v>278</v>
      </c>
      <c r="B267" t="str">
        <f t="shared" si="24"/>
        <v>Canadian Tire</v>
      </c>
      <c r="C267" t="str">
        <f t="shared" si="25"/>
        <v>43.7123005</v>
      </c>
      <c r="D267" t="str">
        <f t="shared" si="26"/>
        <v>-79.3634007</v>
      </c>
      <c r="E267" t="str">
        <f t="shared" si="27"/>
        <v>416-422-0303</v>
      </c>
      <c r="F267" t="str">
        <f t="shared" si="28"/>
        <v>M4G 4G9</v>
      </c>
      <c r="G267" t="str">
        <f t="shared" si="29"/>
        <v>[ "Canadian Tire", 43.7123005, -79.3634007, '416-422-0303', 'M4G 4G9'],</v>
      </c>
      <c r="H267" t="s">
        <v>1179</v>
      </c>
    </row>
    <row r="268" spans="1:8" x14ac:dyDescent="0.2">
      <c r="A268" t="s">
        <v>279</v>
      </c>
      <c r="B268" t="str">
        <f t="shared" si="24"/>
        <v>Staples</v>
      </c>
      <c r="C268" t="str">
        <f t="shared" si="25"/>
        <v>43.7110257</v>
      </c>
      <c r="D268" t="str">
        <f t="shared" si="26"/>
        <v>-79.3772455</v>
      </c>
      <c r="E268" t="str">
        <f t="shared" si="27"/>
        <v>416-696-0043</v>
      </c>
      <c r="F268" t="str">
        <f t="shared" si="28"/>
        <v>M4P 3A1</v>
      </c>
      <c r="G268" t="str">
        <f t="shared" si="29"/>
        <v>[ "Staples", 43.7110257, -79.3772455, '416-696-0043', 'M4P 3A1'],</v>
      </c>
      <c r="H268" t="s">
        <v>1180</v>
      </c>
    </row>
    <row r="269" spans="1:8" x14ac:dyDescent="0.2">
      <c r="A269" t="s">
        <v>280</v>
      </c>
      <c r="B269" t="str">
        <f t="shared" si="24"/>
        <v>The Source</v>
      </c>
      <c r="C269" t="str">
        <f t="shared" si="25"/>
        <v>43.711808</v>
      </c>
      <c r="D269" t="str">
        <f t="shared" si="26"/>
        <v>-79.3759774</v>
      </c>
      <c r="E269" t="str">
        <f t="shared" si="27"/>
        <v>416-489-6974</v>
      </c>
      <c r="F269" t="str">
        <f t="shared" si="28"/>
        <v>M4G 2K2</v>
      </c>
      <c r="G269" t="str">
        <f t="shared" si="29"/>
        <v>[ "The Source", 43.711808, -79.3759774, '416-489-6974', 'M4G 2K2'],</v>
      </c>
      <c r="H269" t="s">
        <v>1181</v>
      </c>
    </row>
    <row r="270" spans="1:8" x14ac:dyDescent="0.2">
      <c r="A270" t="s">
        <v>281</v>
      </c>
      <c r="B270" t="str">
        <f t="shared" si="24"/>
        <v>The Source</v>
      </c>
      <c r="C270" t="str">
        <f t="shared" si="25"/>
        <v>43.7072288235294</v>
      </c>
      <c r="D270" t="str">
        <f t="shared" si="26"/>
        <v>-79.3984747058824</v>
      </c>
      <c r="E270" t="str">
        <f t="shared" si="27"/>
        <v>416-485-4944</v>
      </c>
      <c r="F270" t="str">
        <f t="shared" si="28"/>
        <v>M4P 1E4</v>
      </c>
      <c r="G270" t="str">
        <f t="shared" si="29"/>
        <v>[ "The Source", 43.7072288235294, -79.3984747058824, '416-485-4944', 'M4P 1E4'],</v>
      </c>
      <c r="H270" t="s">
        <v>1182</v>
      </c>
    </row>
    <row r="271" spans="1:8" x14ac:dyDescent="0.2">
      <c r="A271" t="s">
        <v>282</v>
      </c>
      <c r="B271" t="str">
        <f t="shared" si="24"/>
        <v>Best Buy Canada</v>
      </c>
      <c r="C271" t="str">
        <f t="shared" si="25"/>
        <v>43.7096685185185</v>
      </c>
      <c r="D271" t="str">
        <f t="shared" si="26"/>
        <v>-79.398972962963</v>
      </c>
      <c r="E271" t="str">
        <f t="shared" si="27"/>
        <v>416-489-4726</v>
      </c>
      <c r="F271" t="str">
        <f t="shared" si="28"/>
        <v>M4P 2H4</v>
      </c>
      <c r="G271" t="str">
        <f t="shared" si="29"/>
        <v>[ "Best Buy Canada", 43.7096685185185, -79.398972962963, '416-489-4726', 'M4P 2H4'],</v>
      </c>
      <c r="H271" t="s">
        <v>1183</v>
      </c>
    </row>
    <row r="272" spans="1:8" x14ac:dyDescent="0.2">
      <c r="A272" t="s">
        <v>283</v>
      </c>
      <c r="B272" t="str">
        <f t="shared" si="24"/>
        <v>RONA</v>
      </c>
      <c r="C272" t="str">
        <f t="shared" si="25"/>
        <v>43.72284</v>
      </c>
      <c r="D272" t="str">
        <f t="shared" si="26"/>
        <v>-79.285535</v>
      </c>
      <c r="E272" t="str">
        <f t="shared" si="27"/>
        <v>416-751-7556</v>
      </c>
      <c r="F272" t="str">
        <f t="shared" si="28"/>
        <v>M1L 4T7</v>
      </c>
      <c r="G272" t="str">
        <f t="shared" si="29"/>
        <v>[ "RONA", 43.72284, -79.285535, '416-751-7556', 'M1L 4T7'],</v>
      </c>
      <c r="H272" t="s">
        <v>1184</v>
      </c>
    </row>
    <row r="273" spans="1:8" x14ac:dyDescent="0.2">
      <c r="A273" t="s">
        <v>284</v>
      </c>
      <c r="B273" t="str">
        <f t="shared" si="24"/>
        <v>Canadian Tire</v>
      </c>
      <c r="C273" t="str">
        <f t="shared" si="25"/>
        <v>43.7255739</v>
      </c>
      <c r="D273" t="str">
        <f t="shared" si="26"/>
        <v>-79.2934661</v>
      </c>
      <c r="E273" t="str">
        <f t="shared" si="27"/>
        <v>416-615-2666</v>
      </c>
      <c r="F273" t="str">
        <f t="shared" si="28"/>
        <v>M1L 2L8</v>
      </c>
      <c r="G273" t="str">
        <f t="shared" si="29"/>
        <v>[ "Canadian Tire", 43.7255739, -79.2934661, '416-615-2666', 'M1L 2L8'],</v>
      </c>
      <c r="H273" t="s">
        <v>1185</v>
      </c>
    </row>
    <row r="274" spans="1:8" x14ac:dyDescent="0.2">
      <c r="A274" t="s">
        <v>285</v>
      </c>
      <c r="B274" t="str">
        <f t="shared" si="24"/>
        <v>ListenUp! Canada</v>
      </c>
      <c r="C274" t="str">
        <f t="shared" si="25"/>
        <v>43.65184625</v>
      </c>
      <c r="D274" t="str">
        <f t="shared" si="26"/>
        <v>-79.4730225</v>
      </c>
      <c r="E274" t="str">
        <f t="shared" si="27"/>
        <v>416-769-0097</v>
      </c>
      <c r="F274" t="str">
        <f t="shared" si="28"/>
        <v>M6S 1M8</v>
      </c>
      <c r="G274" t="str">
        <f t="shared" si="29"/>
        <v>[ "ListenUp! Canada", 43.65184625, -79.4730225, '416-769-0097', 'M6S 1M8'],</v>
      </c>
      <c r="H274" t="s">
        <v>1186</v>
      </c>
    </row>
    <row r="275" spans="1:8" x14ac:dyDescent="0.2">
      <c r="A275" t="s">
        <v>286</v>
      </c>
      <c r="B275" t="str">
        <f t="shared" si="24"/>
        <v>Staples</v>
      </c>
      <c r="C275" t="str">
        <f t="shared" si="25"/>
        <v>43.6700824</v>
      </c>
      <c r="D275" t="str">
        <f t="shared" si="26"/>
        <v>-79.4664952</v>
      </c>
      <c r="E275" t="str">
        <f t="shared" si="27"/>
        <v>416-762-2816</v>
      </c>
      <c r="F275" t="str">
        <f t="shared" si="28"/>
        <v>M6N 3E2</v>
      </c>
      <c r="G275" t="str">
        <f t="shared" si="29"/>
        <v>[ "Staples", 43.6700824, -79.4664952, '416-762-2816', 'M6N 3E2'],</v>
      </c>
      <c r="H275" t="s">
        <v>1145</v>
      </c>
    </row>
    <row r="276" spans="1:8" x14ac:dyDescent="0.2">
      <c r="A276" t="s">
        <v>287</v>
      </c>
      <c r="B276" t="str">
        <f t="shared" si="24"/>
        <v>RONA</v>
      </c>
      <c r="C276" t="str">
        <f t="shared" si="25"/>
        <v>43.66924</v>
      </c>
      <c r="D276" t="str">
        <f t="shared" si="26"/>
        <v>-79.46998</v>
      </c>
      <c r="E276" t="str">
        <f t="shared" si="27"/>
        <v>416-766-9393</v>
      </c>
      <c r="F276" t="str">
        <f t="shared" si="28"/>
        <v>M6N 5B7</v>
      </c>
      <c r="G276" t="str">
        <f t="shared" si="29"/>
        <v>[ "RONA", 43.66924, -79.46998, '416-766-9393', 'M6N 5B7'],</v>
      </c>
      <c r="H276" t="s">
        <v>1143</v>
      </c>
    </row>
    <row r="277" spans="1:8" x14ac:dyDescent="0.2">
      <c r="A277" t="s">
        <v>288</v>
      </c>
      <c r="B277" t="str">
        <f t="shared" si="24"/>
        <v>Best Buy Canada</v>
      </c>
      <c r="C277" t="str">
        <f t="shared" si="25"/>
        <v>43.6694475</v>
      </c>
      <c r="D277" t="str">
        <f t="shared" si="26"/>
        <v>-79.4700725</v>
      </c>
      <c r="E277" t="str">
        <f t="shared" si="27"/>
        <v>416-766-1577</v>
      </c>
      <c r="F277" t="str">
        <f t="shared" si="28"/>
        <v>M6N 5G8</v>
      </c>
      <c r="G277" t="str">
        <f t="shared" si="29"/>
        <v>[ "Best Buy Canada", 43.6694475, -79.4700725, '416-766-1577', 'M6N 5G8'],</v>
      </c>
      <c r="H277" t="s">
        <v>1142</v>
      </c>
    </row>
    <row r="278" spans="1:8" x14ac:dyDescent="0.2">
      <c r="A278" t="s">
        <v>289</v>
      </c>
      <c r="B278" t="str">
        <f t="shared" si="24"/>
        <v>Staples</v>
      </c>
      <c r="C278" t="str">
        <f t="shared" si="25"/>
        <v>43.7292761</v>
      </c>
      <c r="D278" t="str">
        <f t="shared" si="26"/>
        <v>-79.2841259</v>
      </c>
      <c r="E278" t="str">
        <f t="shared" si="27"/>
        <v>416-752-1091</v>
      </c>
      <c r="F278" t="str">
        <f t="shared" si="28"/>
        <v>M1L 2M6</v>
      </c>
      <c r="G278" t="str">
        <f t="shared" si="29"/>
        <v>[ "Staples", 43.7292761, -79.2841259, '416-752-1091', 'M1L 2M6'],</v>
      </c>
      <c r="H278" t="s">
        <v>1187</v>
      </c>
    </row>
    <row r="279" spans="1:8" x14ac:dyDescent="0.2">
      <c r="A279" t="s">
        <v>290</v>
      </c>
      <c r="B279" t="str">
        <f t="shared" si="24"/>
        <v>Home Depot</v>
      </c>
      <c r="C279" t="str">
        <f t="shared" si="25"/>
        <v>43.6717588</v>
      </c>
      <c r="D279" t="str">
        <f t="shared" si="26"/>
        <v>-79.470253</v>
      </c>
      <c r="E279" t="str">
        <f t="shared" si="27"/>
        <v>416-766-2800</v>
      </c>
      <c r="F279" t="str">
        <f t="shared" si="28"/>
        <v>M6N 5A8</v>
      </c>
      <c r="G279" t="str">
        <f t="shared" si="29"/>
        <v>[ "Home Depot", 43.6717588, -79.470253, '416-766-2800', 'M6N 5A8'],</v>
      </c>
      <c r="H279" t="s">
        <v>1141</v>
      </c>
    </row>
    <row r="280" spans="1:8" x14ac:dyDescent="0.2">
      <c r="A280" t="s">
        <v>291</v>
      </c>
      <c r="B280" t="str">
        <f t="shared" si="24"/>
        <v>ListenUp! Canada</v>
      </c>
      <c r="C280" t="str">
        <f t="shared" si="25"/>
        <v>43.649745</v>
      </c>
      <c r="D280" t="str">
        <f t="shared" si="26"/>
        <v>-79.482619375</v>
      </c>
      <c r="E280" t="str">
        <f t="shared" si="27"/>
        <v>416-767-7523</v>
      </c>
      <c r="F280" t="str">
        <f t="shared" si="28"/>
        <v>M6S 1P5</v>
      </c>
      <c r="G280" t="str">
        <f t="shared" si="29"/>
        <v>[ "ListenUp! Canada", 43.649745, -79.482619375, '416-767-7523', 'M6S 1P5'],</v>
      </c>
      <c r="H280" t="s">
        <v>1148</v>
      </c>
    </row>
    <row r="281" spans="1:8" x14ac:dyDescent="0.2">
      <c r="A281" t="s">
        <v>292</v>
      </c>
      <c r="B281" t="str">
        <f t="shared" si="24"/>
        <v>Canadian Tire</v>
      </c>
      <c r="C281" t="str">
        <f t="shared" si="25"/>
        <v>43.6708312</v>
      </c>
      <c r="D281" t="str">
        <f t="shared" si="26"/>
        <v>-79.471975</v>
      </c>
      <c r="E281" t="str">
        <f t="shared" si="27"/>
        <v>416-766-8141</v>
      </c>
      <c r="F281" t="str">
        <f t="shared" si="28"/>
        <v>M6N 5B4</v>
      </c>
      <c r="G281" t="str">
        <f t="shared" si="29"/>
        <v>[ "Canadian Tire", 43.6708312, -79.471975, '416-766-8141', 'M6N 5B4'],</v>
      </c>
      <c r="H281" t="s">
        <v>1139</v>
      </c>
    </row>
    <row r="282" spans="1:8" x14ac:dyDescent="0.2">
      <c r="A282" t="s">
        <v>293</v>
      </c>
      <c r="B282" t="str">
        <f t="shared" si="24"/>
        <v>ListenUp! Canada</v>
      </c>
      <c r="C282" t="str">
        <f t="shared" si="25"/>
        <v>43.7019</v>
      </c>
      <c r="D282" t="str">
        <f t="shared" si="26"/>
        <v>-79.452005</v>
      </c>
      <c r="E282" t="str">
        <f t="shared" si="27"/>
        <v>416-630-5111</v>
      </c>
      <c r="F282" t="str">
        <f t="shared" si="28"/>
        <v>M6B 4J3</v>
      </c>
      <c r="G282" t="str">
        <f t="shared" si="29"/>
        <v>[ "ListenUp! Canada", 43.7019, -79.452005, '416-630-5111', 'M6B 4J3'],</v>
      </c>
      <c r="H282" t="s">
        <v>1138</v>
      </c>
    </row>
    <row r="283" spans="1:8" x14ac:dyDescent="0.2">
      <c r="A283" t="s">
        <v>294</v>
      </c>
      <c r="B283" t="str">
        <f t="shared" si="24"/>
        <v>ListenUp! Canada</v>
      </c>
      <c r="C283" t="str">
        <f t="shared" si="25"/>
        <v>43.72304875</v>
      </c>
      <c r="D283" t="str">
        <f t="shared" si="26"/>
        <v>-79.2349525</v>
      </c>
      <c r="E283" t="str">
        <f t="shared" si="27"/>
        <v>416-265-4427</v>
      </c>
      <c r="F283" t="str">
        <f t="shared" si="28"/>
        <v>M1M 1N5</v>
      </c>
      <c r="G283" t="str">
        <f t="shared" si="29"/>
        <v>[ "ListenUp! Canada", 43.72304875, -79.2349525, '416-265-4427', 'M1M 1N5'],</v>
      </c>
      <c r="H283" t="s">
        <v>1188</v>
      </c>
    </row>
    <row r="284" spans="1:8" x14ac:dyDescent="0.2">
      <c r="A284" t="s">
        <v>295</v>
      </c>
      <c r="B284" t="str">
        <f t="shared" si="24"/>
        <v>ListenUp! Canada</v>
      </c>
      <c r="C284" t="str">
        <f t="shared" si="25"/>
        <v>43.7441644444444</v>
      </c>
      <c r="D284" t="str">
        <f t="shared" si="26"/>
        <v>-79.3454033333333</v>
      </c>
      <c r="E284" t="str">
        <f t="shared" si="27"/>
        <v>416-441-3251</v>
      </c>
      <c r="F284" t="str">
        <f t="shared" si="28"/>
        <v>M3B 2W7</v>
      </c>
      <c r="G284" t="str">
        <f t="shared" si="29"/>
        <v>[ "ListenUp! Canada", 43.7441644444444, -79.3454033333333, '416-441-3251', 'M3B 2W7'],</v>
      </c>
      <c r="H284" t="s">
        <v>1101</v>
      </c>
    </row>
    <row r="285" spans="1:8" x14ac:dyDescent="0.2">
      <c r="A285" t="s">
        <v>296</v>
      </c>
      <c r="B285" t="str">
        <f t="shared" si="24"/>
        <v>Home Depot</v>
      </c>
      <c r="C285" t="str">
        <f t="shared" si="25"/>
        <v>43.7012625</v>
      </c>
      <c r="D285" t="str">
        <f t="shared" si="26"/>
        <v>-79.4641591666667</v>
      </c>
      <c r="E285" t="str">
        <f t="shared" si="27"/>
        <v>416-780-4730</v>
      </c>
      <c r="F285" t="str">
        <f t="shared" si="28"/>
        <v>M6B 3X8</v>
      </c>
      <c r="G285" t="str">
        <f t="shared" si="29"/>
        <v>[ "Home Depot", 43.7012625, -79.4641591666667, '416-780-4730', 'M6B 3X8'],</v>
      </c>
      <c r="H285" t="s">
        <v>1129</v>
      </c>
    </row>
    <row r="286" spans="1:8" x14ac:dyDescent="0.2">
      <c r="A286" t="s">
        <v>297</v>
      </c>
      <c r="B286" t="str">
        <f t="shared" si="24"/>
        <v>Canadian Tire</v>
      </c>
      <c r="C286" t="str">
        <f t="shared" si="25"/>
        <v>43.7166569</v>
      </c>
      <c r="D286" t="str">
        <f t="shared" si="26"/>
        <v>-79.4472576</v>
      </c>
      <c r="E286" t="str">
        <f t="shared" si="27"/>
        <v>416-787-1203</v>
      </c>
      <c r="F286" t="str">
        <f t="shared" si="28"/>
        <v>M6A 1B6</v>
      </c>
      <c r="G286" t="str">
        <f t="shared" si="29"/>
        <v>[ "Canadian Tire", 43.7166569, -79.4472576, '416-787-1203', 'M6A 1B6'],</v>
      </c>
      <c r="H286" t="s">
        <v>1140</v>
      </c>
    </row>
    <row r="287" spans="1:8" x14ac:dyDescent="0.2">
      <c r="A287" t="s">
        <v>298</v>
      </c>
      <c r="B287" t="str">
        <f t="shared" si="24"/>
        <v>uBreakiFix</v>
      </c>
      <c r="C287" t="str">
        <f t="shared" si="25"/>
        <v>43.7342373913043</v>
      </c>
      <c r="D287" t="str">
        <f t="shared" si="26"/>
        <v>-79.4197234782609</v>
      </c>
      <c r="E287" t="str">
        <f t="shared" si="27"/>
        <v>416-483-3773</v>
      </c>
      <c r="F287" t="str">
        <f t="shared" si="28"/>
        <v>M5M 4A3</v>
      </c>
      <c r="G287" t="str">
        <f t="shared" si="29"/>
        <v>[ "uBreakiFix", 43.7342373913043, -79.4197234782609, '416-483-3773', 'M5M 4A3'],</v>
      </c>
      <c r="H287" t="s">
        <v>1189</v>
      </c>
    </row>
    <row r="288" spans="1:8" x14ac:dyDescent="0.2">
      <c r="A288" t="s">
        <v>299</v>
      </c>
      <c r="B288" t="str">
        <f t="shared" si="24"/>
        <v>The Source</v>
      </c>
      <c r="C288" t="str">
        <f t="shared" si="25"/>
        <v>43.7347430769231</v>
      </c>
      <c r="D288" t="str">
        <f t="shared" si="26"/>
        <v>-79.4198246153846</v>
      </c>
      <c r="E288" t="str">
        <f t="shared" si="27"/>
        <v>416-604-3224</v>
      </c>
      <c r="F288" t="str">
        <f t="shared" si="28"/>
        <v>M6N 0A3</v>
      </c>
      <c r="G288" t="str">
        <f t="shared" si="29"/>
        <v>[ "The Source", 43.7347430769231, -79.4198246153846, '416-604-3224', 'M6N 0A3'],</v>
      </c>
      <c r="H288" t="s">
        <v>1190</v>
      </c>
    </row>
    <row r="289" spans="1:8" x14ac:dyDescent="0.2">
      <c r="A289" t="s">
        <v>300</v>
      </c>
      <c r="B289" t="str">
        <f t="shared" si="24"/>
        <v>ListenUp! Canada</v>
      </c>
      <c r="C289" t="str">
        <f t="shared" si="25"/>
        <v>43.74771</v>
      </c>
      <c r="D289" t="str">
        <f t="shared" si="26"/>
        <v>-79.3856283333333</v>
      </c>
      <c r="E289" t="str">
        <f t="shared" si="27"/>
        <v>416-510-2705</v>
      </c>
      <c r="F289" t="str">
        <f t="shared" si="28"/>
        <v>M2L 2Y5</v>
      </c>
      <c r="G289" t="str">
        <f t="shared" si="29"/>
        <v>[ "ListenUp! Canada", 43.74771, -79.3856283333333, '416-510-2705', 'M2L 2Y5'],</v>
      </c>
      <c r="H289" t="s">
        <v>1102</v>
      </c>
    </row>
    <row r="290" spans="1:8" x14ac:dyDescent="0.2">
      <c r="A290" t="s">
        <v>301</v>
      </c>
      <c r="B290" t="str">
        <f t="shared" si="24"/>
        <v>Home Depot</v>
      </c>
      <c r="C290" t="str">
        <f t="shared" si="25"/>
        <v>43.4537</v>
      </c>
      <c r="D290" t="str">
        <f t="shared" si="26"/>
        <v>-79.68677</v>
      </c>
      <c r="E290" t="str">
        <f t="shared" si="27"/>
        <v>905-815-5000</v>
      </c>
      <c r="F290" t="str">
        <f t="shared" si="28"/>
        <v>L6J 2W7</v>
      </c>
      <c r="G290" t="str">
        <f t="shared" si="29"/>
        <v>[ "Home Depot", 43.4537, -79.68677, '905-815-5000', 'L6J 2W7'],</v>
      </c>
      <c r="H290" t="s">
        <v>1191</v>
      </c>
    </row>
    <row r="291" spans="1:8" x14ac:dyDescent="0.2">
      <c r="A291" t="s">
        <v>302</v>
      </c>
      <c r="B291" t="str">
        <f t="shared" si="24"/>
        <v>The Source</v>
      </c>
      <c r="C291" t="str">
        <f t="shared" si="25"/>
        <v>43.4622</v>
      </c>
      <c r="D291" t="str">
        <f t="shared" si="26"/>
        <v>-79.68899</v>
      </c>
      <c r="E291" t="str">
        <f t="shared" si="27"/>
        <v>905-849-4445</v>
      </c>
      <c r="F291" t="str">
        <f t="shared" si="28"/>
        <v>L6H 3H6</v>
      </c>
      <c r="G291" t="str">
        <f t="shared" si="29"/>
        <v>[ "The Source", 43.4622, -79.68899, '905-849-4445', 'L6H 3H6'],</v>
      </c>
      <c r="H291" t="s">
        <v>1192</v>
      </c>
    </row>
    <row r="292" spans="1:8" x14ac:dyDescent="0.2">
      <c r="A292" t="s">
        <v>303</v>
      </c>
      <c r="B292" t="str">
        <f t="shared" si="24"/>
        <v>Town of Oakville</v>
      </c>
      <c r="C292" t="str">
        <f t="shared" si="25"/>
        <v>43.4667051425437</v>
      </c>
      <c r="D292" t="str">
        <f t="shared" si="26"/>
        <v>-79.6902873864082</v>
      </c>
      <c r="E292" t="str">
        <f t="shared" si="27"/>
        <v>905-845-6601</v>
      </c>
      <c r="F292" t="str">
        <f t="shared" si="28"/>
        <v>L6H 3P1</v>
      </c>
      <c r="G292" t="str">
        <f t="shared" si="29"/>
        <v>[ "Town of Oakville", 43.4667051425437, -79.6902873864082, '905-845-6601', 'L6H 3P1'],</v>
      </c>
      <c r="H292" t="s">
        <v>1193</v>
      </c>
    </row>
    <row r="293" spans="1:8" x14ac:dyDescent="0.2">
      <c r="A293" t="s">
        <v>304</v>
      </c>
      <c r="B293" t="str">
        <f t="shared" si="24"/>
        <v>Post Inn Village - Services for Seniors</v>
      </c>
      <c r="C293" t="str">
        <f t="shared" si="25"/>
        <v>43.4797983370262</v>
      </c>
      <c r="D293" t="str">
        <f t="shared" si="26"/>
        <v>-79.7164707317139</v>
      </c>
      <c r="E293" t="str">
        <f t="shared" si="27"/>
        <v>905-825-6000</v>
      </c>
      <c r="F293" t="str">
        <f t="shared" si="28"/>
        <v>L6H 7H9</v>
      </c>
      <c r="G293" t="str">
        <f t="shared" si="29"/>
        <v>[ "Post Inn Village - Services for Seniors", 43.4797983370262, -79.7164707317139, '905-825-6000', 'L6H 7H9'],</v>
      </c>
      <c r="H293" t="s">
        <v>1194</v>
      </c>
    </row>
    <row r="294" spans="1:8" x14ac:dyDescent="0.2">
      <c r="A294" t="s">
        <v>305</v>
      </c>
      <c r="B294" t="str">
        <f t="shared" si="24"/>
        <v>Home Depot</v>
      </c>
      <c r="C294" t="str">
        <f t="shared" si="25"/>
        <v>43.4007600369329</v>
      </c>
      <c r="D294" t="str">
        <f t="shared" si="26"/>
        <v>-79.7497547947862</v>
      </c>
      <c r="E294" t="str">
        <f t="shared" si="27"/>
        <v>905-469-7110</v>
      </c>
      <c r="F294" t="str">
        <f t="shared" si="28"/>
        <v>L6L 0B1</v>
      </c>
      <c r="G294" t="str">
        <f t="shared" si="29"/>
        <v>[ "Home Depot", 43.4007600369329, -79.7497547947862, '905-469-7110', 'L6L 0B1'],</v>
      </c>
      <c r="H294" t="s">
        <v>1195</v>
      </c>
    </row>
    <row r="295" spans="1:8" x14ac:dyDescent="0.2">
      <c r="A295" t="s">
        <v>306</v>
      </c>
      <c r="B295" t="str">
        <f t="shared" si="24"/>
        <v>Home Depot</v>
      </c>
      <c r="C295" t="str">
        <f t="shared" si="25"/>
        <v>43.518025</v>
      </c>
      <c r="D295" t="str">
        <f t="shared" si="26"/>
        <v>-79.683355</v>
      </c>
      <c r="E295" t="str">
        <f t="shared" si="27"/>
        <v>905-829-5900</v>
      </c>
      <c r="F295" t="str">
        <f t="shared" si="28"/>
        <v>L6H 5W9</v>
      </c>
      <c r="G295" t="str">
        <f t="shared" si="29"/>
        <v>[ "Home Depot", 43.518025, -79.683355, '905-829-5900', 'L6H 5W9'],</v>
      </c>
      <c r="H295" t="s">
        <v>1196</v>
      </c>
    </row>
    <row r="296" spans="1:8" x14ac:dyDescent="0.2">
      <c r="A296" t="s">
        <v>307</v>
      </c>
      <c r="B296" t="str">
        <f t="shared" si="24"/>
        <v>ListenUp! Canada</v>
      </c>
      <c r="C296" t="str">
        <f t="shared" si="25"/>
        <v>43.51475</v>
      </c>
      <c r="D296" t="str">
        <f t="shared" si="26"/>
        <v>-79.6258739344262</v>
      </c>
      <c r="E296" t="str">
        <f t="shared" si="27"/>
        <v>905-855-7638</v>
      </c>
      <c r="F296" t="str">
        <f t="shared" si="28"/>
        <v>L5J 4P1</v>
      </c>
      <c r="G296" t="str">
        <f t="shared" si="29"/>
        <v>[ "ListenUp! Canada", 43.51475, -79.6258739344262, '905-855-7638', 'L5J 4P1'],</v>
      </c>
      <c r="H296" t="s">
        <v>1197</v>
      </c>
    </row>
    <row r="297" spans="1:8" x14ac:dyDescent="0.2">
      <c r="A297" t="s">
        <v>308</v>
      </c>
      <c r="B297" t="str">
        <f t="shared" si="24"/>
        <v>Staples</v>
      </c>
      <c r="C297" t="str">
        <f t="shared" si="25"/>
        <v>43.52236625</v>
      </c>
      <c r="D297" t="str">
        <f t="shared" si="26"/>
        <v>-79.6810634375</v>
      </c>
      <c r="E297" t="str">
        <f t="shared" si="27"/>
        <v>905-829-1960</v>
      </c>
      <c r="F297" t="str">
        <f t="shared" si="28"/>
        <v>L6H 6J5</v>
      </c>
      <c r="G297" t="str">
        <f t="shared" si="29"/>
        <v>[ "Staples", 43.52236625, -79.6810634375, '905-829-1960', 'L6H 6J5'],</v>
      </c>
      <c r="H297" t="s">
        <v>1198</v>
      </c>
    </row>
    <row r="298" spans="1:8" x14ac:dyDescent="0.2">
      <c r="A298" t="s">
        <v>309</v>
      </c>
      <c r="B298" t="str">
        <f t="shared" si="24"/>
        <v>uBreakiFix</v>
      </c>
      <c r="C298" t="str">
        <f t="shared" si="25"/>
        <v>43.5276517334641</v>
      </c>
      <c r="D298" t="str">
        <f t="shared" si="26"/>
        <v>-79.6521177075339</v>
      </c>
      <c r="E298" t="str">
        <f t="shared" si="27"/>
        <v>289-327-3442</v>
      </c>
      <c r="F298" t="str">
        <f t="shared" si="28"/>
        <v>L5K 0A1</v>
      </c>
      <c r="G298" t="str">
        <f t="shared" si="29"/>
        <v>[ "uBreakiFix", 43.5276517334641, -79.6521177075339, '289-327-3442', 'L5K 0A1'],</v>
      </c>
      <c r="H298" t="s">
        <v>1199</v>
      </c>
    </row>
    <row r="299" spans="1:8" x14ac:dyDescent="0.2">
      <c r="A299" t="s">
        <v>310</v>
      </c>
      <c r="B299" t="str">
        <f t="shared" si="24"/>
        <v>Mississauga Repair Centre</v>
      </c>
      <c r="C299" t="str">
        <f t="shared" si="25"/>
        <v>43.53323</v>
      </c>
      <c r="D299" t="str">
        <f t="shared" si="26"/>
        <v>-79.67721</v>
      </c>
      <c r="E299" t="str">
        <f t="shared" si="27"/>
        <v>905-828-1565</v>
      </c>
      <c r="F299" t="str">
        <f t="shared" si="28"/>
        <v>L5L 1R6</v>
      </c>
      <c r="G299" t="str">
        <f t="shared" si="29"/>
        <v>[ "Mississauga Repair Centre", 43.53323, -79.67721, '905-828-1565', 'L5L 1R6'],</v>
      </c>
      <c r="H299" t="s">
        <v>1200</v>
      </c>
    </row>
    <row r="300" spans="1:8" x14ac:dyDescent="0.2">
      <c r="A300" t="s">
        <v>311</v>
      </c>
      <c r="B300" t="str">
        <f t="shared" si="24"/>
        <v>Global Mobility Products Inc.</v>
      </c>
      <c r="C300" t="str">
        <f t="shared" si="25"/>
        <v>43.3833839090607</v>
      </c>
      <c r="D300" t="str">
        <f t="shared" si="26"/>
        <v>-79.7703333545969</v>
      </c>
      <c r="E300" t="str">
        <f t="shared" si="27"/>
        <v>905-331-3616</v>
      </c>
      <c r="F300" t="str">
        <f t="shared" si="28"/>
        <v>L7L 5H6</v>
      </c>
      <c r="G300" t="str">
        <f t="shared" si="29"/>
        <v>[ "Global Mobility Products Inc.", 43.3833839090607, -79.7703333545969, '905-331-3616', 'L7L 5H6'],</v>
      </c>
      <c r="H300" t="s">
        <v>1201</v>
      </c>
    </row>
    <row r="301" spans="1:8" x14ac:dyDescent="0.2">
      <c r="A301" t="s">
        <v>312</v>
      </c>
      <c r="B301" t="str">
        <f t="shared" si="24"/>
        <v>Creek Way Village</v>
      </c>
      <c r="C301" t="str">
        <f t="shared" si="25"/>
        <v>43.3931931378967</v>
      </c>
      <c r="D301" t="str">
        <f t="shared" si="26"/>
        <v>-79.7803727550126</v>
      </c>
      <c r="E301" t="str">
        <f t="shared" si="27"/>
        <v>905-825-6000</v>
      </c>
      <c r="F301" t="str">
        <f t="shared" si="28"/>
        <v>L7L 7G7</v>
      </c>
      <c r="G301" t="str">
        <f t="shared" si="29"/>
        <v>[ "Creek Way Village", 43.3931931378967, -79.7803727550126, '905-825-6000', 'L7L 7G7'],</v>
      </c>
      <c r="H301" t="s">
        <v>1202</v>
      </c>
    </row>
    <row r="302" spans="1:8" x14ac:dyDescent="0.2">
      <c r="A302" t="s">
        <v>313</v>
      </c>
      <c r="B302" t="str">
        <f t="shared" si="24"/>
        <v>RONA</v>
      </c>
      <c r="C302" t="str">
        <f t="shared" si="25"/>
        <v>43.3908735022933</v>
      </c>
      <c r="D302" t="str">
        <f t="shared" si="26"/>
        <v>-79.7902297597762</v>
      </c>
      <c r="E302" t="str">
        <f t="shared" si="27"/>
        <v>905-332-8868</v>
      </c>
      <c r="F302" t="str">
        <f t="shared" si="28"/>
        <v>L7L 5V3</v>
      </c>
      <c r="G302" t="str">
        <f t="shared" si="29"/>
        <v>[ "RONA", 43.3908735022933, -79.7902297597762, '905-332-8868', 'L7L 5V3'],</v>
      </c>
      <c r="H302" t="s">
        <v>1203</v>
      </c>
    </row>
    <row r="303" spans="1:8" x14ac:dyDescent="0.2">
      <c r="A303" t="s">
        <v>314</v>
      </c>
      <c r="B303" t="str">
        <f t="shared" si="24"/>
        <v>Complete Rent-Alls</v>
      </c>
      <c r="C303" t="str">
        <f t="shared" si="25"/>
        <v>43.3750029771389</v>
      </c>
      <c r="D303" t="str">
        <f t="shared" si="26"/>
        <v>-79.7839190611361</v>
      </c>
      <c r="E303" t="str">
        <f t="shared" si="27"/>
        <v>905-632-9010</v>
      </c>
      <c r="F303" t="str">
        <f t="shared" si="28"/>
        <v>L7L 4X9</v>
      </c>
      <c r="G303" t="str">
        <f t="shared" si="29"/>
        <v>[ "Complete Rent-Alls", 43.3750029771389, -79.7839190611361, '905-632-9010', 'L7L 4X9'],</v>
      </c>
      <c r="H303" t="s">
        <v>1204</v>
      </c>
    </row>
    <row r="304" spans="1:8" x14ac:dyDescent="0.2">
      <c r="A304" t="s">
        <v>315</v>
      </c>
      <c r="B304" t="str">
        <f t="shared" si="24"/>
        <v>RONA</v>
      </c>
      <c r="C304" t="str">
        <f t="shared" si="25"/>
        <v>43.5513803</v>
      </c>
      <c r="D304" t="str">
        <f t="shared" si="26"/>
        <v>-79.7186544</v>
      </c>
      <c r="E304" t="str">
        <f t="shared" si="27"/>
        <v>905-820-9965</v>
      </c>
      <c r="F304" t="str">
        <f t="shared" si="28"/>
        <v>L5M 6J3</v>
      </c>
      <c r="G304" t="str">
        <f t="shared" si="29"/>
        <v>[ "RONA", 43.5513803, -79.7186544, '905-820-9965', 'L5M 6J3'],</v>
      </c>
      <c r="H304" t="s">
        <v>1205</v>
      </c>
    </row>
    <row r="305" spans="1:8" x14ac:dyDescent="0.2">
      <c r="A305" t="s">
        <v>316</v>
      </c>
      <c r="B305" t="str">
        <f t="shared" si="24"/>
        <v>Ministry of Government &amp; Consumer Services</v>
      </c>
      <c r="C305" t="str">
        <f t="shared" si="25"/>
        <v>43.5618102531646</v>
      </c>
      <c r="D305" t="str">
        <f t="shared" si="26"/>
        <v>-79.6491292405063</v>
      </c>
      <c r="E305" t="str">
        <f t="shared" si="27"/>
        <v>905-279-6163</v>
      </c>
      <c r="F305" t="str">
        <f t="shared" si="28"/>
        <v>L5C 1Y5</v>
      </c>
      <c r="G305" t="str">
        <f t="shared" si="29"/>
        <v>[ "Ministry of Government &amp; Consumer Services", 43.5618102531646, -79.6491292405063, '905-279-6163', 'L5C 1Y5'],</v>
      </c>
      <c r="H305" t="s">
        <v>1206</v>
      </c>
    </row>
    <row r="306" spans="1:8" x14ac:dyDescent="0.2">
      <c r="A306" t="s">
        <v>317</v>
      </c>
      <c r="B306" t="str">
        <f t="shared" si="24"/>
        <v>Canadian Tire</v>
      </c>
      <c r="C306" t="str">
        <f t="shared" si="25"/>
        <v>43.5669954054054</v>
      </c>
      <c r="D306" t="str">
        <f t="shared" si="26"/>
        <v>-79.6343627027027</v>
      </c>
      <c r="E306" t="str">
        <f t="shared" si="27"/>
        <v>905-270-9200</v>
      </c>
      <c r="F306" t="str">
        <f t="shared" si="28"/>
        <v>L5C 1T8</v>
      </c>
      <c r="G306" t="str">
        <f t="shared" si="29"/>
        <v>[ "Canadian Tire", 43.5669954054054, -79.6343627027027, '905-270-9200', 'L5C 1T8'],</v>
      </c>
      <c r="H306" t="s">
        <v>1207</v>
      </c>
    </row>
    <row r="307" spans="1:8" x14ac:dyDescent="0.2">
      <c r="A307" t="s">
        <v>318</v>
      </c>
      <c r="B307" t="str">
        <f t="shared" si="24"/>
        <v>Home Depot</v>
      </c>
      <c r="C307" t="str">
        <f t="shared" si="25"/>
        <v>43.5673018918919</v>
      </c>
      <c r="D307" t="str">
        <f t="shared" si="26"/>
        <v>-79.6347959459459</v>
      </c>
      <c r="E307" t="str">
        <f t="shared" si="27"/>
        <v>905-281-6230</v>
      </c>
      <c r="F307" t="str">
        <f t="shared" si="28"/>
        <v>L5C 1T7</v>
      </c>
      <c r="G307" t="str">
        <f t="shared" si="29"/>
        <v>[ "Home Depot", 43.5673018918919, -79.6347959459459, '905-281-6230', 'L5C 1T7'],</v>
      </c>
      <c r="H307" t="s">
        <v>1208</v>
      </c>
    </row>
    <row r="308" spans="1:8" x14ac:dyDescent="0.2">
      <c r="A308" t="s">
        <v>319</v>
      </c>
      <c r="B308" t="str">
        <f t="shared" si="24"/>
        <v>Interstate All Battery Center</v>
      </c>
      <c r="C308" t="str">
        <f t="shared" si="25"/>
        <v>43.5675645945946</v>
      </c>
      <c r="D308" t="str">
        <f t="shared" si="26"/>
        <v>-79.6351672972973</v>
      </c>
      <c r="E308" t="str">
        <f t="shared" si="27"/>
        <v>905-949-1818</v>
      </c>
      <c r="F308" t="str">
        <f t="shared" si="28"/>
        <v>L5C 1T7</v>
      </c>
      <c r="G308" t="str">
        <f t="shared" si="29"/>
        <v>[ "Interstate All Battery Center", 43.5675645945946, -79.6351672972973, '905-949-1818', 'L5C 1T7'],</v>
      </c>
      <c r="H308" t="s">
        <v>1209</v>
      </c>
    </row>
    <row r="309" spans="1:8" x14ac:dyDescent="0.2">
      <c r="A309" t="s">
        <v>320</v>
      </c>
      <c r="B309" t="str">
        <f t="shared" si="24"/>
        <v>ListenUp! Canada</v>
      </c>
      <c r="C309" t="str">
        <f t="shared" si="25"/>
        <v>43.5697166483922</v>
      </c>
      <c r="D309" t="str">
        <f t="shared" si="26"/>
        <v>-79.66258931314</v>
      </c>
      <c r="E309" t="str">
        <f t="shared" si="27"/>
        <v>905-949-0102</v>
      </c>
      <c r="F309" t="str">
        <f t="shared" si="28"/>
        <v>L5C 4E9</v>
      </c>
      <c r="G309" t="str">
        <f t="shared" si="29"/>
        <v>[ "ListenUp! Canada", 43.5697166483922, -79.66258931314, '905-949-0102', 'L5C 4E9'],</v>
      </c>
      <c r="H309" t="s">
        <v>1210</v>
      </c>
    </row>
    <row r="310" spans="1:8" x14ac:dyDescent="0.2">
      <c r="A310" t="s">
        <v>321</v>
      </c>
      <c r="B310" t="str">
        <f t="shared" si="24"/>
        <v>Staples</v>
      </c>
      <c r="C310" t="str">
        <f t="shared" si="25"/>
        <v>43.3568097209952</v>
      </c>
      <c r="D310" t="str">
        <f t="shared" si="26"/>
        <v>-79.808176898632</v>
      </c>
      <c r="E310" t="str">
        <f t="shared" si="27"/>
        <v>905-332-1071</v>
      </c>
      <c r="F310" t="str">
        <f t="shared" si="28"/>
        <v>L7M 4X7</v>
      </c>
      <c r="G310" t="str">
        <f t="shared" si="29"/>
        <v>[ "Staples", 43.3568097209952, -79.808176898632, '905-332-1071', 'L7M 4X7'],</v>
      </c>
      <c r="H310" t="s">
        <v>1211</v>
      </c>
    </row>
    <row r="311" spans="1:8" x14ac:dyDescent="0.2">
      <c r="A311" t="s">
        <v>322</v>
      </c>
      <c r="B311" t="str">
        <f t="shared" si="24"/>
        <v>Home Depot</v>
      </c>
      <c r="C311" t="str">
        <f t="shared" si="25"/>
        <v>43.3566399619041</v>
      </c>
      <c r="D311" t="str">
        <f t="shared" si="26"/>
        <v>-79.8083578201066</v>
      </c>
      <c r="E311" t="str">
        <f t="shared" si="27"/>
        <v>905-331-1700</v>
      </c>
      <c r="F311" t="str">
        <f t="shared" si="28"/>
        <v>L7M 4M9</v>
      </c>
      <c r="G311" t="str">
        <f t="shared" si="29"/>
        <v>[ "Home Depot", 43.3566399619041, -79.8083578201066, '905-331-1700', 'L7M 4M9'],</v>
      </c>
      <c r="H311" t="s">
        <v>1212</v>
      </c>
    </row>
    <row r="312" spans="1:8" x14ac:dyDescent="0.2">
      <c r="A312" t="s">
        <v>323</v>
      </c>
      <c r="B312" t="str">
        <f t="shared" si="24"/>
        <v>Canadian Tire</v>
      </c>
      <c r="C312" t="str">
        <f t="shared" si="25"/>
        <v>43.3464639130435</v>
      </c>
      <c r="D312" t="str">
        <f t="shared" si="26"/>
        <v>-79.7963565217391</v>
      </c>
      <c r="E312" t="str">
        <f t="shared" si="27"/>
        <v>905-639-6711</v>
      </c>
      <c r="F312" t="str">
        <f t="shared" si="28"/>
        <v>L7R 3N2</v>
      </c>
      <c r="G312" t="str">
        <f t="shared" si="29"/>
        <v>[ "Canadian Tire", 43.3464639130435, -79.7963565217391, '905-639-6711', 'L7R 3N2'],</v>
      </c>
      <c r="H312" t="s">
        <v>1213</v>
      </c>
    </row>
    <row r="313" spans="1:8" x14ac:dyDescent="0.2">
      <c r="A313" t="s">
        <v>324</v>
      </c>
      <c r="B313" t="str">
        <f t="shared" si="24"/>
        <v>The Source</v>
      </c>
      <c r="C313" t="str">
        <f t="shared" si="25"/>
        <v>43.3464639130435</v>
      </c>
      <c r="D313" t="str">
        <f t="shared" si="26"/>
        <v>-79.7963565217391</v>
      </c>
      <c r="E313" t="str">
        <f t="shared" si="27"/>
        <v>905-639-4354</v>
      </c>
      <c r="F313" t="str">
        <f t="shared" si="28"/>
        <v>L7R 3N2</v>
      </c>
      <c r="G313" t="str">
        <f t="shared" si="29"/>
        <v>[ "The Source", 43.3464639130435, -79.7963565217391, '905-639-4354', 'L7R 3N2'],</v>
      </c>
      <c r="H313" t="s">
        <v>1214</v>
      </c>
    </row>
    <row r="314" spans="1:8" x14ac:dyDescent="0.2">
      <c r="A314" t="s">
        <v>325</v>
      </c>
      <c r="B314" t="str">
        <f t="shared" si="24"/>
        <v>ListenUp! Canada</v>
      </c>
      <c r="C314" t="str">
        <f t="shared" si="25"/>
        <v>43.57159</v>
      </c>
      <c r="D314" t="str">
        <f t="shared" si="26"/>
        <v>-79.61069</v>
      </c>
      <c r="E314" t="str">
        <f t="shared" si="27"/>
        <v>905-502-6888</v>
      </c>
      <c r="F314" t="str">
        <f t="shared" si="28"/>
        <v>L5B 2P7</v>
      </c>
      <c r="G314" t="str">
        <f t="shared" si="29"/>
        <v>[ "ListenUp! Canada", 43.57159, -79.61069, '905-502-6888', 'L5B 2P7'],</v>
      </c>
      <c r="H314" t="s">
        <v>1215</v>
      </c>
    </row>
    <row r="315" spans="1:8" x14ac:dyDescent="0.2">
      <c r="A315" t="s">
        <v>326</v>
      </c>
      <c r="B315" t="str">
        <f t="shared" si="24"/>
        <v>Staples</v>
      </c>
      <c r="C315" t="str">
        <f t="shared" si="25"/>
        <v>43.5803964962338</v>
      </c>
      <c r="D315" t="str">
        <f t="shared" si="26"/>
        <v>-79.6468598538234</v>
      </c>
      <c r="E315" t="str">
        <f t="shared" si="27"/>
        <v>905-306-7888</v>
      </c>
      <c r="F315" t="str">
        <f t="shared" si="28"/>
        <v>L5B 4M6</v>
      </c>
      <c r="G315" t="str">
        <f t="shared" si="29"/>
        <v>[ "Staples", 43.5803964962338, -79.6468598538234, '905-306-7888', 'L5B 4M6'],</v>
      </c>
      <c r="H315" t="s">
        <v>1216</v>
      </c>
    </row>
    <row r="316" spans="1:8" x14ac:dyDescent="0.2">
      <c r="A316" t="s">
        <v>327</v>
      </c>
      <c r="B316" t="str">
        <f t="shared" si="24"/>
        <v>ListenUp! Canada</v>
      </c>
      <c r="C316" t="str">
        <f t="shared" si="25"/>
        <v>43.5777787267331</v>
      </c>
      <c r="D316" t="str">
        <f t="shared" si="26"/>
        <v>-79.6152479148324</v>
      </c>
      <c r="E316" t="str">
        <f t="shared" si="27"/>
        <v>905-272-4327</v>
      </c>
      <c r="F316" t="str">
        <f t="shared" si="28"/>
        <v>L5B 4A2</v>
      </c>
      <c r="G316" t="str">
        <f t="shared" si="29"/>
        <v>[ "ListenUp! Canada", 43.5777787267331, -79.6152479148324, '905-272-4327', 'L5B 4A2'],</v>
      </c>
      <c r="H316" t="s">
        <v>1217</v>
      </c>
    </row>
    <row r="317" spans="1:8" x14ac:dyDescent="0.2">
      <c r="A317" t="s">
        <v>328</v>
      </c>
      <c r="B317" t="str">
        <f t="shared" si="24"/>
        <v>ListenUp! Canada</v>
      </c>
      <c r="C317" t="str">
        <f t="shared" si="25"/>
        <v>43.5809175</v>
      </c>
      <c r="D317" t="str">
        <f t="shared" si="26"/>
        <v>-79.712705</v>
      </c>
      <c r="E317" t="str">
        <f t="shared" si="27"/>
        <v>905-286-1051</v>
      </c>
      <c r="F317" t="str">
        <f t="shared" si="28"/>
        <v>L5M 1L6</v>
      </c>
      <c r="G317" t="str">
        <f t="shared" si="29"/>
        <v>[ "ListenUp! Canada", 43.5809175, -79.712705, '905-286-1051', 'L5M 1L6'],</v>
      </c>
      <c r="H317" t="s">
        <v>1218</v>
      </c>
    </row>
    <row r="318" spans="1:8" x14ac:dyDescent="0.2">
      <c r="A318" t="s">
        <v>329</v>
      </c>
      <c r="B318" t="str">
        <f t="shared" si="24"/>
        <v>Staples</v>
      </c>
      <c r="C318" t="str">
        <f t="shared" si="25"/>
        <v>43.3357729032258</v>
      </c>
      <c r="D318" t="str">
        <f t="shared" si="26"/>
        <v>-79.8128403225806</v>
      </c>
      <c r="E318" t="str">
        <f t="shared" si="27"/>
        <v>905-637-1422</v>
      </c>
      <c r="F318" t="str">
        <f t="shared" si="28"/>
        <v>L7S 2K4</v>
      </c>
      <c r="G318" t="str">
        <f t="shared" si="29"/>
        <v>[ "Staples", 43.3357729032258, -79.8128403225806, '905-637-1422', 'L7S 2K4'],</v>
      </c>
      <c r="H318" t="s">
        <v>1219</v>
      </c>
    </row>
    <row r="319" spans="1:8" x14ac:dyDescent="0.2">
      <c r="A319" t="s">
        <v>330</v>
      </c>
      <c r="B319" t="str">
        <f t="shared" si="24"/>
        <v>Mountain Equipment Co-Op</v>
      </c>
      <c r="C319" t="str">
        <f t="shared" si="25"/>
        <v>43.3390135923777</v>
      </c>
      <c r="D319" t="str">
        <f t="shared" si="26"/>
        <v>-79.8183843895694</v>
      </c>
      <c r="E319" t="str">
        <f t="shared" si="27"/>
        <v>905-333-8559</v>
      </c>
      <c r="F319" t="str">
        <f t="shared" si="28"/>
        <v>L7R 0B2</v>
      </c>
      <c r="G319" t="str">
        <f t="shared" si="29"/>
        <v>[ "Mountain Equipment Co-Op", 43.3390135923777, -79.8183843895694, '905-333-8559', 'L7R 0B2'],</v>
      </c>
      <c r="H319" t="s">
        <v>1220</v>
      </c>
    </row>
    <row r="320" spans="1:8" x14ac:dyDescent="0.2">
      <c r="A320" t="s">
        <v>331</v>
      </c>
      <c r="B320" t="str">
        <f t="shared" si="24"/>
        <v>ListenUp! Canada</v>
      </c>
      <c r="C320" t="str">
        <f t="shared" si="25"/>
        <v>43.3369777706284</v>
      </c>
      <c r="D320" t="str">
        <f t="shared" si="26"/>
        <v>-79.8184103048358</v>
      </c>
      <c r="E320" t="str">
        <f t="shared" si="27"/>
        <v>905-631-7889</v>
      </c>
      <c r="F320" t="str">
        <f t="shared" si="28"/>
        <v>L7R 3P9</v>
      </c>
      <c r="G320" t="str">
        <f t="shared" si="29"/>
        <v>[ "ListenUp! Canada", 43.3369777706284, -79.8184103048358, '905-631-7889', 'L7R 3P9'],</v>
      </c>
      <c r="H320" t="s">
        <v>1221</v>
      </c>
    </row>
    <row r="321" spans="1:8" x14ac:dyDescent="0.2">
      <c r="A321" t="s">
        <v>332</v>
      </c>
      <c r="B321" t="str">
        <f t="shared" ref="B321:B384" si="30">MID(A321,SEARCH("name"&amp;CHAR(34)&amp;":"&amp;CHAR(34),A321)+7,SEARCH(CHAR(34)&amp;", "&amp;CHAR(34)&amp;"locationlinkurl",A321)-SEARCH("name"&amp;CHAR(34)&amp;":"&amp;CHAR(34),A321)-7)</f>
        <v>Stanley Black &amp; Decker</v>
      </c>
      <c r="C321" t="str">
        <f t="shared" ref="C321:C384" si="31">MID(A321,SEARCH(CHAR(34)&amp;"latitude"&amp;CHAR(34)&amp;":"&amp;CHAR(34),A321)+12,SEARCH(CHAR(34)&amp;", "&amp;CHAR(34)&amp;"url"&amp;CHAR(34),A321)-SEARCH(CHAR(34)&amp;"latitude"&amp;CHAR(34)&amp;":"&amp;CHAR(34),A321)-12)</f>
        <v>43.5882913561828</v>
      </c>
      <c r="D321" t="str">
        <f t="shared" ref="D321:D384" si="32">MID(A321,SEARCH(CHAR(34)&amp;"longitude"&amp;CHAR(34)&amp;":"&amp;CHAR(34),A321)+13,SEARCH(CHAR(34)&amp;", "&amp;CHAR(34)&amp;"uid"&amp;CHAR(34),A321)-SEARCH(CHAR(34)&amp;"longitude"&amp;CHAR(34)&amp;":"&amp;CHAR(34),A321)-13)</f>
        <v>-79.7327009440744</v>
      </c>
      <c r="E321" t="str">
        <f t="shared" ref="E321:E384" si="33">MID(A321,SEARCH(CHAR(34)&amp;"phone"&amp;CHAR(34)&amp;":"&amp;CHAR(34),A321)+9,SEARCH(CHAR(34)&amp;", "&amp;CHAR(34)&amp;"address2"&amp;CHAR(34),A321)-SEARCH(CHAR(34)&amp;"phone"&amp;CHAR(34)&amp;":"&amp;CHAR(34),A321)-9)</f>
        <v>289-290-4668</v>
      </c>
      <c r="F321" t="str">
        <f t="shared" ref="F321:F384" si="34">MID(A321,SEARCH(CHAR(34)&amp;"postalcode"&amp;CHAR(34)&amp;":"&amp;CHAR(34),A321)+14,SEARCH(CHAR(34)&amp;", "&amp;CHAR(34)&amp;"province"&amp;CHAR(34),A321)-SEARCH(CHAR(34)&amp;"postalcode"&amp;CHAR(34)&amp;":"&amp;CHAR(34),A321)-14)</f>
        <v>L5N 7K6</v>
      </c>
      <c r="G321" t="str">
        <f t="shared" ref="G321:G384" si="35">"[ "&amp;CHAR(34)&amp;B321&amp;CHAR(34)&amp;", "&amp;C321&amp;", "&amp;D321&amp;", '"&amp;E321&amp;"', '"&amp;F321&amp;"'],"</f>
        <v>[ "Stanley Black &amp; Decker", 43.5882913561828, -79.7327009440744, '289-290-4668', 'L5N 7K6'],</v>
      </c>
      <c r="H321" t="s">
        <v>1222</v>
      </c>
    </row>
    <row r="322" spans="1:8" x14ac:dyDescent="0.2">
      <c r="A322" t="s">
        <v>333</v>
      </c>
      <c r="B322" t="str">
        <f t="shared" si="30"/>
        <v>The Source</v>
      </c>
      <c r="C322" t="str">
        <f t="shared" si="31"/>
        <v>43.3278229640744</v>
      </c>
      <c r="D322" t="str">
        <f t="shared" si="32"/>
        <v>-79.8196357784446</v>
      </c>
      <c r="E322" t="str">
        <f t="shared" si="33"/>
        <v>905-681-9252</v>
      </c>
      <c r="F322" t="str">
        <f t="shared" si="34"/>
        <v>L7S 2J8</v>
      </c>
      <c r="G322" t="str">
        <f t="shared" si="35"/>
        <v>[ "The Source", 43.3278229640744, -79.8196357784446, '905-681-9252', 'L7S 2J8'],</v>
      </c>
      <c r="H322" t="s">
        <v>1223</v>
      </c>
    </row>
    <row r="323" spans="1:8" x14ac:dyDescent="0.2">
      <c r="A323" t="s">
        <v>334</v>
      </c>
      <c r="B323" t="str">
        <f t="shared" si="30"/>
        <v>Hudsons Bay Company</v>
      </c>
      <c r="C323" t="str">
        <f t="shared" si="31"/>
        <v>43.3278229640744</v>
      </c>
      <c r="D323" t="str">
        <f t="shared" si="32"/>
        <v>-79.8196357784446</v>
      </c>
      <c r="E323" t="str">
        <f t="shared" si="33"/>
        <v>905-681-0030</v>
      </c>
      <c r="F323" t="str">
        <f t="shared" si="34"/>
        <v>L7S 2J8</v>
      </c>
      <c r="G323" t="str">
        <f t="shared" si="35"/>
        <v>[ "Hudsons Bay Company", 43.3278229640744, -79.8196357784446, '905-681-0030', 'L7S 2J8'],</v>
      </c>
      <c r="H323" t="s">
        <v>1224</v>
      </c>
    </row>
    <row r="324" spans="1:8" x14ac:dyDescent="0.2">
      <c r="A324" t="s">
        <v>335</v>
      </c>
      <c r="B324" t="str">
        <f t="shared" si="30"/>
        <v>RONA</v>
      </c>
      <c r="C324" t="str">
        <f t="shared" si="31"/>
        <v>43.5941053846154</v>
      </c>
      <c r="D324" t="str">
        <f t="shared" si="32"/>
        <v>-79.6007069230769</v>
      </c>
      <c r="E324" t="str">
        <f t="shared" si="33"/>
        <v>905-276-6350</v>
      </c>
      <c r="F324" t="str">
        <f t="shared" si="34"/>
        <v>L5A 3Y6</v>
      </c>
      <c r="G324" t="str">
        <f t="shared" si="35"/>
        <v>[ "RONA", 43.5941053846154, -79.6007069230769, '905-276-6350', 'L5A 3Y6'],</v>
      </c>
      <c r="H324" t="s">
        <v>1225</v>
      </c>
    </row>
    <row r="325" spans="1:8" x14ac:dyDescent="0.2">
      <c r="A325" t="s">
        <v>336</v>
      </c>
      <c r="B325" t="str">
        <f t="shared" si="30"/>
        <v>MCSCS</v>
      </c>
      <c r="C325" t="str">
        <f t="shared" si="31"/>
        <v>43.59177</v>
      </c>
      <c r="D325" t="str">
        <f t="shared" si="32"/>
        <v>-79.58866</v>
      </c>
      <c r="E325" t="str">
        <f t="shared" si="33"/>
        <v>905-279-6997</v>
      </c>
      <c r="F325" t="str">
        <f t="shared" si="34"/>
        <v>L4Y 1Y5</v>
      </c>
      <c r="G325" t="str">
        <f t="shared" si="35"/>
        <v>[ "MCSCS", 43.59177, -79.58866, '905-279-6997', 'L4Y 1Y5'],</v>
      </c>
      <c r="H325" t="s">
        <v>1226</v>
      </c>
    </row>
    <row r="326" spans="1:8" x14ac:dyDescent="0.2">
      <c r="A326" t="s">
        <v>337</v>
      </c>
      <c r="B326" t="str">
        <f t="shared" si="30"/>
        <v>Henrys</v>
      </c>
      <c r="C326" t="str">
        <f t="shared" si="31"/>
        <v>43.6087329220779</v>
      </c>
      <c r="D326" t="str">
        <f t="shared" si="32"/>
        <v>-79.6555426623377</v>
      </c>
      <c r="E326" t="str">
        <f t="shared" si="33"/>
        <v>905-568-1922</v>
      </c>
      <c r="F326" t="str">
        <f t="shared" si="34"/>
        <v>L4Z 3X6</v>
      </c>
      <c r="G326" t="str">
        <f t="shared" si="35"/>
        <v>[ "Henrys", 43.6087329220779, -79.6555426623377, '905-568-1922', 'L4Z 3X6'],</v>
      </c>
      <c r="H326" t="s">
        <v>1227</v>
      </c>
    </row>
    <row r="327" spans="1:8" x14ac:dyDescent="0.2">
      <c r="A327" t="s">
        <v>338</v>
      </c>
      <c r="B327" t="str">
        <f t="shared" si="30"/>
        <v>Home Depot</v>
      </c>
      <c r="C327" t="str">
        <f t="shared" si="31"/>
        <v>43.6071071830986</v>
      </c>
      <c r="D327" t="str">
        <f t="shared" si="32"/>
        <v>-79.7008128169014</v>
      </c>
      <c r="E327" t="str">
        <f t="shared" si="33"/>
        <v>905-285-4000</v>
      </c>
      <c r="F327" t="str">
        <f t="shared" si="34"/>
        <v>L5V 3E4</v>
      </c>
      <c r="G327" t="str">
        <f t="shared" si="35"/>
        <v>[ "Home Depot", 43.6071071830986, -79.7008128169014, '905-285-4000', 'L5V 3E4'],</v>
      </c>
      <c r="H327" t="s">
        <v>1228</v>
      </c>
    </row>
    <row r="328" spans="1:8" x14ac:dyDescent="0.2">
      <c r="A328" t="s">
        <v>339</v>
      </c>
      <c r="B328" t="str">
        <f t="shared" si="30"/>
        <v>The Source</v>
      </c>
      <c r="C328" t="str">
        <f t="shared" si="31"/>
        <v>43.59511</v>
      </c>
      <c r="D328" t="str">
        <f t="shared" si="32"/>
        <v>-79.56838</v>
      </c>
      <c r="E328" t="str">
        <f t="shared" si="33"/>
        <v>905-271-3644</v>
      </c>
      <c r="F328" t="str">
        <f t="shared" si="34"/>
        <v>L5E 1V4</v>
      </c>
      <c r="G328" t="str">
        <f t="shared" si="35"/>
        <v>[ "The Source", 43.59511, -79.56838, '905-271-3644', 'L5E 1V4'],</v>
      </c>
      <c r="H328" t="s">
        <v>1229</v>
      </c>
    </row>
    <row r="329" spans="1:8" x14ac:dyDescent="0.2">
      <c r="A329" t="s">
        <v>340</v>
      </c>
      <c r="B329" t="str">
        <f t="shared" si="30"/>
        <v>Staples</v>
      </c>
      <c r="C329" t="str">
        <f t="shared" si="31"/>
        <v>43.60992</v>
      </c>
      <c r="D329" t="str">
        <f t="shared" si="32"/>
        <v>-79.69273</v>
      </c>
      <c r="E329" t="str">
        <f t="shared" si="33"/>
        <v>905-813-3134</v>
      </c>
      <c r="F329" t="str">
        <f t="shared" si="34"/>
        <v>L5V 2P5</v>
      </c>
      <c r="G329" t="str">
        <f t="shared" si="35"/>
        <v>[ "Staples", 43.60992, -79.69273, '905-813-3134', 'L5V 2P5'],</v>
      </c>
      <c r="H329" t="s">
        <v>1230</v>
      </c>
    </row>
    <row r="330" spans="1:8" x14ac:dyDescent="0.2">
      <c r="A330" t="s">
        <v>341</v>
      </c>
      <c r="B330" t="str">
        <f t="shared" si="30"/>
        <v>Canadian Tire</v>
      </c>
      <c r="C330" t="str">
        <f t="shared" si="31"/>
        <v>43.60446</v>
      </c>
      <c r="D330" t="str">
        <f t="shared" si="32"/>
        <v>-79.58928</v>
      </c>
      <c r="E330" t="str">
        <f t="shared" si="33"/>
        <v>905-272-4800</v>
      </c>
      <c r="F330" t="str">
        <f t="shared" si="34"/>
        <v>L4Y 2C1</v>
      </c>
      <c r="G330" t="str">
        <f t="shared" si="35"/>
        <v>[ "Canadian Tire", 43.60446, -79.58928, '905-272-4800', 'L4Y 2C1'],</v>
      </c>
      <c r="H330" t="s">
        <v>1231</v>
      </c>
    </row>
    <row r="331" spans="1:8" x14ac:dyDescent="0.2">
      <c r="A331" t="s">
        <v>342</v>
      </c>
      <c r="B331" t="str">
        <f t="shared" si="30"/>
        <v>Staples</v>
      </c>
      <c r="C331" t="str">
        <f t="shared" si="31"/>
        <v>43.60798</v>
      </c>
      <c r="D331" t="str">
        <f t="shared" si="32"/>
        <v>-79.72949</v>
      </c>
      <c r="E331" t="str">
        <f t="shared" si="33"/>
        <v>905-785-0864</v>
      </c>
      <c r="F331" t="str">
        <f t="shared" si="34"/>
        <v>L5N 8E1</v>
      </c>
      <c r="G331" t="str">
        <f t="shared" si="35"/>
        <v>[ "Staples", 43.60798, -79.72949, '905-785-0864', 'L5N 8E1'],</v>
      </c>
      <c r="H331" t="s">
        <v>1232</v>
      </c>
    </row>
    <row r="332" spans="1:8" x14ac:dyDescent="0.2">
      <c r="A332" t="s">
        <v>343</v>
      </c>
      <c r="B332" t="str">
        <f t="shared" si="30"/>
        <v>Home Depot</v>
      </c>
      <c r="C332" t="str">
        <f t="shared" si="31"/>
        <v>43.53572</v>
      </c>
      <c r="D332" t="str">
        <f t="shared" si="32"/>
        <v>-79.87415</v>
      </c>
      <c r="E332" t="str">
        <f t="shared" si="33"/>
        <v>905-864-1200</v>
      </c>
      <c r="F332" t="str">
        <f t="shared" si="34"/>
        <v>L9T 0A5</v>
      </c>
      <c r="G332" t="str">
        <f t="shared" si="35"/>
        <v>[ "Home Depot", 43.53572, -79.87415, '905-864-1200', 'L9T 0A5'],</v>
      </c>
      <c r="H332" t="s">
        <v>1233</v>
      </c>
    </row>
    <row r="333" spans="1:8" x14ac:dyDescent="0.2">
      <c r="A333" t="s">
        <v>344</v>
      </c>
      <c r="B333" t="str">
        <f t="shared" si="30"/>
        <v>RONA</v>
      </c>
      <c r="C333" t="str">
        <f t="shared" si="31"/>
        <v>43.5965272142405</v>
      </c>
      <c r="D333" t="str">
        <f t="shared" si="32"/>
        <v>-79.7850797312542</v>
      </c>
      <c r="E333" t="str">
        <f t="shared" si="33"/>
        <v>905-824-1865</v>
      </c>
      <c r="F333" t="str">
        <f t="shared" si="34"/>
        <v>L5N 8E1</v>
      </c>
      <c r="G333" t="str">
        <f t="shared" si="35"/>
        <v>[ "RONA", 43.5965272142405, -79.7850797312542, '905-824-1865', 'L5N 8E1'],</v>
      </c>
      <c r="H333" t="s">
        <v>1234</v>
      </c>
    </row>
    <row r="334" spans="1:8" x14ac:dyDescent="0.2">
      <c r="A334" t="s">
        <v>345</v>
      </c>
      <c r="B334" t="str">
        <f t="shared" si="30"/>
        <v>Home Depot</v>
      </c>
      <c r="C334" t="str">
        <f t="shared" si="31"/>
        <v>43.5991950396019</v>
      </c>
      <c r="D334" t="str">
        <f t="shared" si="32"/>
        <v>-79.7796852742672</v>
      </c>
      <c r="E334" t="str">
        <f t="shared" si="33"/>
        <v>905-814-3860</v>
      </c>
      <c r="F334" t="str">
        <f t="shared" si="34"/>
        <v>L5N 8C5</v>
      </c>
      <c r="G334" t="str">
        <f t="shared" si="35"/>
        <v>[ "Home Depot", 43.5991950396019, -79.7796852742672, '905-814-3860', 'L5N 8C5'],</v>
      </c>
      <c r="H334" t="s">
        <v>1235</v>
      </c>
    </row>
    <row r="335" spans="1:8" x14ac:dyDescent="0.2">
      <c r="A335" t="s">
        <v>346</v>
      </c>
      <c r="B335" t="str">
        <f t="shared" si="30"/>
        <v>Staples</v>
      </c>
      <c r="C335" t="str">
        <f t="shared" si="31"/>
        <v>43.5417045</v>
      </c>
      <c r="D335" t="str">
        <f t="shared" si="32"/>
        <v>-79.8713099</v>
      </c>
      <c r="E335" t="str">
        <f t="shared" si="33"/>
        <v>905-878-2434</v>
      </c>
      <c r="F335" t="str">
        <f t="shared" si="34"/>
        <v>L9T 6R1</v>
      </c>
      <c r="G335" t="str">
        <f t="shared" si="35"/>
        <v>[ "Staples", 43.5417045, -79.8713099, '905-878-2434', 'L9T 6R1'],</v>
      </c>
      <c r="H335" t="s">
        <v>1236</v>
      </c>
    </row>
    <row r="336" spans="1:8" x14ac:dyDescent="0.2">
      <c r="A336" t="s">
        <v>347</v>
      </c>
      <c r="B336" t="str">
        <f t="shared" si="30"/>
        <v>Canadian Tire</v>
      </c>
      <c r="C336" t="str">
        <f t="shared" si="31"/>
        <v>43.5415727</v>
      </c>
      <c r="D336" t="str">
        <f t="shared" si="32"/>
        <v>-79.8715343</v>
      </c>
      <c r="E336" t="str">
        <f t="shared" si="33"/>
        <v>905-878-2349</v>
      </c>
      <c r="F336" t="str">
        <f t="shared" si="34"/>
        <v>L9T 6R1</v>
      </c>
      <c r="G336" t="str">
        <f t="shared" si="35"/>
        <v>[ "Canadian Tire", 43.5415727, -79.8715343, '905-878-2349', 'L9T 6R1'],</v>
      </c>
      <c r="H336" t="s">
        <v>1237</v>
      </c>
    </row>
    <row r="337" spans="1:8" x14ac:dyDescent="0.2">
      <c r="A337" t="s">
        <v>348</v>
      </c>
      <c r="B337" t="str">
        <f t="shared" si="30"/>
        <v>ListenUp! Canada</v>
      </c>
      <c r="C337" t="str">
        <f t="shared" si="31"/>
        <v>43.60909</v>
      </c>
      <c r="D337" t="str">
        <f t="shared" si="32"/>
        <v>-79.56052</v>
      </c>
      <c r="E337" t="str">
        <f t="shared" si="33"/>
        <v>416-620-5776</v>
      </c>
      <c r="F337" t="str">
        <f t="shared" si="34"/>
        <v>M9C 5N2</v>
      </c>
      <c r="G337" t="str">
        <f t="shared" si="35"/>
        <v>[ "ListenUp! Canada", 43.60909, -79.56052, '416-620-5776', 'M9C 5N2'],</v>
      </c>
      <c r="H337" t="s">
        <v>1238</v>
      </c>
    </row>
    <row r="338" spans="1:8" x14ac:dyDescent="0.2">
      <c r="A338" t="s">
        <v>349</v>
      </c>
      <c r="B338" t="str">
        <f t="shared" si="30"/>
        <v>Dashvapes Inc</v>
      </c>
      <c r="C338" t="str">
        <f t="shared" si="31"/>
        <v>43.626546</v>
      </c>
      <c r="D338" t="str">
        <f t="shared" si="32"/>
        <v>-79.679812</v>
      </c>
      <c r="E338" t="str">
        <f t="shared" si="33"/>
        <v>905-507-3274</v>
      </c>
      <c r="F338" t="str">
        <f t="shared" si="34"/>
        <v>L5R 4B3</v>
      </c>
      <c r="G338" t="str">
        <f t="shared" si="35"/>
        <v>[ "Dashvapes Inc", 43.626546, -79.679812, '905-507-3274', 'L5R 4B3'],</v>
      </c>
      <c r="H338" t="s">
        <v>1239</v>
      </c>
    </row>
    <row r="339" spans="1:8" x14ac:dyDescent="0.2">
      <c r="A339" t="s">
        <v>350</v>
      </c>
      <c r="B339" t="str">
        <f t="shared" si="30"/>
        <v>RONA</v>
      </c>
      <c r="C339" t="str">
        <f t="shared" si="31"/>
        <v>43.6254612467473</v>
      </c>
      <c r="D339" t="str">
        <f t="shared" si="32"/>
        <v>-79.6065350291245</v>
      </c>
      <c r="E339" t="str">
        <f t="shared" si="33"/>
        <v>905-602-0795</v>
      </c>
      <c r="F339" t="str">
        <f t="shared" si="34"/>
        <v>L4W 1V5</v>
      </c>
      <c r="G339" t="str">
        <f t="shared" si="35"/>
        <v>[ "RONA", 43.6254612467473, -79.6065350291245, '905-602-0795', 'L4W 1V5'],</v>
      </c>
      <c r="H339" t="s">
        <v>1133</v>
      </c>
    </row>
    <row r="340" spans="1:8" x14ac:dyDescent="0.2">
      <c r="A340" t="s">
        <v>352</v>
      </c>
      <c r="B340" t="str">
        <f t="shared" si="30"/>
        <v>Staples</v>
      </c>
      <c r="C340" t="str">
        <f t="shared" si="31"/>
        <v>43.22544</v>
      </c>
      <c r="D340" t="str">
        <f t="shared" si="32"/>
        <v>-79.95532</v>
      </c>
      <c r="E340" t="str">
        <f t="shared" si="33"/>
        <v>905-648-6047</v>
      </c>
      <c r="F340" t="str">
        <f t="shared" si="34"/>
        <v>L9K 1L6</v>
      </c>
      <c r="G340" t="str">
        <f t="shared" si="35"/>
        <v>[ "Staples", 43.22544, -79.95532, '905-648-6047', 'L9K 1L6'],</v>
      </c>
      <c r="H340" t="s">
        <v>1240</v>
      </c>
    </row>
    <row r="341" spans="1:8" x14ac:dyDescent="0.2">
      <c r="A341" t="s">
        <v>353</v>
      </c>
      <c r="B341" t="str">
        <f t="shared" si="30"/>
        <v>Henrys</v>
      </c>
      <c r="C341" t="str">
        <f t="shared" si="31"/>
        <v>43.2255173449585</v>
      </c>
      <c r="D341" t="str">
        <f t="shared" si="32"/>
        <v>-79.9538051792998</v>
      </c>
      <c r="E341" t="str">
        <f t="shared" si="33"/>
        <v>905-648-9754</v>
      </c>
      <c r="F341" t="str">
        <f t="shared" si="34"/>
        <v>L9K 1L5</v>
      </c>
      <c r="G341" t="str">
        <f t="shared" si="35"/>
        <v>[ "Henrys", 43.2255173449585, -79.9538051792998, '905-648-9754', 'L9K 1L5'],</v>
      </c>
      <c r="H341" t="s">
        <v>1241</v>
      </c>
    </row>
    <row r="342" spans="1:8" x14ac:dyDescent="0.2">
      <c r="A342" t="s">
        <v>354</v>
      </c>
      <c r="B342" t="str">
        <f t="shared" si="30"/>
        <v>Best Buy</v>
      </c>
      <c r="C342" t="str">
        <f t="shared" si="31"/>
        <v>43.22704</v>
      </c>
      <c r="D342" t="str">
        <f t="shared" si="32"/>
        <v>-79.94467</v>
      </c>
      <c r="E342" t="str">
        <f t="shared" si="33"/>
        <v>905-304-7624</v>
      </c>
      <c r="F342" t="str">
        <f t="shared" si="34"/>
        <v>L9K 1J9</v>
      </c>
      <c r="G342" t="str">
        <f t="shared" si="35"/>
        <v>[ "Best Buy", 43.22704, -79.94467, '905-304-7624', 'L9K 1J9'],</v>
      </c>
      <c r="H342" t="s">
        <v>1242</v>
      </c>
    </row>
    <row r="343" spans="1:8" x14ac:dyDescent="0.2">
      <c r="A343" t="s">
        <v>355</v>
      </c>
      <c r="B343" t="str">
        <f t="shared" si="30"/>
        <v>Home Depot</v>
      </c>
      <c r="C343" t="str">
        <f t="shared" si="31"/>
        <v>43.229086749999</v>
      </c>
      <c r="D343" t="str">
        <f t="shared" si="32"/>
        <v>-79.9415112934695</v>
      </c>
      <c r="E343" t="str">
        <f t="shared" si="33"/>
        <v>905-304-5900</v>
      </c>
      <c r="F343" t="str">
        <f t="shared" si="34"/>
        <v>L9K 1J9</v>
      </c>
      <c r="G343" t="str">
        <f t="shared" si="35"/>
        <v>[ "Home Depot", 43.229086749999, -79.9415112934695, '905-304-5900', 'L9K 1J9'],</v>
      </c>
      <c r="H343" t="s">
        <v>1243</v>
      </c>
    </row>
    <row r="344" spans="1:8" x14ac:dyDescent="0.2">
      <c r="A344" t="s">
        <v>356</v>
      </c>
      <c r="B344" t="str">
        <f t="shared" si="30"/>
        <v>The Source</v>
      </c>
      <c r="C344" t="str">
        <f t="shared" si="31"/>
        <v>43.25969</v>
      </c>
      <c r="D344" t="str">
        <f t="shared" si="32"/>
        <v>-79.94278</v>
      </c>
      <c r="E344" t="str">
        <f t="shared" si="33"/>
        <v>905-627-3387</v>
      </c>
      <c r="F344" t="str">
        <f t="shared" si="34"/>
        <v>L9H 4H4</v>
      </c>
      <c r="G344" t="str">
        <f t="shared" si="35"/>
        <v>[ "The Source", 43.25969, -79.94278, '905-627-3387', 'L9H 4H4'],</v>
      </c>
      <c r="H344" t="s">
        <v>1244</v>
      </c>
    </row>
    <row r="345" spans="1:8" x14ac:dyDescent="0.2">
      <c r="A345" t="s">
        <v>357</v>
      </c>
      <c r="B345" t="str">
        <f t="shared" si="30"/>
        <v>The Source</v>
      </c>
      <c r="C345" t="str">
        <f t="shared" si="31"/>
        <v>43.1733746666667</v>
      </c>
      <c r="D345" t="str">
        <f t="shared" si="32"/>
        <v>-80.242096</v>
      </c>
      <c r="E345" t="str">
        <f t="shared" si="33"/>
        <v>519-759-8462</v>
      </c>
      <c r="F345" t="str">
        <f t="shared" si="34"/>
        <v>N3R 6B8</v>
      </c>
      <c r="G345" t="str">
        <f t="shared" si="35"/>
        <v>[ "The Source", 43.1733746666667, -80.242096, '519-759-8462', 'N3R 6B8'],</v>
      </c>
      <c r="H345" t="s">
        <v>1245</v>
      </c>
    </row>
    <row r="346" spans="1:8" x14ac:dyDescent="0.2">
      <c r="A346" t="s">
        <v>358</v>
      </c>
      <c r="B346" t="str">
        <f t="shared" si="30"/>
        <v>ListenUp! Canada</v>
      </c>
      <c r="C346" t="str">
        <f t="shared" si="31"/>
        <v>43.25734</v>
      </c>
      <c r="D346" t="str">
        <f t="shared" si="32"/>
        <v>-79.93383</v>
      </c>
      <c r="E346" t="str">
        <f t="shared" si="33"/>
        <v>905-524-0788</v>
      </c>
      <c r="F346" t="str">
        <f t="shared" si="34"/>
        <v>L8S 1G5</v>
      </c>
      <c r="G346" t="str">
        <f t="shared" si="35"/>
        <v>[ "ListenUp! Canada", 43.25734, -79.93383, '905-524-0788', 'L8S 1G5'],</v>
      </c>
      <c r="H346" t="s">
        <v>1246</v>
      </c>
    </row>
    <row r="347" spans="1:8" x14ac:dyDescent="0.2">
      <c r="A347" t="s">
        <v>359</v>
      </c>
      <c r="B347" t="str">
        <f t="shared" si="30"/>
        <v>Home Depot</v>
      </c>
      <c r="C347" t="str">
        <f t="shared" si="31"/>
        <v>43.1630392918477</v>
      </c>
      <c r="D347" t="str">
        <f t="shared" si="32"/>
        <v>-80.2414100444489</v>
      </c>
      <c r="E347" t="str">
        <f t="shared" si="33"/>
        <v>519-757-3534</v>
      </c>
      <c r="F347" t="str">
        <f t="shared" si="34"/>
        <v>N3R 7J4</v>
      </c>
      <c r="G347" t="str">
        <f t="shared" si="35"/>
        <v>[ "Home Depot", 43.1630392918477, -80.2414100444489, '519-757-3534', 'N3R 7J4'],</v>
      </c>
      <c r="H347" t="s">
        <v>1247</v>
      </c>
    </row>
    <row r="348" spans="1:8" x14ac:dyDescent="0.2">
      <c r="A348" t="s">
        <v>360</v>
      </c>
      <c r="B348" t="str">
        <f t="shared" si="30"/>
        <v>Staples</v>
      </c>
      <c r="C348" t="str">
        <f t="shared" si="31"/>
        <v>43.1693666109149</v>
      </c>
      <c r="D348" t="str">
        <f t="shared" si="32"/>
        <v>-80.2479792495133</v>
      </c>
      <c r="E348" t="str">
        <f t="shared" si="33"/>
        <v>519-752-3367</v>
      </c>
      <c r="F348" t="str">
        <f t="shared" si="34"/>
        <v>N3R 7C5</v>
      </c>
      <c r="G348" t="str">
        <f t="shared" si="35"/>
        <v>[ "Staples", 43.1693666109149, -80.2479792495133, '519-752-3367', 'N3R 7C5'],</v>
      </c>
      <c r="H348" t="s">
        <v>1248</v>
      </c>
    </row>
    <row r="349" spans="1:8" x14ac:dyDescent="0.2">
      <c r="A349" t="s">
        <v>361</v>
      </c>
      <c r="B349" t="str">
        <f t="shared" si="30"/>
        <v>Princess Auto</v>
      </c>
      <c r="C349" t="str">
        <f t="shared" si="31"/>
        <v>43.155558</v>
      </c>
      <c r="D349" t="str">
        <f t="shared" si="32"/>
        <v>-80.236674</v>
      </c>
      <c r="E349" t="str">
        <f t="shared" si="33"/>
        <v>226-227-9440</v>
      </c>
      <c r="F349" t="str">
        <f t="shared" si="34"/>
        <v>N3S 7R4</v>
      </c>
      <c r="G349" t="str">
        <f t="shared" si="35"/>
        <v>[ "Princess Auto", 43.155558, -80.236674, '226-227-9440', 'N3S 7R4'],</v>
      </c>
      <c r="H349" t="s">
        <v>1249</v>
      </c>
    </row>
    <row r="350" spans="1:8" x14ac:dyDescent="0.2">
      <c r="A350" t="s">
        <v>362</v>
      </c>
      <c r="B350" t="str">
        <f t="shared" si="30"/>
        <v>Lowes</v>
      </c>
      <c r="C350" t="str">
        <f t="shared" si="31"/>
        <v>43.155372</v>
      </c>
      <c r="D350" t="str">
        <f t="shared" si="32"/>
        <v>-80.237796</v>
      </c>
      <c r="E350" t="str">
        <f t="shared" si="33"/>
        <v>519-720-2060</v>
      </c>
      <c r="F350" t="str">
        <f t="shared" si="34"/>
        <v>N3S 7R4</v>
      </c>
      <c r="G350" t="str">
        <f t="shared" si="35"/>
        <v>[ "Lowes", 43.155372, -80.237796, '519-720-2060', 'N3S 7R4'],</v>
      </c>
      <c r="H350" t="s">
        <v>1250</v>
      </c>
    </row>
    <row r="351" spans="1:8" x14ac:dyDescent="0.2">
      <c r="A351" t="s">
        <v>363</v>
      </c>
      <c r="B351" t="str">
        <f t="shared" si="30"/>
        <v>ListenUp! Canada</v>
      </c>
      <c r="C351" t="str">
        <f t="shared" si="31"/>
        <v>43.1474446153846</v>
      </c>
      <c r="D351" t="str">
        <f t="shared" si="32"/>
        <v>-80.2361169230769</v>
      </c>
      <c r="E351" t="str">
        <f t="shared" si="33"/>
        <v>519-753-4182</v>
      </c>
      <c r="F351" t="str">
        <f t="shared" si="34"/>
        <v>N3R 4X8</v>
      </c>
      <c r="G351" t="str">
        <f t="shared" si="35"/>
        <v>[ "ListenUp! Canada", 43.1474446153846, -80.2361169230769, '519-753-4182', 'N3R 4X8'],</v>
      </c>
      <c r="H351" t="s">
        <v>1251</v>
      </c>
    </row>
    <row r="352" spans="1:8" x14ac:dyDescent="0.2">
      <c r="A352" t="s">
        <v>364</v>
      </c>
      <c r="B352" t="str">
        <f t="shared" si="30"/>
        <v>RONA</v>
      </c>
      <c r="C352" t="str">
        <f t="shared" si="31"/>
        <v>43.3155955555556</v>
      </c>
      <c r="D352" t="str">
        <f t="shared" si="32"/>
        <v>-79.9137022222222</v>
      </c>
      <c r="E352" t="str">
        <f t="shared" si="33"/>
        <v>905-689-8700</v>
      </c>
      <c r="F352" t="str">
        <f t="shared" si="34"/>
        <v>L9H 0C2</v>
      </c>
      <c r="G352" t="str">
        <f t="shared" si="35"/>
        <v>[ "RONA", 43.3155955555556, -79.9137022222222, '905-689-8700', 'L9H 0C2'],</v>
      </c>
      <c r="H352" t="s">
        <v>1252</v>
      </c>
    </row>
    <row r="353" spans="1:8" x14ac:dyDescent="0.2">
      <c r="A353" t="s">
        <v>365</v>
      </c>
      <c r="B353" t="str">
        <f t="shared" si="30"/>
        <v>Staples</v>
      </c>
      <c r="C353" t="str">
        <f t="shared" si="31"/>
        <v>43.3179275</v>
      </c>
      <c r="D353" t="str">
        <f t="shared" si="32"/>
        <v>-79.9109525</v>
      </c>
      <c r="E353" t="str">
        <f t="shared" si="33"/>
        <v>905-689-0271</v>
      </c>
      <c r="F353" t="str">
        <f t="shared" si="34"/>
        <v>L0R 2H1</v>
      </c>
      <c r="G353" t="str">
        <f t="shared" si="35"/>
        <v>[ "Staples", 43.3179275, -79.9109525, '905-689-0271', 'L0R 2H1'],</v>
      </c>
      <c r="H353" t="s">
        <v>1253</v>
      </c>
    </row>
    <row r="354" spans="1:8" x14ac:dyDescent="0.2">
      <c r="A354" t="s">
        <v>366</v>
      </c>
      <c r="B354" t="str">
        <f t="shared" si="30"/>
        <v>ListenUp! Canada</v>
      </c>
      <c r="C354" t="str">
        <f t="shared" si="31"/>
        <v>43.249808</v>
      </c>
      <c r="D354" t="str">
        <f t="shared" si="32"/>
        <v>-79.871143</v>
      </c>
      <c r="E354" t="str">
        <f t="shared" si="33"/>
        <v>905-529-6251</v>
      </c>
      <c r="F354" t="str">
        <f t="shared" si="34"/>
        <v>L8N 1Y2</v>
      </c>
      <c r="G354" t="str">
        <f t="shared" si="35"/>
        <v>[ "ListenUp! Canada", 43.249808, -79.871143, '905-529-6251', 'L8N 1Y2'],</v>
      </c>
      <c r="H354" t="s">
        <v>1254</v>
      </c>
    </row>
    <row r="355" spans="1:8" x14ac:dyDescent="0.2">
      <c r="A355" t="s">
        <v>367</v>
      </c>
      <c r="B355" t="str">
        <f t="shared" si="30"/>
        <v>Sears (Canada)</v>
      </c>
      <c r="C355" t="str">
        <f t="shared" si="31"/>
        <v>43.21707</v>
      </c>
      <c r="D355" t="str">
        <f t="shared" si="32"/>
        <v>-79.86449</v>
      </c>
      <c r="E355" t="str">
        <f t="shared" si="33"/>
        <v>905-389-4441</v>
      </c>
      <c r="F355" t="str">
        <f t="shared" si="34"/>
        <v>L9A 4X5</v>
      </c>
      <c r="G355" t="str">
        <f t="shared" si="35"/>
        <v>[ "Sears (Canada)", 43.21707, -79.86449, '905-389-4441', 'L9A 4X5'],</v>
      </c>
      <c r="H355" t="s">
        <v>1255</v>
      </c>
    </row>
    <row r="356" spans="1:8" x14ac:dyDescent="0.2">
      <c r="A356" t="s">
        <v>368</v>
      </c>
      <c r="B356" t="str">
        <f t="shared" si="30"/>
        <v>Staples</v>
      </c>
      <c r="C356" t="str">
        <f t="shared" si="31"/>
        <v>43.21863</v>
      </c>
      <c r="D356" t="str">
        <f t="shared" si="32"/>
        <v>-79.86401</v>
      </c>
      <c r="E356" t="str">
        <f t="shared" si="33"/>
        <v>905-383-7913</v>
      </c>
      <c r="F356" t="str">
        <f t="shared" si="34"/>
        <v>L9A 4V8</v>
      </c>
      <c r="G356" t="str">
        <f t="shared" si="35"/>
        <v>[ "Staples", 43.21863, -79.86401, '905-383-7913', 'L9A 4V8'],</v>
      </c>
      <c r="H356" t="s">
        <v>1256</v>
      </c>
    </row>
    <row r="357" spans="1:8" x14ac:dyDescent="0.2">
      <c r="A357" t="s">
        <v>369</v>
      </c>
      <c r="B357" t="str">
        <f t="shared" si="30"/>
        <v>ListenUp! Canada</v>
      </c>
      <c r="C357" t="str">
        <f t="shared" si="31"/>
        <v>43.22069</v>
      </c>
      <c r="D357" t="str">
        <f t="shared" si="32"/>
        <v>-79.86314</v>
      </c>
      <c r="E357" t="str">
        <f t="shared" si="33"/>
        <v>905-574-9196</v>
      </c>
      <c r="F357" t="str">
        <f t="shared" si="34"/>
        <v>L9A 5H2</v>
      </c>
      <c r="G357" t="str">
        <f t="shared" si="35"/>
        <v>[ "ListenUp! Canada", 43.22069, -79.86314, '905-574-9196', 'L9A 5H2'],</v>
      </c>
      <c r="H357" t="s">
        <v>1257</v>
      </c>
    </row>
    <row r="358" spans="1:8" x14ac:dyDescent="0.2">
      <c r="A358" t="s">
        <v>370</v>
      </c>
      <c r="B358" t="str">
        <f t="shared" si="30"/>
        <v>The Source</v>
      </c>
      <c r="C358" t="str">
        <f t="shared" si="31"/>
        <v>43.32977</v>
      </c>
      <c r="D358" t="str">
        <f t="shared" si="32"/>
        <v>-79.89708</v>
      </c>
      <c r="E358" t="str">
        <f t="shared" si="33"/>
        <v>905-690-3243</v>
      </c>
      <c r="F358" t="str">
        <f t="shared" si="34"/>
        <v>L0R 2H6</v>
      </c>
      <c r="G358" t="str">
        <f t="shared" si="35"/>
        <v>[ "The Source", 43.32977, -79.89708, '905-690-3243', 'L0R 2H6'],</v>
      </c>
      <c r="H358" t="s">
        <v>1258</v>
      </c>
    </row>
    <row r="359" spans="1:8" x14ac:dyDescent="0.2">
      <c r="A359" t="s">
        <v>371</v>
      </c>
      <c r="B359" t="str">
        <f t="shared" si="30"/>
        <v>The Source</v>
      </c>
      <c r="C359" t="str">
        <f t="shared" si="31"/>
        <v>43.35466</v>
      </c>
      <c r="D359" t="str">
        <f t="shared" si="32"/>
        <v>-80.28745</v>
      </c>
      <c r="E359" t="str">
        <f t="shared" si="33"/>
        <v>519-623-5210</v>
      </c>
      <c r="F359" t="str">
        <f t="shared" si="34"/>
        <v>N1R 8N8</v>
      </c>
      <c r="G359" t="str">
        <f t="shared" si="35"/>
        <v>[ "The Source", 43.35466, -80.28745, '519-623-5210', 'N1R 8N8'],</v>
      </c>
      <c r="H359" t="s">
        <v>1259</v>
      </c>
    </row>
    <row r="360" spans="1:8" x14ac:dyDescent="0.2">
      <c r="A360" t="s">
        <v>372</v>
      </c>
      <c r="B360" t="str">
        <f t="shared" si="30"/>
        <v>Home Essentials</v>
      </c>
      <c r="C360" t="str">
        <f t="shared" si="31"/>
        <v>43.355283</v>
      </c>
      <c r="D360" t="str">
        <f t="shared" si="32"/>
        <v>-80.31844</v>
      </c>
      <c r="E360" t="str">
        <f t="shared" si="33"/>
        <v>519-622-6046</v>
      </c>
      <c r="F360" t="str">
        <f t="shared" si="34"/>
        <v>N1S 2L8</v>
      </c>
      <c r="G360" t="str">
        <f t="shared" si="35"/>
        <v>[ "Home Essentials", 43.355283, -80.31844, '519-622-6046', 'N1S 2L8'],</v>
      </c>
      <c r="H360" t="s">
        <v>1260</v>
      </c>
    </row>
    <row r="361" spans="1:8" x14ac:dyDescent="0.2">
      <c r="A361" t="s">
        <v>373</v>
      </c>
      <c r="B361" t="str">
        <f t="shared" si="30"/>
        <v>Canadian Tire</v>
      </c>
      <c r="C361" t="str">
        <f t="shared" si="31"/>
        <v>43.25503</v>
      </c>
      <c r="D361" t="str">
        <f t="shared" si="32"/>
        <v>-79.83035</v>
      </c>
      <c r="E361" t="str">
        <f t="shared" si="33"/>
        <v>905-549-1336</v>
      </c>
      <c r="F361" t="str">
        <f t="shared" si="34"/>
        <v>L8L 2V6</v>
      </c>
      <c r="G361" t="str">
        <f t="shared" si="35"/>
        <v>[ "Canadian Tire", 43.25503, -79.83035, '905-549-1336', 'L8L 2V6'],</v>
      </c>
      <c r="H361" t="s">
        <v>1261</v>
      </c>
    </row>
    <row r="362" spans="1:8" x14ac:dyDescent="0.2">
      <c r="A362" t="s">
        <v>374</v>
      </c>
      <c r="B362" t="str">
        <f t="shared" si="30"/>
        <v>Envirosystems Inc.</v>
      </c>
      <c r="C362" t="str">
        <f t="shared" si="31"/>
        <v>43.25829</v>
      </c>
      <c r="D362" t="str">
        <f t="shared" si="32"/>
        <v>-79.82995</v>
      </c>
      <c r="E362" t="str">
        <f t="shared" si="33"/>
        <v>905-545-2665</v>
      </c>
      <c r="F362" t="str">
        <f t="shared" si="34"/>
        <v>L8L 6W1</v>
      </c>
      <c r="G362" t="str">
        <f t="shared" si="35"/>
        <v>[ "Envirosystems Inc.", 43.25829, -79.82995, '905-545-2665', 'L8L 6W1'],</v>
      </c>
      <c r="H362" t="s">
        <v>1262</v>
      </c>
    </row>
    <row r="363" spans="1:8" x14ac:dyDescent="0.2">
      <c r="A363" t="s">
        <v>375</v>
      </c>
      <c r="B363" t="str">
        <f t="shared" si="30"/>
        <v>ListenUp! Canada</v>
      </c>
      <c r="C363" t="str">
        <f t="shared" si="31"/>
        <v>43.37387</v>
      </c>
      <c r="D363" t="str">
        <f t="shared" si="32"/>
        <v>-80.31864</v>
      </c>
      <c r="E363" t="str">
        <f t="shared" si="33"/>
        <v>519-624-9092</v>
      </c>
      <c r="F363" t="str">
        <f t="shared" si="34"/>
        <v>N1R 8L4</v>
      </c>
      <c r="G363" t="str">
        <f t="shared" si="35"/>
        <v>[ "ListenUp! Canada", 43.37387, -80.31864, '519-624-9092', 'N1R 8L4'],</v>
      </c>
      <c r="H363" t="s">
        <v>1263</v>
      </c>
    </row>
    <row r="364" spans="1:8" x14ac:dyDescent="0.2">
      <c r="A364" t="s">
        <v>376</v>
      </c>
      <c r="B364" t="str">
        <f t="shared" si="30"/>
        <v>The Source</v>
      </c>
      <c r="C364" t="str">
        <f t="shared" si="31"/>
        <v>43.25047</v>
      </c>
      <c r="D364" t="str">
        <f t="shared" si="32"/>
        <v>-79.8117174358974</v>
      </c>
      <c r="E364" t="str">
        <f t="shared" si="33"/>
        <v>905-545-5343</v>
      </c>
      <c r="F364" t="str">
        <f t="shared" si="34"/>
        <v>L8H 2V4</v>
      </c>
      <c r="G364" t="str">
        <f t="shared" si="35"/>
        <v>[ "The Source", 43.25047, -79.8117174358974, '905-545-5343', 'L8H 2V4'],</v>
      </c>
      <c r="H364" t="s">
        <v>1264</v>
      </c>
    </row>
    <row r="365" spans="1:8" x14ac:dyDescent="0.2">
      <c r="A365" t="s">
        <v>377</v>
      </c>
      <c r="B365" t="str">
        <f t="shared" si="30"/>
        <v>Staples</v>
      </c>
      <c r="C365" t="str">
        <f t="shared" si="31"/>
        <v>43.2497988888889</v>
      </c>
      <c r="D365" t="str">
        <f t="shared" si="32"/>
        <v>-79.8086933333333</v>
      </c>
      <c r="E365" t="str">
        <f t="shared" si="33"/>
        <v>--</v>
      </c>
      <c r="F365" t="str">
        <f t="shared" si="34"/>
        <v>L8H 2V4</v>
      </c>
      <c r="G365" t="str">
        <f t="shared" si="35"/>
        <v>[ "Staples", 43.2497988888889, -79.8086933333333, '--', 'L8H 2V4'],</v>
      </c>
      <c r="H365" t="s">
        <v>1265</v>
      </c>
    </row>
    <row r="366" spans="1:8" x14ac:dyDescent="0.2">
      <c r="A366" t="s">
        <v>378</v>
      </c>
      <c r="B366" t="str">
        <f t="shared" si="30"/>
        <v>Home Depot</v>
      </c>
      <c r="C366" t="str">
        <f t="shared" si="31"/>
        <v>43.1921532</v>
      </c>
      <c r="D366" t="str">
        <f t="shared" si="32"/>
        <v>-79.8127364</v>
      </c>
      <c r="E366" t="str">
        <f t="shared" si="33"/>
        <v>905-574-4400</v>
      </c>
      <c r="F366" t="str">
        <f t="shared" si="34"/>
        <v>L8J 0B4</v>
      </c>
      <c r="G366" t="str">
        <f t="shared" si="35"/>
        <v>[ "Home Depot", 43.1921532, -79.8127364, '905-574-4400', 'L8J 0B4'],</v>
      </c>
      <c r="H366" t="s">
        <v>1266</v>
      </c>
    </row>
    <row r="367" spans="1:8" x14ac:dyDescent="0.2">
      <c r="A367" t="s">
        <v>380</v>
      </c>
      <c r="B367" t="str">
        <f t="shared" si="30"/>
        <v>Staples</v>
      </c>
      <c r="C367" t="str">
        <f t="shared" si="31"/>
        <v>43.1763769718819</v>
      </c>
      <c r="D367" t="str">
        <f t="shared" si="32"/>
        <v>-79.7903986495485</v>
      </c>
      <c r="E367" t="str">
        <f t="shared" si="33"/>
        <v>905-692-7215</v>
      </c>
      <c r="F367" t="str">
        <f t="shared" si="34"/>
        <v>L0R 1P0</v>
      </c>
      <c r="G367" t="str">
        <f t="shared" si="35"/>
        <v>[ "Staples", 43.1763769718819, -79.7903986495485, '905-692-7215', 'L0R 1P0'],</v>
      </c>
      <c r="H367" t="s">
        <v>1267</v>
      </c>
    </row>
    <row r="368" spans="1:8" x14ac:dyDescent="0.2">
      <c r="A368" t="s">
        <v>381</v>
      </c>
      <c r="B368" t="str">
        <f t="shared" si="30"/>
        <v>Pharmasave</v>
      </c>
      <c r="C368" t="str">
        <f t="shared" si="31"/>
        <v>43.1995437817332</v>
      </c>
      <c r="D368" t="str">
        <f t="shared" si="32"/>
        <v>-79.7944403927634</v>
      </c>
      <c r="E368" t="str">
        <f t="shared" si="33"/>
        <v>905-578-1111</v>
      </c>
      <c r="F368" t="str">
        <f t="shared" si="34"/>
        <v>L8J 1P8</v>
      </c>
      <c r="G368" t="str">
        <f t="shared" si="35"/>
        <v>[ "Pharmasave", 43.1995437817332, -79.7944403927634, '905-578-1111', 'L8J 1P8'],</v>
      </c>
      <c r="H368" t="s">
        <v>1268</v>
      </c>
    </row>
    <row r="369" spans="1:8" x14ac:dyDescent="0.2">
      <c r="A369" t="s">
        <v>382</v>
      </c>
      <c r="B369" t="str">
        <f t="shared" si="30"/>
        <v>Home Depot</v>
      </c>
      <c r="C369" t="str">
        <f t="shared" si="31"/>
        <v>43.1921532</v>
      </c>
      <c r="D369" t="str">
        <f t="shared" si="32"/>
        <v>-79.8127364</v>
      </c>
      <c r="E369" t="str">
        <f t="shared" si="33"/>
        <v>905-574-4400</v>
      </c>
      <c r="F369" t="str">
        <f t="shared" si="34"/>
        <v>L8J 0B4</v>
      </c>
      <c r="G369" t="str">
        <f t="shared" si="35"/>
        <v>[ "Home Depot", 43.1921532, -79.8127364, '905-574-4400', 'L8J 0B4'],</v>
      </c>
      <c r="H369" t="s">
        <v>1266</v>
      </c>
    </row>
    <row r="370" spans="1:8" x14ac:dyDescent="0.2">
      <c r="A370" t="s">
        <v>383</v>
      </c>
      <c r="B370" t="str">
        <f t="shared" si="30"/>
        <v>ListenUp! Canada</v>
      </c>
      <c r="C370" t="str">
        <f t="shared" si="31"/>
        <v>43.1944638910939</v>
      </c>
      <c r="D370" t="str">
        <f t="shared" si="32"/>
        <v>-79.5629405753382</v>
      </c>
      <c r="E370" t="str">
        <f t="shared" si="33"/>
        <v>905-309-6116</v>
      </c>
      <c r="F370" t="str">
        <f t="shared" si="34"/>
        <v>L3M 4H1</v>
      </c>
      <c r="G370" t="str">
        <f t="shared" si="35"/>
        <v>[ "ListenUp! Canada", 43.1944638910939, -79.5629405753382, '905-309-6116', 'L3M 4H1'],</v>
      </c>
      <c r="H370" t="s">
        <v>1269</v>
      </c>
    </row>
    <row r="371" spans="1:8" x14ac:dyDescent="0.2">
      <c r="A371" t="s">
        <v>384</v>
      </c>
      <c r="B371" t="str">
        <f t="shared" si="30"/>
        <v>Franklin Empire</v>
      </c>
      <c r="C371" t="str">
        <f t="shared" si="31"/>
        <v>43.2331541823488</v>
      </c>
      <c r="D371" t="str">
        <f t="shared" si="32"/>
        <v>-79.7434223326724</v>
      </c>
      <c r="E371" t="str">
        <f t="shared" si="33"/>
        <v>905-578-3330</v>
      </c>
      <c r="F371" t="str">
        <f t="shared" si="34"/>
        <v>L8E 2J8</v>
      </c>
      <c r="G371" t="str">
        <f t="shared" si="35"/>
        <v>[ "Franklin Empire", 43.2331541823488, -79.7434223326724, '905-578-3330', 'L8E 2J8'],</v>
      </c>
      <c r="H371" t="s">
        <v>1270</v>
      </c>
    </row>
    <row r="372" spans="1:8" x14ac:dyDescent="0.2">
      <c r="A372" t="s">
        <v>385</v>
      </c>
      <c r="B372" t="str">
        <f t="shared" si="30"/>
        <v>ListenUp! Canada</v>
      </c>
      <c r="C372" t="str">
        <f t="shared" si="31"/>
        <v>43.23425</v>
      </c>
      <c r="D372" t="str">
        <f t="shared" si="32"/>
        <v>-79.76165</v>
      </c>
      <c r="E372" t="str">
        <f t="shared" si="33"/>
        <v>905-662-8275</v>
      </c>
      <c r="F372" t="str">
        <f t="shared" si="34"/>
        <v>L8E 1H9</v>
      </c>
      <c r="G372" t="str">
        <f t="shared" si="35"/>
        <v>[ "ListenUp! Canada", 43.23425, -79.76165, '905-662-8275', 'L8E 1H9'],</v>
      </c>
      <c r="H372" t="s">
        <v>1271</v>
      </c>
    </row>
    <row r="373" spans="1:8" x14ac:dyDescent="0.2">
      <c r="A373" t="s">
        <v>386</v>
      </c>
      <c r="B373" t="str">
        <f t="shared" si="30"/>
        <v>Fastenal</v>
      </c>
      <c r="C373" t="str">
        <f t="shared" si="31"/>
        <v>43.2408032222222</v>
      </c>
      <c r="D373" t="str">
        <f t="shared" si="32"/>
        <v>-79.7363474444444</v>
      </c>
      <c r="E373" t="str">
        <f t="shared" si="33"/>
        <v>289-649-0770</v>
      </c>
      <c r="F373" t="str">
        <f t="shared" si="34"/>
        <v>L8E 0C5</v>
      </c>
      <c r="G373" t="str">
        <f t="shared" si="35"/>
        <v>[ "Fastenal", 43.2408032222222, -79.7363474444444, '289-649-0770', 'L8E 0C5'],</v>
      </c>
      <c r="H373" t="s">
        <v>1272</v>
      </c>
    </row>
    <row r="374" spans="1:8" x14ac:dyDescent="0.2">
      <c r="A374" t="s">
        <v>387</v>
      </c>
      <c r="B374" t="str">
        <f t="shared" si="30"/>
        <v>Staples Canada</v>
      </c>
      <c r="C374" t="str">
        <f t="shared" si="31"/>
        <v>43.23714</v>
      </c>
      <c r="D374" t="str">
        <f t="shared" si="32"/>
        <v>-79.7616175</v>
      </c>
      <c r="E374" t="str">
        <f t="shared" si="33"/>
        <v>905-578-3573</v>
      </c>
      <c r="F374" t="str">
        <f t="shared" si="34"/>
        <v>L8E 2W7</v>
      </c>
      <c r="G374" t="str">
        <f t="shared" si="35"/>
        <v>[ "Staples Canada", 43.23714, -79.7616175, '905-578-3573', 'L8E 2W7'],</v>
      </c>
      <c r="H374" t="s">
        <v>1273</v>
      </c>
    </row>
    <row r="375" spans="1:8" x14ac:dyDescent="0.2">
      <c r="A375" t="s">
        <v>388</v>
      </c>
      <c r="B375" t="str">
        <f t="shared" si="30"/>
        <v>Home Depot</v>
      </c>
      <c r="C375" t="str">
        <f t="shared" si="31"/>
        <v>43.2400266666667</v>
      </c>
      <c r="D375" t="str">
        <f t="shared" si="32"/>
        <v>-79.7591422222222</v>
      </c>
      <c r="E375" t="str">
        <f t="shared" si="33"/>
        <v>905-561-9755</v>
      </c>
      <c r="F375" t="str">
        <f t="shared" si="34"/>
        <v>L8E 2X4</v>
      </c>
      <c r="G375" t="str">
        <f t="shared" si="35"/>
        <v>[ "Home Depot", 43.2400266666667, -79.7591422222222, '905-561-9755', 'L8E 2X4'],</v>
      </c>
      <c r="H375" t="s">
        <v>1274</v>
      </c>
    </row>
    <row r="376" spans="1:8" x14ac:dyDescent="0.2">
      <c r="A376" t="s">
        <v>389</v>
      </c>
      <c r="B376" t="str">
        <f t="shared" si="30"/>
        <v>Princess Auto</v>
      </c>
      <c r="C376" t="str">
        <f t="shared" si="31"/>
        <v>43.2443277777778</v>
      </c>
      <c r="D376" t="str">
        <f t="shared" si="32"/>
        <v>-79.7859277777778</v>
      </c>
      <c r="E376" t="str">
        <f t="shared" si="33"/>
        <v>905-561-9400</v>
      </c>
      <c r="F376" t="str">
        <f t="shared" si="34"/>
        <v>L8H 2Y6</v>
      </c>
      <c r="G376" t="str">
        <f t="shared" si="35"/>
        <v>[ "Princess Auto", 43.2443277777778, -79.7859277777778, '905-561-9400', 'L8H 2Y6'],</v>
      </c>
      <c r="H376" t="s">
        <v>1275</v>
      </c>
    </row>
    <row r="377" spans="1:8" x14ac:dyDescent="0.2">
      <c r="A377" t="s">
        <v>390</v>
      </c>
      <c r="B377" t="str">
        <f t="shared" si="30"/>
        <v>RONA</v>
      </c>
      <c r="C377" t="str">
        <f t="shared" si="31"/>
        <v>43.18895</v>
      </c>
      <c r="D377" t="str">
        <f t="shared" si="32"/>
        <v>-79.5127447319383</v>
      </c>
      <c r="E377" t="str">
        <f t="shared" si="33"/>
        <v>905-309-1959</v>
      </c>
      <c r="F377" t="str">
        <f t="shared" si="34"/>
        <v>L3M 4E8</v>
      </c>
      <c r="G377" t="str">
        <f t="shared" si="35"/>
        <v>[ "RONA", 43.18895, -79.5127447319383, '905-309-1959', 'L3M 4E8'],</v>
      </c>
      <c r="H377" t="s">
        <v>1276</v>
      </c>
    </row>
    <row r="378" spans="1:8" x14ac:dyDescent="0.2">
      <c r="A378" t="s">
        <v>391</v>
      </c>
      <c r="B378" t="str">
        <f t="shared" si="30"/>
        <v>Sears (Canada)</v>
      </c>
      <c r="C378" t="str">
        <f t="shared" si="31"/>
        <v>43.21707</v>
      </c>
      <c r="D378" t="str">
        <f t="shared" si="32"/>
        <v>-79.86449</v>
      </c>
      <c r="E378" t="str">
        <f t="shared" si="33"/>
        <v>905-389-4441</v>
      </c>
      <c r="F378" t="str">
        <f t="shared" si="34"/>
        <v>L9A 4X5</v>
      </c>
      <c r="G378" t="str">
        <f t="shared" si="35"/>
        <v>[ "Sears (Canada)", 43.21707, -79.86449, '905-389-4441', 'L9A 4X5'],</v>
      </c>
      <c r="H378" t="s">
        <v>1255</v>
      </c>
    </row>
    <row r="379" spans="1:8" x14ac:dyDescent="0.2">
      <c r="A379" t="s">
        <v>392</v>
      </c>
      <c r="B379" t="str">
        <f t="shared" si="30"/>
        <v>RONA</v>
      </c>
      <c r="C379" t="str">
        <f t="shared" si="31"/>
        <v>43.2532231</v>
      </c>
      <c r="D379" t="str">
        <f t="shared" si="32"/>
        <v>-79.7863211</v>
      </c>
      <c r="E379" t="str">
        <f t="shared" si="33"/>
        <v>905-547-3444</v>
      </c>
      <c r="F379" t="str">
        <f t="shared" si="34"/>
        <v>L8H 5Z1</v>
      </c>
      <c r="G379" t="str">
        <f t="shared" si="35"/>
        <v>[ "RONA", 43.2532231, -79.7863211, '905-547-3444', 'L8H 5Z1'],</v>
      </c>
      <c r="H379" t="s">
        <v>1277</v>
      </c>
    </row>
    <row r="380" spans="1:8" x14ac:dyDescent="0.2">
      <c r="A380" t="s">
        <v>393</v>
      </c>
      <c r="B380" t="str">
        <f t="shared" si="30"/>
        <v>Staples</v>
      </c>
      <c r="C380" t="str">
        <f t="shared" si="31"/>
        <v>43.21863</v>
      </c>
      <c r="D380" t="str">
        <f t="shared" si="32"/>
        <v>-79.86401</v>
      </c>
      <c r="E380" t="str">
        <f t="shared" si="33"/>
        <v>905-383-7913</v>
      </c>
      <c r="F380" t="str">
        <f t="shared" si="34"/>
        <v>L9A 4V8</v>
      </c>
      <c r="G380" t="str">
        <f t="shared" si="35"/>
        <v>[ "Staples", 43.21863, -79.86401, '905-383-7913', 'L9A 4V8'],</v>
      </c>
      <c r="H380" t="s">
        <v>1256</v>
      </c>
    </row>
    <row r="381" spans="1:8" x14ac:dyDescent="0.2">
      <c r="A381" t="s">
        <v>394</v>
      </c>
      <c r="B381" t="str">
        <f t="shared" si="30"/>
        <v>ListenUp! Canada</v>
      </c>
      <c r="C381" t="str">
        <f t="shared" si="31"/>
        <v>43.22069</v>
      </c>
      <c r="D381" t="str">
        <f t="shared" si="32"/>
        <v>-79.86314</v>
      </c>
      <c r="E381" t="str">
        <f t="shared" si="33"/>
        <v>905-574-9196</v>
      </c>
      <c r="F381" t="str">
        <f t="shared" si="34"/>
        <v>L9A 5H2</v>
      </c>
      <c r="G381" t="str">
        <f t="shared" si="35"/>
        <v>[ "ListenUp! Canada", 43.22069, -79.86314, '905-574-9196', 'L9A 5H2'],</v>
      </c>
      <c r="H381" t="s">
        <v>1257</v>
      </c>
    </row>
    <row r="382" spans="1:8" x14ac:dyDescent="0.2">
      <c r="A382" t="s">
        <v>395</v>
      </c>
      <c r="B382" t="str">
        <f t="shared" si="30"/>
        <v>Staples</v>
      </c>
      <c r="C382" t="str">
        <f t="shared" si="31"/>
        <v>43.2497988888889</v>
      </c>
      <c r="D382" t="str">
        <f t="shared" si="32"/>
        <v>-79.8086933333333</v>
      </c>
      <c r="E382" t="str">
        <f t="shared" si="33"/>
        <v>--</v>
      </c>
      <c r="F382" t="str">
        <f t="shared" si="34"/>
        <v>L8H 2V4</v>
      </c>
      <c r="G382" t="str">
        <f t="shared" si="35"/>
        <v>[ "Staples", 43.2497988888889, -79.8086933333333, '--', 'L8H 2V4'],</v>
      </c>
      <c r="H382" t="s">
        <v>1265</v>
      </c>
    </row>
    <row r="383" spans="1:8" x14ac:dyDescent="0.2">
      <c r="A383" t="s">
        <v>396</v>
      </c>
      <c r="B383" t="str">
        <f t="shared" si="30"/>
        <v>The Source</v>
      </c>
      <c r="C383" t="str">
        <f t="shared" si="31"/>
        <v>43.25047</v>
      </c>
      <c r="D383" t="str">
        <f t="shared" si="32"/>
        <v>-79.8117174358974</v>
      </c>
      <c r="E383" t="str">
        <f t="shared" si="33"/>
        <v>905-545-5343</v>
      </c>
      <c r="F383" t="str">
        <f t="shared" si="34"/>
        <v>L8H 2V4</v>
      </c>
      <c r="G383" t="str">
        <f t="shared" si="35"/>
        <v>[ "The Source", 43.25047, -79.8117174358974, '905-545-5343', 'L8H 2V4'],</v>
      </c>
      <c r="H383" t="s">
        <v>1264</v>
      </c>
    </row>
    <row r="384" spans="1:8" x14ac:dyDescent="0.2">
      <c r="A384" t="s">
        <v>397</v>
      </c>
      <c r="B384" t="str">
        <f t="shared" si="30"/>
        <v>Canadian Tire</v>
      </c>
      <c r="C384" t="str">
        <f t="shared" si="31"/>
        <v>43.25503</v>
      </c>
      <c r="D384" t="str">
        <f t="shared" si="32"/>
        <v>-79.83035</v>
      </c>
      <c r="E384" t="str">
        <f t="shared" si="33"/>
        <v>905-549-1336</v>
      </c>
      <c r="F384" t="str">
        <f t="shared" si="34"/>
        <v>L8L 2V6</v>
      </c>
      <c r="G384" t="str">
        <f t="shared" si="35"/>
        <v>[ "Canadian Tire", 43.25503, -79.83035, '905-549-1336', 'L8L 2V6'],</v>
      </c>
      <c r="H384" t="s">
        <v>1261</v>
      </c>
    </row>
    <row r="385" spans="1:8" x14ac:dyDescent="0.2">
      <c r="A385" t="s">
        <v>398</v>
      </c>
      <c r="B385" t="str">
        <f t="shared" ref="B385:B448" si="36">MID(A385,SEARCH("name"&amp;CHAR(34)&amp;":"&amp;CHAR(34),A385)+7,SEARCH(CHAR(34)&amp;", "&amp;CHAR(34)&amp;"locationlinkurl",A385)-SEARCH("name"&amp;CHAR(34)&amp;":"&amp;CHAR(34),A385)-7)</f>
        <v>Envirosystems Inc.</v>
      </c>
      <c r="C385" t="str">
        <f t="shared" ref="C385:C448" si="37">MID(A385,SEARCH(CHAR(34)&amp;"latitude"&amp;CHAR(34)&amp;":"&amp;CHAR(34),A385)+12,SEARCH(CHAR(34)&amp;", "&amp;CHAR(34)&amp;"url"&amp;CHAR(34),A385)-SEARCH(CHAR(34)&amp;"latitude"&amp;CHAR(34)&amp;":"&amp;CHAR(34),A385)-12)</f>
        <v>43.25829</v>
      </c>
      <c r="D385" t="str">
        <f t="shared" ref="D385:D448" si="38">MID(A385,SEARCH(CHAR(34)&amp;"longitude"&amp;CHAR(34)&amp;":"&amp;CHAR(34),A385)+13,SEARCH(CHAR(34)&amp;", "&amp;CHAR(34)&amp;"uid"&amp;CHAR(34),A385)-SEARCH(CHAR(34)&amp;"longitude"&amp;CHAR(34)&amp;":"&amp;CHAR(34),A385)-13)</f>
        <v>-79.82995</v>
      </c>
      <c r="E385" t="str">
        <f t="shared" ref="E385:E448" si="39">MID(A385,SEARCH(CHAR(34)&amp;"phone"&amp;CHAR(34)&amp;":"&amp;CHAR(34),A385)+9,SEARCH(CHAR(34)&amp;", "&amp;CHAR(34)&amp;"address2"&amp;CHAR(34),A385)-SEARCH(CHAR(34)&amp;"phone"&amp;CHAR(34)&amp;":"&amp;CHAR(34),A385)-9)</f>
        <v>905-545-2665</v>
      </c>
      <c r="F385" t="str">
        <f t="shared" ref="F385:F448" si="40">MID(A385,SEARCH(CHAR(34)&amp;"postalcode"&amp;CHAR(34)&amp;":"&amp;CHAR(34),A385)+14,SEARCH(CHAR(34)&amp;", "&amp;CHAR(34)&amp;"province"&amp;CHAR(34),A385)-SEARCH(CHAR(34)&amp;"postalcode"&amp;CHAR(34)&amp;":"&amp;CHAR(34),A385)-14)</f>
        <v>L8L 6W1</v>
      </c>
      <c r="G385" t="str">
        <f t="shared" ref="G385:G448" si="41">"[ "&amp;CHAR(34)&amp;B385&amp;CHAR(34)&amp;", "&amp;C385&amp;", "&amp;D385&amp;", '"&amp;E385&amp;"', '"&amp;F385&amp;"'],"</f>
        <v>[ "Envirosystems Inc.", 43.25829, -79.82995, '905-545-2665', 'L8L 6W1'],</v>
      </c>
      <c r="H385" t="s">
        <v>1262</v>
      </c>
    </row>
    <row r="386" spans="1:8" x14ac:dyDescent="0.2">
      <c r="A386" t="s">
        <v>399</v>
      </c>
      <c r="B386" t="str">
        <f t="shared" si="36"/>
        <v>ListenUp! Canada</v>
      </c>
      <c r="C386" t="str">
        <f t="shared" si="37"/>
        <v>43.249808</v>
      </c>
      <c r="D386" t="str">
        <f t="shared" si="38"/>
        <v>-79.871143</v>
      </c>
      <c r="E386" t="str">
        <f t="shared" si="39"/>
        <v>905-529-6251</v>
      </c>
      <c r="F386" t="str">
        <f t="shared" si="40"/>
        <v>L8N 1Y2</v>
      </c>
      <c r="G386" t="str">
        <f t="shared" si="41"/>
        <v>[ "ListenUp! Canada", 43.249808, -79.871143, '905-529-6251', 'L8N 1Y2'],</v>
      </c>
      <c r="H386" t="s">
        <v>1254</v>
      </c>
    </row>
    <row r="387" spans="1:8" x14ac:dyDescent="0.2">
      <c r="A387" t="s">
        <v>401</v>
      </c>
      <c r="B387" t="str">
        <f t="shared" si="36"/>
        <v>Staples</v>
      </c>
      <c r="C387" t="str">
        <f t="shared" si="37"/>
        <v>43.01479</v>
      </c>
      <c r="D387" t="str">
        <f t="shared" si="38"/>
        <v>-79.24987</v>
      </c>
      <c r="E387" t="str">
        <f t="shared" si="39"/>
        <v>905-714-7607</v>
      </c>
      <c r="F387" t="str">
        <f t="shared" si="40"/>
        <v>L3C 5Z4</v>
      </c>
      <c r="G387" t="str">
        <f t="shared" si="41"/>
        <v>[ "Staples", 43.01479, -79.24987, '905-714-7607', 'L3C 5Z4'],</v>
      </c>
      <c r="H387" t="s">
        <v>1278</v>
      </c>
    </row>
    <row r="388" spans="1:8" x14ac:dyDescent="0.2">
      <c r="A388" t="s">
        <v>402</v>
      </c>
      <c r="B388" t="str">
        <f t="shared" si="36"/>
        <v>The Source</v>
      </c>
      <c r="C388" t="str">
        <f t="shared" si="37"/>
        <v>43.01479</v>
      </c>
      <c r="D388" t="str">
        <f t="shared" si="38"/>
        <v>-79.24987</v>
      </c>
      <c r="E388" t="str">
        <f t="shared" si="39"/>
        <v>905-735-0887</v>
      </c>
      <c r="F388" t="str">
        <f t="shared" si="40"/>
        <v>L3C 5Z4</v>
      </c>
      <c r="G388" t="str">
        <f t="shared" si="41"/>
        <v>[ "The Source", 43.01479, -79.24987, '905-735-0887', 'L3C 5Z4'],</v>
      </c>
      <c r="H388" t="s">
        <v>1279</v>
      </c>
    </row>
    <row r="389" spans="1:8" x14ac:dyDescent="0.2">
      <c r="A389" t="s">
        <v>403</v>
      </c>
      <c r="B389" t="str">
        <f t="shared" si="36"/>
        <v>Best Buy</v>
      </c>
      <c r="C389" t="str">
        <f t="shared" si="37"/>
        <v>43.11939</v>
      </c>
      <c r="D389" t="str">
        <f t="shared" si="38"/>
        <v>-79.26929</v>
      </c>
      <c r="E389" t="str">
        <f t="shared" si="39"/>
        <v>905-378-0333</v>
      </c>
      <c r="F389" t="str">
        <f t="shared" si="40"/>
        <v>L2S 0C7</v>
      </c>
      <c r="G389" t="str">
        <f t="shared" si="41"/>
        <v>[ "Best Buy", 43.11939, -79.26929, '905-378-0333', 'L2S 0C7'],</v>
      </c>
      <c r="H389" t="s">
        <v>1280</v>
      </c>
    </row>
    <row r="390" spans="1:8" x14ac:dyDescent="0.2">
      <c r="A390" t="s">
        <v>404</v>
      </c>
      <c r="B390" t="str">
        <f t="shared" si="36"/>
        <v>Ontario Public Service</v>
      </c>
      <c r="C390" t="str">
        <f t="shared" si="37"/>
        <v>42.9940204820926</v>
      </c>
      <c r="D390" t="str">
        <f t="shared" si="38"/>
        <v>-79.249069578359</v>
      </c>
      <c r="E390" t="str">
        <f t="shared" si="39"/>
        <v>905-735-1660</v>
      </c>
      <c r="F390" t="str">
        <f t="shared" si="40"/>
        <v>L3B 5X6</v>
      </c>
      <c r="G390" t="str">
        <f t="shared" si="41"/>
        <v>[ "Ontario Public Service", 42.9940204820926, -79.249069578359, '905-735-1660', 'L3B 5X6'],</v>
      </c>
      <c r="H390" t="s">
        <v>1281</v>
      </c>
    </row>
    <row r="391" spans="1:8" x14ac:dyDescent="0.2">
      <c r="A391" t="s">
        <v>405</v>
      </c>
      <c r="B391" t="str">
        <f t="shared" si="36"/>
        <v>ListenUp! Canada</v>
      </c>
      <c r="C391" t="str">
        <f t="shared" si="37"/>
        <v>42.99222</v>
      </c>
      <c r="D391" t="str">
        <f t="shared" si="38"/>
        <v>-79.24764</v>
      </c>
      <c r="E391" t="str">
        <f t="shared" si="39"/>
        <v>905-734-7300</v>
      </c>
      <c r="F391" t="str">
        <f t="shared" si="40"/>
        <v>L3B 3W5</v>
      </c>
      <c r="G391" t="str">
        <f t="shared" si="41"/>
        <v>[ "ListenUp! Canada", 42.99222, -79.24764, '905-734-7300', 'L3B 3W5'],</v>
      </c>
      <c r="H391" t="s">
        <v>1282</v>
      </c>
    </row>
    <row r="392" spans="1:8" x14ac:dyDescent="0.2">
      <c r="A392" t="s">
        <v>406</v>
      </c>
      <c r="B392" t="str">
        <f t="shared" si="36"/>
        <v>Rona Welland</v>
      </c>
      <c r="C392" t="str">
        <f t="shared" si="37"/>
        <v>43.0143557171621</v>
      </c>
      <c r="D392" t="str">
        <f t="shared" si="38"/>
        <v>-79.2291830209854</v>
      </c>
      <c r="E392" t="str">
        <f t="shared" si="39"/>
        <v>905-732-0073</v>
      </c>
      <c r="F392" t="str">
        <f t="shared" si="40"/>
        <v>L3B 0A1</v>
      </c>
      <c r="G392" t="str">
        <f t="shared" si="41"/>
        <v>[ "Rona Welland", 43.0143557171621, -79.2291830209854, '905-732-0073', 'L3B 0A1'],</v>
      </c>
      <c r="H392" t="s">
        <v>1283</v>
      </c>
    </row>
    <row r="393" spans="1:8" x14ac:dyDescent="0.2">
      <c r="A393" t="s">
        <v>407</v>
      </c>
      <c r="B393" t="str">
        <f t="shared" si="36"/>
        <v>Princess Auto</v>
      </c>
      <c r="C393" t="str">
        <f t="shared" si="37"/>
        <v>43.1557522</v>
      </c>
      <c r="D393" t="str">
        <f t="shared" si="38"/>
        <v>-79.2651518</v>
      </c>
      <c r="E393" t="str">
        <f t="shared" si="39"/>
        <v>289-438-8380</v>
      </c>
      <c r="F393" t="str">
        <f t="shared" si="40"/>
        <v>L2S 0E7</v>
      </c>
      <c r="G393" t="str">
        <f t="shared" si="41"/>
        <v>[ "Princess Auto", 43.1557522, -79.2651518, '289-438-8380', 'L2S 0E7'],</v>
      </c>
      <c r="H393" t="s">
        <v>1284</v>
      </c>
    </row>
    <row r="394" spans="1:8" x14ac:dyDescent="0.2">
      <c r="A394" t="s">
        <v>408</v>
      </c>
      <c r="B394" t="str">
        <f t="shared" si="36"/>
        <v>RONA</v>
      </c>
      <c r="C394" t="str">
        <f t="shared" si="37"/>
        <v>43.18895</v>
      </c>
      <c r="D394" t="str">
        <f t="shared" si="38"/>
        <v>-79.5127447319383</v>
      </c>
      <c r="E394" t="str">
        <f t="shared" si="39"/>
        <v>905-309-1959</v>
      </c>
      <c r="F394" t="str">
        <f t="shared" si="40"/>
        <v>L3M 4E8</v>
      </c>
      <c r="G394" t="str">
        <f t="shared" si="41"/>
        <v>[ "RONA", 43.18895, -79.5127447319383, '905-309-1959', 'L3M 4E8'],</v>
      </c>
      <c r="H394" t="s">
        <v>1276</v>
      </c>
    </row>
    <row r="395" spans="1:8" x14ac:dyDescent="0.2">
      <c r="A395" t="s">
        <v>409</v>
      </c>
      <c r="B395" t="str">
        <f t="shared" si="36"/>
        <v>Pharmasave</v>
      </c>
      <c r="C395" t="str">
        <f t="shared" si="37"/>
        <v>43.1245186956522</v>
      </c>
      <c r="D395" t="str">
        <f t="shared" si="38"/>
        <v>-79.2006786956522</v>
      </c>
      <c r="E395" t="str">
        <f t="shared" si="39"/>
        <v>905-227-2511</v>
      </c>
      <c r="F395" t="str">
        <f t="shared" si="40"/>
        <v>L2V 3Y7</v>
      </c>
      <c r="G395" t="str">
        <f t="shared" si="41"/>
        <v>[ "Pharmasave", 43.1245186956522, -79.2006786956522, '905-227-2511', 'L2V 3Y7'],</v>
      </c>
      <c r="H395" t="s">
        <v>1285</v>
      </c>
    </row>
    <row r="396" spans="1:8" x14ac:dyDescent="0.2">
      <c r="A396" t="s">
        <v>410</v>
      </c>
      <c r="B396" t="str">
        <f t="shared" si="36"/>
        <v>Staples</v>
      </c>
      <c r="C396" t="str">
        <f t="shared" si="37"/>
        <v>43.1792340662616</v>
      </c>
      <c r="D396" t="str">
        <f t="shared" si="38"/>
        <v>-79.2488582576566</v>
      </c>
      <c r="E396" t="str">
        <f t="shared" si="39"/>
        <v>905-937-4292</v>
      </c>
      <c r="F396" t="str">
        <f t="shared" si="40"/>
        <v>L2N 7R6</v>
      </c>
      <c r="G396" t="str">
        <f t="shared" si="41"/>
        <v>[ "Staples", 43.1792340662616, -79.2488582576566, '905-937-4292', 'L2N 7R6'],</v>
      </c>
      <c r="H396" t="s">
        <v>1286</v>
      </c>
    </row>
    <row r="397" spans="1:8" x14ac:dyDescent="0.2">
      <c r="A397" t="s">
        <v>411</v>
      </c>
      <c r="B397" t="str">
        <f t="shared" si="36"/>
        <v>Home Depot</v>
      </c>
      <c r="C397" t="str">
        <f t="shared" si="37"/>
        <v>43.1793789783435</v>
      </c>
      <c r="D397" t="str">
        <f t="shared" si="38"/>
        <v>-79.2478539630517</v>
      </c>
      <c r="E397" t="str">
        <f t="shared" si="39"/>
        <v>905-937-5900</v>
      </c>
      <c r="F397" t="str">
        <f t="shared" si="40"/>
        <v>L2N 7R6</v>
      </c>
      <c r="G397" t="str">
        <f t="shared" si="41"/>
        <v>[ "Home Depot", 43.1793789783435, -79.2478539630517, '905-937-5900', 'L2N 7R6'],</v>
      </c>
      <c r="H397" t="s">
        <v>1287</v>
      </c>
    </row>
    <row r="398" spans="1:8" x14ac:dyDescent="0.2">
      <c r="A398" t="s">
        <v>412</v>
      </c>
      <c r="B398" t="str">
        <f t="shared" si="36"/>
        <v>ListenUp! Canada</v>
      </c>
      <c r="C398" t="str">
        <f t="shared" si="37"/>
        <v>43.1944638910939</v>
      </c>
      <c r="D398" t="str">
        <f t="shared" si="38"/>
        <v>-79.5629405753382</v>
      </c>
      <c r="E398" t="str">
        <f t="shared" si="39"/>
        <v>905-309-6116</v>
      </c>
      <c r="F398" t="str">
        <f t="shared" si="40"/>
        <v>L3M 4H1</v>
      </c>
      <c r="G398" t="str">
        <f t="shared" si="41"/>
        <v>[ "ListenUp! Canada", 43.1944638910939, -79.5629405753382, '905-309-6116', 'L3M 4H1'],</v>
      </c>
      <c r="H398" t="s">
        <v>1269</v>
      </c>
    </row>
    <row r="399" spans="1:8" x14ac:dyDescent="0.2">
      <c r="A399" t="s">
        <v>413</v>
      </c>
      <c r="B399" t="str">
        <f t="shared" si="36"/>
        <v>RONA</v>
      </c>
      <c r="C399" t="str">
        <f t="shared" si="37"/>
        <v>43.16581</v>
      </c>
      <c r="D399" t="str">
        <f t="shared" si="38"/>
        <v>-79.20202</v>
      </c>
      <c r="E399" t="str">
        <f t="shared" si="39"/>
        <v>905-684-9264</v>
      </c>
      <c r="F399" t="str">
        <f t="shared" si="40"/>
        <v>L2M 7X2</v>
      </c>
      <c r="G399" t="str">
        <f t="shared" si="41"/>
        <v>[ "RONA", 43.16581, -79.20202, '905-684-9264', 'L2M 7X2'],</v>
      </c>
      <c r="H399" t="s">
        <v>1288</v>
      </c>
    </row>
    <row r="400" spans="1:8" x14ac:dyDescent="0.2">
      <c r="A400" t="s">
        <v>415</v>
      </c>
      <c r="B400" t="str">
        <f t="shared" si="36"/>
        <v>Town of Grand Island</v>
      </c>
      <c r="C400" t="str">
        <f t="shared" si="37"/>
        <v>43.02266</v>
      </c>
      <c r="D400" t="str">
        <f t="shared" si="38"/>
        <v>-78.96575</v>
      </c>
      <c r="E400" t="str">
        <f t="shared" si="39"/>
        <v>716-773-9600</v>
      </c>
      <c r="F400" t="str">
        <f t="shared" si="40"/>
        <v>14072</v>
      </c>
      <c r="G400" t="str">
        <f t="shared" si="41"/>
        <v>[ "Town of Grand Island", 43.02266, -78.96575, '716-773-9600', '14072'],</v>
      </c>
      <c r="H400" t="s">
        <v>1289</v>
      </c>
    </row>
    <row r="401" spans="1:8" x14ac:dyDescent="0.2">
      <c r="A401" t="s">
        <v>416</v>
      </c>
      <c r="B401" t="str">
        <f t="shared" si="36"/>
        <v>Beatties Basics</v>
      </c>
      <c r="C401" t="str">
        <f t="shared" si="37"/>
        <v>42.9054554117228</v>
      </c>
      <c r="D401" t="str">
        <f t="shared" si="38"/>
        <v>-78.9321407083533</v>
      </c>
      <c r="E401" t="str">
        <f t="shared" si="39"/>
        <v>905-871-7030</v>
      </c>
      <c r="F401" t="str">
        <f t="shared" si="40"/>
        <v>L2A 1N2</v>
      </c>
      <c r="G401" t="str">
        <f t="shared" si="41"/>
        <v>[ "Beatties Basics", 42.9054554117228, -78.9321407083533, '905-871-7030', 'L2A 1N2'],</v>
      </c>
      <c r="H401" t="s">
        <v>1290</v>
      </c>
    </row>
    <row r="402" spans="1:8" x14ac:dyDescent="0.2">
      <c r="A402" t="s">
        <v>417</v>
      </c>
      <c r="B402" t="str">
        <f t="shared" si="36"/>
        <v>ListenUp! Canada</v>
      </c>
      <c r="C402" t="str">
        <f t="shared" si="37"/>
        <v>42.90567</v>
      </c>
      <c r="D402" t="str">
        <f t="shared" si="38"/>
        <v>-78.91845</v>
      </c>
      <c r="E402" t="str">
        <f t="shared" si="39"/>
        <v>905-991-0647</v>
      </c>
      <c r="F402" t="str">
        <f t="shared" si="40"/>
        <v>L2A 1M4</v>
      </c>
      <c r="G402" t="str">
        <f t="shared" si="41"/>
        <v>[ "ListenUp! Canada", 42.90567, -78.91845, '905-991-0647', 'L2A 1M4'],</v>
      </c>
      <c r="H402" t="s">
        <v>1291</v>
      </c>
    </row>
    <row r="403" spans="1:8" x14ac:dyDescent="0.2">
      <c r="A403" t="s">
        <v>418</v>
      </c>
      <c r="B403" t="str">
        <f t="shared" si="36"/>
        <v>Just Accessories</v>
      </c>
      <c r="C403" t="str">
        <f t="shared" si="37"/>
        <v>43.0703930009034</v>
      </c>
      <c r="D403" t="str">
        <f t="shared" si="38"/>
        <v>-79.1146269448938</v>
      </c>
      <c r="E403" t="str">
        <f t="shared" si="39"/>
        <v>905-358-5878</v>
      </c>
      <c r="F403" t="str">
        <f t="shared" si="40"/>
        <v>L2G 3H2</v>
      </c>
      <c r="G403" t="str">
        <f t="shared" si="41"/>
        <v>[ "Just Accessories", 43.0703930009034, -79.1146269448938, '905-358-5878', 'L2G 3H2'],</v>
      </c>
      <c r="H403" t="s">
        <v>1292</v>
      </c>
    </row>
    <row r="404" spans="1:8" x14ac:dyDescent="0.2">
      <c r="A404" t="s">
        <v>419</v>
      </c>
      <c r="B404" t="str">
        <f t="shared" si="36"/>
        <v>The Home Depot</v>
      </c>
      <c r="C404" t="str">
        <f t="shared" si="37"/>
        <v>42.9543446666667</v>
      </c>
      <c r="D404" t="str">
        <f t="shared" si="38"/>
        <v>-78.8783137142857</v>
      </c>
      <c r="E404" t="str">
        <f t="shared" si="39"/>
        <v>716-871-8800</v>
      </c>
      <c r="F404" t="str">
        <f t="shared" si="40"/>
        <v>14207</v>
      </c>
      <c r="G404" t="str">
        <f t="shared" si="41"/>
        <v>[ "The Home Depot", 42.9543446666667, -78.8783137142857, '716-871-8800', '14207'],</v>
      </c>
      <c r="H404" t="s">
        <v>1293</v>
      </c>
    </row>
    <row r="405" spans="1:8" x14ac:dyDescent="0.2">
      <c r="A405" t="s">
        <v>420</v>
      </c>
      <c r="B405" t="str">
        <f t="shared" si="36"/>
        <v>Valu Home Centers</v>
      </c>
      <c r="C405" t="str">
        <f t="shared" si="37"/>
        <v>42.9474754545455</v>
      </c>
      <c r="D405" t="str">
        <f t="shared" si="38"/>
        <v>-78.8782163636364</v>
      </c>
      <c r="E405" t="str">
        <f t="shared" si="39"/>
        <v>--</v>
      </c>
      <c r="F405" t="str">
        <f t="shared" si="40"/>
        <v>14207</v>
      </c>
      <c r="G405" t="str">
        <f t="shared" si="41"/>
        <v>[ "Valu Home Centers", 42.9474754545455, -78.8782163636364, '--', '14207'],</v>
      </c>
      <c r="H405" t="s">
        <v>1294</v>
      </c>
    </row>
    <row r="406" spans="1:8" x14ac:dyDescent="0.2">
      <c r="A406" t="s">
        <v>421</v>
      </c>
      <c r="B406" t="str">
        <f t="shared" si="36"/>
        <v>Valu Home Centers</v>
      </c>
      <c r="C406" t="str">
        <f t="shared" si="37"/>
        <v>43.0004266666667</v>
      </c>
      <c r="D406" t="str">
        <f t="shared" si="38"/>
        <v>-78.8751380952381</v>
      </c>
      <c r="E406" t="str">
        <f t="shared" si="39"/>
        <v>716-694-8155</v>
      </c>
      <c r="F406" t="str">
        <f t="shared" si="40"/>
        <v>14150</v>
      </c>
      <c r="G406" t="str">
        <f t="shared" si="41"/>
        <v>[ "Valu Home Centers", 43.0004266666667, -78.8751380952381, '716-694-8155', '14150'],</v>
      </c>
      <c r="H406" t="s">
        <v>1295</v>
      </c>
    </row>
    <row r="407" spans="1:8" x14ac:dyDescent="0.2">
      <c r="A407" t="s">
        <v>422</v>
      </c>
      <c r="B407" t="str">
        <f t="shared" si="36"/>
        <v>The Home Depot</v>
      </c>
      <c r="C407" t="str">
        <f t="shared" si="37"/>
        <v>43.0882292307692</v>
      </c>
      <c r="D407" t="str">
        <f t="shared" si="38"/>
        <v>-78.9914680769231</v>
      </c>
      <c r="E407" t="str">
        <f t="shared" si="39"/>
        <v>716-236-0761</v>
      </c>
      <c r="F407" t="str">
        <f t="shared" si="40"/>
        <v>14304</v>
      </c>
      <c r="G407" t="str">
        <f t="shared" si="41"/>
        <v>[ "The Home Depot", 43.0882292307692, -78.9914680769231, '716-236-0761', '14304'],</v>
      </c>
      <c r="H407" t="s">
        <v>1296</v>
      </c>
    </row>
    <row r="408" spans="1:8" x14ac:dyDescent="0.2">
      <c r="A408" t="s">
        <v>423</v>
      </c>
      <c r="B408" t="str">
        <f t="shared" si="36"/>
        <v>RadioShack</v>
      </c>
      <c r="C408" t="str">
        <f t="shared" si="37"/>
        <v>42.9423522222222</v>
      </c>
      <c r="D408" t="str">
        <f t="shared" si="38"/>
        <v>-78.8678733333333</v>
      </c>
      <c r="E408" t="str">
        <f t="shared" si="39"/>
        <v>716-874-5064</v>
      </c>
      <c r="F408" t="str">
        <f t="shared" si="40"/>
        <v>14216</v>
      </c>
      <c r="G408" t="str">
        <f t="shared" si="41"/>
        <v>[ "RadioShack", 42.9423522222222, -78.8678733333333, '716-874-5064', '14216'],</v>
      </c>
      <c r="H408" t="s">
        <v>1297</v>
      </c>
    </row>
    <row r="409" spans="1:8" x14ac:dyDescent="0.2">
      <c r="A409" t="s">
        <v>424</v>
      </c>
      <c r="B409" t="str">
        <f t="shared" si="36"/>
        <v>RadioShack</v>
      </c>
      <c r="C409" t="str">
        <f t="shared" si="37"/>
        <v>43.0879566895736</v>
      </c>
      <c r="D409" t="str">
        <f t="shared" si="38"/>
        <v>-78.9805609232238</v>
      </c>
      <c r="E409" t="str">
        <f t="shared" si="39"/>
        <v>716-283-5648</v>
      </c>
      <c r="F409" t="str">
        <f t="shared" si="40"/>
        <v>14304</v>
      </c>
      <c r="G409" t="str">
        <f t="shared" si="41"/>
        <v>[ "RadioShack", 43.0879566895736, -78.9805609232238, '716-283-5648', '14304'],</v>
      </c>
      <c r="H409" t="s">
        <v>1298</v>
      </c>
    </row>
    <row r="410" spans="1:8" x14ac:dyDescent="0.2">
      <c r="A410" t="s">
        <v>425</v>
      </c>
      <c r="B410" t="str">
        <f t="shared" si="36"/>
        <v>Dewalt Factory Service Center</v>
      </c>
      <c r="C410" t="str">
        <f t="shared" si="37"/>
        <v>42.92228</v>
      </c>
      <c r="D410" t="str">
        <f t="shared" si="38"/>
        <v>-78.8663458064516</v>
      </c>
      <c r="E410" t="str">
        <f t="shared" si="39"/>
        <v>716-884-6220</v>
      </c>
      <c r="F410" t="str">
        <f t="shared" si="40"/>
        <v>14209</v>
      </c>
      <c r="G410" t="str">
        <f t="shared" si="41"/>
        <v>[ "Dewalt Factory Service Center", 42.92228, -78.8663458064516, '716-884-6220', '14209'],</v>
      </c>
      <c r="H410" t="s">
        <v>1299</v>
      </c>
    </row>
    <row r="411" spans="1:8" x14ac:dyDescent="0.2">
      <c r="A411" t="s">
        <v>426</v>
      </c>
      <c r="B411" t="str">
        <f t="shared" si="36"/>
        <v>RadioShack</v>
      </c>
      <c r="C411" t="str">
        <f t="shared" si="37"/>
        <v>43.0941245569268</v>
      </c>
      <c r="D411" t="str">
        <f t="shared" si="38"/>
        <v>-78.9719036349523</v>
      </c>
      <c r="E411" t="str">
        <f t="shared" si="39"/>
        <v>716-297-3333</v>
      </c>
      <c r="F411" t="str">
        <f t="shared" si="40"/>
        <v>14304</v>
      </c>
      <c r="G411" t="str">
        <f t="shared" si="41"/>
        <v>[ "RadioShack", 43.0941245569268, -78.9719036349523, '716-297-3333', '14304'],</v>
      </c>
      <c r="H411" t="s">
        <v>1300</v>
      </c>
    </row>
    <row r="412" spans="1:8" x14ac:dyDescent="0.2">
      <c r="A412" t="s">
        <v>427</v>
      </c>
      <c r="B412" t="str">
        <f t="shared" si="36"/>
        <v>Rona Welland</v>
      </c>
      <c r="C412" t="str">
        <f t="shared" si="37"/>
        <v>43.0143557171621</v>
      </c>
      <c r="D412" t="str">
        <f t="shared" si="38"/>
        <v>-79.2291830209854</v>
      </c>
      <c r="E412" t="str">
        <f t="shared" si="39"/>
        <v>905-732-0073</v>
      </c>
      <c r="F412" t="str">
        <f t="shared" si="40"/>
        <v>L3B 0A1</v>
      </c>
      <c r="G412" t="str">
        <f t="shared" si="41"/>
        <v>[ "Rona Welland", 43.0143557171621, -79.2291830209854, '905-732-0073', 'L3B 0A1'],</v>
      </c>
      <c r="H412" t="s">
        <v>1283</v>
      </c>
    </row>
    <row r="413" spans="1:8" x14ac:dyDescent="0.2">
      <c r="A413" t="s">
        <v>428</v>
      </c>
      <c r="B413" t="str">
        <f t="shared" si="36"/>
        <v>Staples</v>
      </c>
      <c r="C413" t="str">
        <f t="shared" si="37"/>
        <v>43.1041398492462</v>
      </c>
      <c r="D413" t="str">
        <f t="shared" si="38"/>
        <v>-79.1139305527638</v>
      </c>
      <c r="E413" t="str">
        <f t="shared" si="39"/>
        <v>905-358-0650</v>
      </c>
      <c r="F413" t="str">
        <f t="shared" si="40"/>
        <v>L2E 7K5</v>
      </c>
      <c r="G413" t="str">
        <f t="shared" si="41"/>
        <v>[ "Staples", 43.1041398492462, -79.1139305527638, '905-358-0650', 'L2E 7K5'],</v>
      </c>
      <c r="H413" t="s">
        <v>1301</v>
      </c>
    </row>
    <row r="414" spans="1:8" x14ac:dyDescent="0.2">
      <c r="A414" t="s">
        <v>429</v>
      </c>
      <c r="B414" t="str">
        <f t="shared" si="36"/>
        <v>Home Depot</v>
      </c>
      <c r="C414" t="str">
        <f t="shared" si="37"/>
        <v>43.1041398492462</v>
      </c>
      <c r="D414" t="str">
        <f t="shared" si="38"/>
        <v>-79.1139305527638</v>
      </c>
      <c r="E414" t="str">
        <f t="shared" si="39"/>
        <v>905-371-7470</v>
      </c>
      <c r="F414" t="str">
        <f t="shared" si="40"/>
        <v>L2E 7K5</v>
      </c>
      <c r="G414" t="str">
        <f t="shared" si="41"/>
        <v>[ "Home Depot", 43.1041398492462, -79.1139305527638, '905-371-7470', 'L2E 7K5'],</v>
      </c>
      <c r="H414" t="s">
        <v>1302</v>
      </c>
    </row>
    <row r="415" spans="1:8" x14ac:dyDescent="0.2">
      <c r="A415" t="s">
        <v>430</v>
      </c>
      <c r="B415" t="str">
        <f t="shared" si="36"/>
        <v>ListenUp! Canada</v>
      </c>
      <c r="C415" t="str">
        <f t="shared" si="37"/>
        <v>42.99222</v>
      </c>
      <c r="D415" t="str">
        <f t="shared" si="38"/>
        <v>-79.24764</v>
      </c>
      <c r="E415" t="str">
        <f t="shared" si="39"/>
        <v>905-734-7300</v>
      </c>
      <c r="F415" t="str">
        <f t="shared" si="40"/>
        <v>L3B 3W5</v>
      </c>
      <c r="G415" t="str">
        <f t="shared" si="41"/>
        <v>[ "ListenUp! Canada", 42.99222, -79.24764, '905-734-7300', 'L3B 3W5'],</v>
      </c>
      <c r="H415" t="s">
        <v>1282</v>
      </c>
    </row>
    <row r="416" spans="1:8" x14ac:dyDescent="0.2">
      <c r="A416" t="s">
        <v>431</v>
      </c>
      <c r="B416" t="str">
        <f t="shared" si="36"/>
        <v>Ontario Public Service</v>
      </c>
      <c r="C416" t="str">
        <f t="shared" si="37"/>
        <v>42.9940204820926</v>
      </c>
      <c r="D416" t="str">
        <f t="shared" si="38"/>
        <v>-79.249069578359</v>
      </c>
      <c r="E416" t="str">
        <f t="shared" si="39"/>
        <v>905-735-1660</v>
      </c>
      <c r="F416" t="str">
        <f t="shared" si="40"/>
        <v>L3B 5X6</v>
      </c>
      <c r="G416" t="str">
        <f t="shared" si="41"/>
        <v>[ "Ontario Public Service", 42.9940204820926, -79.249069578359, '905-735-1660', 'L3B 5X6'],</v>
      </c>
      <c r="H416" t="s">
        <v>1281</v>
      </c>
    </row>
    <row r="417" spans="1:8" x14ac:dyDescent="0.2">
      <c r="A417" t="s">
        <v>432</v>
      </c>
      <c r="B417" t="str">
        <f t="shared" si="36"/>
        <v>RadioShack</v>
      </c>
      <c r="C417" t="str">
        <f t="shared" si="37"/>
        <v>43.0510285714286</v>
      </c>
      <c r="D417" t="str">
        <f t="shared" si="38"/>
        <v>-78.87809</v>
      </c>
      <c r="E417" t="str">
        <f t="shared" si="39"/>
        <v>716-693-0500</v>
      </c>
      <c r="F417" t="str">
        <f t="shared" si="40"/>
        <v>14120</v>
      </c>
      <c r="G417" t="str">
        <f t="shared" si="41"/>
        <v>[ "RadioShack", 43.0510285714286, -78.87809, '716-693-0500', '14120'],</v>
      </c>
      <c r="H417" t="s">
        <v>1303</v>
      </c>
    </row>
    <row r="418" spans="1:8" x14ac:dyDescent="0.2">
      <c r="A418" t="s">
        <v>433</v>
      </c>
      <c r="B418" t="str">
        <f t="shared" si="36"/>
        <v>Drake Lawn &amp; Garden Inc.</v>
      </c>
      <c r="C418" t="str">
        <f t="shared" si="37"/>
        <v>43.09407</v>
      </c>
      <c r="D418" t="str">
        <f t="shared" si="38"/>
        <v>-78.93922</v>
      </c>
      <c r="E418" t="str">
        <f t="shared" si="39"/>
        <v>716-731-1330</v>
      </c>
      <c r="F418" t="str">
        <f t="shared" si="40"/>
        <v>14304</v>
      </c>
      <c r="G418" t="str">
        <f t="shared" si="41"/>
        <v>[ "Drake Lawn &amp; Garden Inc.", 43.09407, -78.93922, '716-731-1330', '14304'],</v>
      </c>
      <c r="H418" t="s">
        <v>1304</v>
      </c>
    </row>
    <row r="419" spans="1:8" x14ac:dyDescent="0.2">
      <c r="A419" t="s">
        <v>434</v>
      </c>
      <c r="B419" t="str">
        <f t="shared" si="36"/>
        <v>Valu Home Centers</v>
      </c>
      <c r="C419" t="str">
        <f t="shared" si="37"/>
        <v>43.10931</v>
      </c>
      <c r="D419" t="str">
        <f t="shared" si="38"/>
        <v>-78.9843</v>
      </c>
      <c r="E419" t="str">
        <f t="shared" si="39"/>
        <v>--</v>
      </c>
      <c r="F419" t="str">
        <f t="shared" si="40"/>
        <v>14304</v>
      </c>
      <c r="G419" t="str">
        <f t="shared" si="41"/>
        <v>[ "Valu Home Centers", 43.10931, -78.9843, '--', '14304'],</v>
      </c>
      <c r="H419" t="s">
        <v>1305</v>
      </c>
    </row>
    <row r="420" spans="1:8" x14ac:dyDescent="0.2">
      <c r="A420" t="s">
        <v>435</v>
      </c>
      <c r="B420" t="str">
        <f t="shared" si="36"/>
        <v>Valu Home Centers</v>
      </c>
      <c r="C420" t="str">
        <f t="shared" si="37"/>
        <v>42.958335</v>
      </c>
      <c r="D420" t="str">
        <f t="shared" si="38"/>
        <v>-78.83363</v>
      </c>
      <c r="E420" t="str">
        <f t="shared" si="39"/>
        <v>716-835-0677</v>
      </c>
      <c r="F420" t="str">
        <f t="shared" si="40"/>
        <v>14223</v>
      </c>
      <c r="G420" t="str">
        <f t="shared" si="41"/>
        <v>[ "Valu Home Centers", 42.958335, -78.83363, '716-835-0677', '14223'],</v>
      </c>
      <c r="H420" t="s">
        <v>1306</v>
      </c>
    </row>
    <row r="421" spans="1:8" x14ac:dyDescent="0.2">
      <c r="A421" t="s">
        <v>436</v>
      </c>
      <c r="B421" t="str">
        <f t="shared" si="36"/>
        <v>Staples</v>
      </c>
      <c r="C421" t="str">
        <f t="shared" si="37"/>
        <v>43.01479</v>
      </c>
      <c r="D421" t="str">
        <f t="shared" si="38"/>
        <v>-79.24987</v>
      </c>
      <c r="E421" t="str">
        <f t="shared" si="39"/>
        <v>905-714-7607</v>
      </c>
      <c r="F421" t="str">
        <f t="shared" si="40"/>
        <v>L3C 5Z4</v>
      </c>
      <c r="G421" t="str">
        <f t="shared" si="41"/>
        <v>[ "Staples", 43.01479, -79.24987, '905-714-7607', 'L3C 5Z4'],</v>
      </c>
      <c r="H421" t="s">
        <v>1278</v>
      </c>
    </row>
    <row r="422" spans="1:8" x14ac:dyDescent="0.2">
      <c r="A422" t="s">
        <v>437</v>
      </c>
      <c r="B422" t="str">
        <f t="shared" si="36"/>
        <v>The Source</v>
      </c>
      <c r="C422" t="str">
        <f t="shared" si="37"/>
        <v>43.01479</v>
      </c>
      <c r="D422" t="str">
        <f t="shared" si="38"/>
        <v>-79.24987</v>
      </c>
      <c r="E422" t="str">
        <f t="shared" si="39"/>
        <v>905-735-0887</v>
      </c>
      <c r="F422" t="str">
        <f t="shared" si="40"/>
        <v>L3C 5Z4</v>
      </c>
      <c r="G422" t="str">
        <f t="shared" si="41"/>
        <v>[ "The Source", 43.01479, -79.24987, '905-735-0887', 'L3C 5Z4'],</v>
      </c>
      <c r="H422" t="s">
        <v>1279</v>
      </c>
    </row>
    <row r="423" spans="1:8" x14ac:dyDescent="0.2">
      <c r="A423" t="s">
        <v>438</v>
      </c>
      <c r="B423" t="str">
        <f t="shared" si="36"/>
        <v>ListenUp! Canada</v>
      </c>
      <c r="C423" t="str">
        <f t="shared" si="37"/>
        <v>43.1142502173913</v>
      </c>
      <c r="D423" t="str">
        <f t="shared" si="38"/>
        <v>-79.111777173913</v>
      </c>
      <c r="E423" t="str">
        <f t="shared" si="39"/>
        <v>905-374-2792</v>
      </c>
      <c r="F423" t="str">
        <f t="shared" si="40"/>
        <v>L2E 6N1</v>
      </c>
      <c r="G423" t="str">
        <f t="shared" si="41"/>
        <v>[ "ListenUp! Canada", 43.1142502173913, -79.111777173913, '905-374-2792', 'L2E 6N1'],</v>
      </c>
      <c r="H423" t="s">
        <v>1307</v>
      </c>
    </row>
    <row r="424" spans="1:8" x14ac:dyDescent="0.2">
      <c r="A424" t="s">
        <v>439</v>
      </c>
      <c r="B424" t="str">
        <f t="shared" si="36"/>
        <v>Dollar General</v>
      </c>
      <c r="C424" t="str">
        <f t="shared" si="37"/>
        <v>42.91461</v>
      </c>
      <c r="D424" t="str">
        <f t="shared" si="38"/>
        <v>-78.83779</v>
      </c>
      <c r="E424" t="str">
        <f t="shared" si="39"/>
        <v>--</v>
      </c>
      <c r="F424" t="str">
        <f t="shared" si="40"/>
        <v>14211</v>
      </c>
      <c r="G424" t="str">
        <f t="shared" si="41"/>
        <v>[ "Dollar General", 42.91461, -78.83779, '--', '14211'],</v>
      </c>
      <c r="H424" t="s">
        <v>1308</v>
      </c>
    </row>
    <row r="425" spans="1:8" x14ac:dyDescent="0.2">
      <c r="A425" t="s">
        <v>440</v>
      </c>
      <c r="B425" t="str">
        <f t="shared" si="36"/>
        <v>Valu Home Centers</v>
      </c>
      <c r="C425" t="str">
        <f t="shared" si="37"/>
        <v>43.0601114705882</v>
      </c>
      <c r="D425" t="str">
        <f t="shared" si="38"/>
        <v>-78.8657948529412</v>
      </c>
      <c r="E425" t="str">
        <f t="shared" si="39"/>
        <v>--</v>
      </c>
      <c r="F425" t="str">
        <f t="shared" si="40"/>
        <v>14120</v>
      </c>
      <c r="G425" t="str">
        <f t="shared" si="41"/>
        <v>[ "Valu Home Centers", 43.0601114705882, -78.8657948529412, '--', '14120'],</v>
      </c>
      <c r="H425" t="s">
        <v>1309</v>
      </c>
    </row>
    <row r="426" spans="1:8" x14ac:dyDescent="0.2">
      <c r="A426" t="s">
        <v>441</v>
      </c>
      <c r="B426" t="str">
        <f t="shared" si="36"/>
        <v>Kenilworth Electronics Co.</v>
      </c>
      <c r="C426" t="str">
        <f t="shared" si="37"/>
        <v>42.9773606896552</v>
      </c>
      <c r="D426" t="str">
        <f t="shared" si="38"/>
        <v>-78.8231268965517</v>
      </c>
      <c r="E426" t="str">
        <f t="shared" si="39"/>
        <v>716-837-6666</v>
      </c>
      <c r="F426" t="str">
        <f t="shared" si="40"/>
        <v>14223</v>
      </c>
      <c r="G426" t="str">
        <f t="shared" si="41"/>
        <v>[ "Kenilworth Electronics Co.", 42.9773606896552, -78.8231268965517, '716-837-6666', '14223'],</v>
      </c>
      <c r="H426" t="s">
        <v>1310</v>
      </c>
    </row>
    <row r="427" spans="1:8" x14ac:dyDescent="0.2">
      <c r="A427" t="s">
        <v>442</v>
      </c>
      <c r="B427" t="str">
        <f t="shared" si="36"/>
        <v>CPR of WNY Tonawanda</v>
      </c>
      <c r="C427" t="str">
        <f t="shared" si="37"/>
        <v>42.98816</v>
      </c>
      <c r="D427" t="str">
        <f t="shared" si="38"/>
        <v>-78.82275</v>
      </c>
      <c r="E427" t="str">
        <f t="shared" si="39"/>
        <v>716-832-4277</v>
      </c>
      <c r="F427" t="str">
        <f t="shared" si="40"/>
        <v>14150</v>
      </c>
      <c r="G427" t="str">
        <f t="shared" si="41"/>
        <v>[ "CPR of WNY Tonawanda", 42.98816, -78.82275, '716-832-4277', '14150'],</v>
      </c>
      <c r="H427" t="s">
        <v>1311</v>
      </c>
    </row>
    <row r="428" spans="1:8" x14ac:dyDescent="0.2">
      <c r="A428" t="s">
        <v>443</v>
      </c>
      <c r="B428" t="str">
        <f t="shared" si="36"/>
        <v>Sears</v>
      </c>
      <c r="C428" t="str">
        <f t="shared" si="37"/>
        <v>42.989312</v>
      </c>
      <c r="D428" t="str">
        <f t="shared" si="38"/>
        <v>-78.822522</v>
      </c>
      <c r="E428" t="str">
        <f t="shared" si="39"/>
        <v>716-446-5100</v>
      </c>
      <c r="F428" t="str">
        <f t="shared" si="40"/>
        <v>14226</v>
      </c>
      <c r="G428" t="str">
        <f t="shared" si="41"/>
        <v>[ "Sears", 42.989312, -78.822522, '716-446-5100', '14226'],</v>
      </c>
      <c r="H428" t="s">
        <v>1312</v>
      </c>
    </row>
    <row r="429" spans="1:8" x14ac:dyDescent="0.2">
      <c r="A429" t="s">
        <v>444</v>
      </c>
      <c r="B429" t="str">
        <f t="shared" si="36"/>
        <v>RadioShack</v>
      </c>
      <c r="C429" t="str">
        <f t="shared" si="37"/>
        <v>42.95801</v>
      </c>
      <c r="D429" t="str">
        <f t="shared" si="38"/>
        <v>-78.81771</v>
      </c>
      <c r="E429" t="str">
        <f t="shared" si="39"/>
        <v>716-832-8311</v>
      </c>
      <c r="F429" t="str">
        <f t="shared" si="40"/>
        <v>14226</v>
      </c>
      <c r="G429" t="str">
        <f t="shared" si="41"/>
        <v>[ "RadioShack", 42.95801, -78.81771, '716-832-8311', '14226'],</v>
      </c>
      <c r="H429" t="s">
        <v>1313</v>
      </c>
    </row>
    <row r="430" spans="1:8" x14ac:dyDescent="0.2">
      <c r="A430" t="s">
        <v>445</v>
      </c>
      <c r="B430" t="str">
        <f t="shared" si="36"/>
        <v>Barnes &amp; Noble</v>
      </c>
      <c r="C430" t="str">
        <f t="shared" si="37"/>
        <v>42.9976371111111</v>
      </c>
      <c r="D430" t="str">
        <f t="shared" si="38"/>
        <v>-78.8223682222222</v>
      </c>
      <c r="E430" t="str">
        <f t="shared" si="39"/>
        <v>716-837-7209</v>
      </c>
      <c r="F430" t="str">
        <f t="shared" si="40"/>
        <v>14228</v>
      </c>
      <c r="G430" t="str">
        <f t="shared" si="41"/>
        <v>[ "Barnes &amp; Noble", 42.9976371111111, -78.8223682222222, '716-837-7209', '14228'],</v>
      </c>
      <c r="H430" t="s">
        <v>1314</v>
      </c>
    </row>
    <row r="431" spans="1:8" x14ac:dyDescent="0.2">
      <c r="A431" t="s">
        <v>446</v>
      </c>
      <c r="B431" t="str">
        <f t="shared" si="36"/>
        <v>Lowes</v>
      </c>
      <c r="C431" t="str">
        <f t="shared" si="37"/>
        <v>43.0004893628919</v>
      </c>
      <c r="D431" t="str">
        <f t="shared" si="38"/>
        <v>-78.8223262699096</v>
      </c>
      <c r="E431" t="str">
        <f t="shared" si="39"/>
        <v>716-831-5990</v>
      </c>
      <c r="F431" t="str">
        <f t="shared" si="40"/>
        <v>14228</v>
      </c>
      <c r="G431" t="str">
        <f t="shared" si="41"/>
        <v>[ "Lowes", 43.0004893628919, -78.8223262699096, '716-831-5990', '14228'],</v>
      </c>
      <c r="H431" t="s">
        <v>1315</v>
      </c>
    </row>
    <row r="432" spans="1:8" x14ac:dyDescent="0.2">
      <c r="A432" t="s">
        <v>447</v>
      </c>
      <c r="B432" t="str">
        <f t="shared" si="36"/>
        <v>Wegmans</v>
      </c>
      <c r="C432" t="str">
        <f t="shared" si="37"/>
        <v>42.9886017391304</v>
      </c>
      <c r="D432" t="str">
        <f t="shared" si="38"/>
        <v>-78.8172191304348</v>
      </c>
      <c r="E432" t="str">
        <f t="shared" si="39"/>
        <v>716-831-6300</v>
      </c>
      <c r="F432" t="str">
        <f t="shared" si="40"/>
        <v>14226</v>
      </c>
      <c r="G432" t="str">
        <f t="shared" si="41"/>
        <v>[ "Wegmans", 42.9886017391304, -78.8172191304348, '716-831-6300', '14226'],</v>
      </c>
      <c r="H432" t="s">
        <v>1316</v>
      </c>
    </row>
    <row r="433" spans="1:8" x14ac:dyDescent="0.2">
      <c r="A433" t="s">
        <v>448</v>
      </c>
      <c r="B433" t="str">
        <f t="shared" si="36"/>
        <v>The Home Depot</v>
      </c>
      <c r="C433" t="str">
        <f t="shared" si="37"/>
        <v>43.010624</v>
      </c>
      <c r="D433" t="str">
        <f t="shared" si="38"/>
        <v>-78.822318</v>
      </c>
      <c r="E433" t="str">
        <f t="shared" si="39"/>
        <v>716-639-9600</v>
      </c>
      <c r="F433" t="str">
        <f t="shared" si="40"/>
        <v>14228</v>
      </c>
      <c r="G433" t="str">
        <f t="shared" si="41"/>
        <v>[ "The Home Depot", 43.010624, -78.822318, '716-639-9600', '14228'],</v>
      </c>
      <c r="H433" t="s">
        <v>1317</v>
      </c>
    </row>
    <row r="434" spans="1:8" x14ac:dyDescent="0.2">
      <c r="A434" t="s">
        <v>449</v>
      </c>
      <c r="B434" t="str">
        <f t="shared" si="36"/>
        <v>The Battery Commercial Battery Company</v>
      </c>
      <c r="C434" t="str">
        <f t="shared" si="37"/>
        <v>43.0110638888889</v>
      </c>
      <c r="D434" t="str">
        <f t="shared" si="38"/>
        <v>-78.8223138888889</v>
      </c>
      <c r="E434" t="str">
        <f t="shared" si="39"/>
        <v>716-743-1554</v>
      </c>
      <c r="F434" t="str">
        <f t="shared" si="40"/>
        <v>14150</v>
      </c>
      <c r="G434" t="str">
        <f t="shared" si="41"/>
        <v>[ "The Battery Commercial Battery Company", 43.0110638888889, -78.8223138888889, '716-743-1554', '14150'],</v>
      </c>
      <c r="H434" t="s">
        <v>1318</v>
      </c>
    </row>
    <row r="435" spans="1:8" x14ac:dyDescent="0.2">
      <c r="A435" t="s">
        <v>450</v>
      </c>
      <c r="B435" t="str">
        <f t="shared" si="36"/>
        <v>Valu Home Centers</v>
      </c>
      <c r="C435" t="str">
        <f t="shared" si="37"/>
        <v>42.9801228571429</v>
      </c>
      <c r="D435" t="str">
        <f t="shared" si="38"/>
        <v>-78.8123042857143</v>
      </c>
      <c r="E435" t="str">
        <f t="shared" si="39"/>
        <v>716-832-3331</v>
      </c>
      <c r="F435" t="str">
        <f t="shared" si="40"/>
        <v>14226</v>
      </c>
      <c r="G435" t="str">
        <f t="shared" si="41"/>
        <v>[ "Valu Home Centers", 42.9801228571429, -78.8123042857143, '716-832-3331', '14226'],</v>
      </c>
      <c r="H435" t="s">
        <v>1319</v>
      </c>
    </row>
    <row r="436" spans="1:8" x14ac:dyDescent="0.2">
      <c r="A436" t="s">
        <v>451</v>
      </c>
      <c r="B436" t="str">
        <f t="shared" si="36"/>
        <v>Hilti</v>
      </c>
      <c r="C436" t="str">
        <f t="shared" si="37"/>
        <v>42.97735</v>
      </c>
      <c r="D436" t="str">
        <f t="shared" si="38"/>
        <v>-78.78386</v>
      </c>
      <c r="E436" t="str">
        <f t="shared" si="39"/>
        <v>716-839-3989</v>
      </c>
      <c r="F436" t="str">
        <f t="shared" si="40"/>
        <v>14226</v>
      </c>
      <c r="G436" t="str">
        <f t="shared" si="41"/>
        <v>[ "Hilti", 42.97735, -78.78386, '716-839-3989', '14226'],</v>
      </c>
      <c r="H436" t="s">
        <v>1320</v>
      </c>
    </row>
    <row r="437" spans="1:8" x14ac:dyDescent="0.2">
      <c r="A437" t="s">
        <v>452</v>
      </c>
      <c r="B437" t="str">
        <f t="shared" si="36"/>
        <v>Pharmasave</v>
      </c>
      <c r="C437" t="str">
        <f t="shared" si="37"/>
        <v>43.1245186956522</v>
      </c>
      <c r="D437" t="str">
        <f t="shared" si="38"/>
        <v>-79.2006786956522</v>
      </c>
      <c r="E437" t="str">
        <f t="shared" si="39"/>
        <v>905-227-2511</v>
      </c>
      <c r="F437" t="str">
        <f t="shared" si="40"/>
        <v>L2V 3Y7</v>
      </c>
      <c r="G437" t="str">
        <f t="shared" si="41"/>
        <v>[ "Pharmasave", 43.1245186956522, -79.2006786956522, '905-227-2511', 'L2V 3Y7'],</v>
      </c>
      <c r="H437" t="s">
        <v>1285</v>
      </c>
    </row>
    <row r="438" spans="1:8" x14ac:dyDescent="0.2">
      <c r="A438" t="s">
        <v>453</v>
      </c>
      <c r="B438" t="str">
        <f t="shared" si="36"/>
        <v>The Home Depot</v>
      </c>
      <c r="C438" t="str">
        <f t="shared" si="37"/>
        <v>42.9050804209813</v>
      </c>
      <c r="D438" t="str">
        <f t="shared" si="38"/>
        <v>-78.7805894293704</v>
      </c>
      <c r="E438" t="str">
        <f t="shared" si="39"/>
        <v>716-895-6680</v>
      </c>
      <c r="F438" t="str">
        <f t="shared" si="40"/>
        <v>14225</v>
      </c>
      <c r="G438" t="str">
        <f t="shared" si="41"/>
        <v>[ "The Home Depot", 42.9050804209813, -78.7805894293704, '716-895-6680', '14225'],</v>
      </c>
      <c r="H438" t="s">
        <v>1321</v>
      </c>
    </row>
    <row r="439" spans="1:8" x14ac:dyDescent="0.2">
      <c r="A439" t="s">
        <v>454</v>
      </c>
      <c r="B439" t="str">
        <f t="shared" si="36"/>
        <v>Saia Communications</v>
      </c>
      <c r="C439" t="str">
        <f t="shared" si="37"/>
        <v>42.8880854545455</v>
      </c>
      <c r="D439" t="str">
        <f t="shared" si="38"/>
        <v>-78.7807954545455</v>
      </c>
      <c r="E439" t="str">
        <f t="shared" si="39"/>
        <v>716-892-2900</v>
      </c>
      <c r="F439" t="str">
        <f t="shared" si="40"/>
        <v>14206</v>
      </c>
      <c r="G439" t="str">
        <f t="shared" si="41"/>
        <v>[ "Saia Communications", 42.8880854545455, -78.7807954545455, '716-892-2900', '14206'],</v>
      </c>
      <c r="H439" t="s">
        <v>1322</v>
      </c>
    </row>
    <row r="440" spans="1:8" x14ac:dyDescent="0.2">
      <c r="A440" t="s">
        <v>455</v>
      </c>
      <c r="B440" t="str">
        <f t="shared" si="36"/>
        <v>Hectors Hardware</v>
      </c>
      <c r="C440" t="str">
        <f t="shared" si="37"/>
        <v>42.991042962963</v>
      </c>
      <c r="D440" t="str">
        <f t="shared" si="38"/>
        <v>-78.7550407407407</v>
      </c>
      <c r="E440" t="str">
        <f t="shared" si="39"/>
        <v>716-688-4488</v>
      </c>
      <c r="F440" t="str">
        <f t="shared" si="40"/>
        <v>14221</v>
      </c>
      <c r="G440" t="str">
        <f t="shared" si="41"/>
        <v>[ "Hectors Hardware", 42.991042962963, -78.7550407407407, '716-688-4488', '14221'],</v>
      </c>
      <c r="H440" t="s">
        <v>1323</v>
      </c>
    </row>
    <row r="441" spans="1:8" x14ac:dyDescent="0.2">
      <c r="A441" t="s">
        <v>456</v>
      </c>
      <c r="B441" t="str">
        <f t="shared" si="36"/>
        <v>Sears</v>
      </c>
      <c r="C441" t="str">
        <f t="shared" si="37"/>
        <v>42.9088948979592</v>
      </c>
      <c r="D441" t="str">
        <f t="shared" si="38"/>
        <v>-78.7619793877551</v>
      </c>
      <c r="E441" t="str">
        <f t="shared" si="39"/>
        <v>716-686-6276</v>
      </c>
      <c r="F441" t="str">
        <f t="shared" si="40"/>
        <v>14225</v>
      </c>
      <c r="G441" t="str">
        <f t="shared" si="41"/>
        <v>[ "Sears", 42.9088948979592, -78.7619793877551, '716-686-6276', '14225'],</v>
      </c>
      <c r="H441" t="s">
        <v>1324</v>
      </c>
    </row>
    <row r="442" spans="1:8" x14ac:dyDescent="0.2">
      <c r="A442" t="s">
        <v>457</v>
      </c>
      <c r="B442" t="str">
        <f t="shared" si="36"/>
        <v>CVS Pharmacy</v>
      </c>
      <c r="C442" t="str">
        <f t="shared" si="37"/>
        <v>43.14327</v>
      </c>
      <c r="D442" t="str">
        <f t="shared" si="38"/>
        <v>-78.88343</v>
      </c>
      <c r="E442" t="str">
        <f t="shared" si="39"/>
        <v>0--</v>
      </c>
      <c r="F442" t="str">
        <f t="shared" si="40"/>
        <v>14132</v>
      </c>
      <c r="G442" t="str">
        <f t="shared" si="41"/>
        <v>[ "CVS Pharmacy", 43.14327, -78.88343, '0--', '14132'],</v>
      </c>
      <c r="H442" t="s">
        <v>1325</v>
      </c>
    </row>
    <row r="443" spans="1:8" x14ac:dyDescent="0.2">
      <c r="A443" t="s">
        <v>458</v>
      </c>
      <c r="B443" t="str">
        <f t="shared" si="36"/>
        <v>Best Buy</v>
      </c>
      <c r="C443" t="str">
        <f t="shared" si="37"/>
        <v>42.90886</v>
      </c>
      <c r="D443" t="str">
        <f t="shared" si="38"/>
        <v>-78.76198</v>
      </c>
      <c r="E443" t="str">
        <f t="shared" si="39"/>
        <v>716-681-5406</v>
      </c>
      <c r="F443" t="str">
        <f t="shared" si="40"/>
        <v>14225</v>
      </c>
      <c r="G443" t="str">
        <f t="shared" si="41"/>
        <v>[ "Best Buy", 42.90886, -78.76198, '716-681-5406', '14225'],</v>
      </c>
      <c r="H443" t="s">
        <v>1326</v>
      </c>
    </row>
    <row r="444" spans="1:8" x14ac:dyDescent="0.2">
      <c r="A444" t="s">
        <v>459</v>
      </c>
      <c r="B444" t="str">
        <f t="shared" si="36"/>
        <v>Ontario Public Service</v>
      </c>
      <c r="C444" t="str">
        <f t="shared" si="37"/>
        <v>42.9940204820926</v>
      </c>
      <c r="D444" t="str">
        <f t="shared" si="38"/>
        <v>-79.249069578359</v>
      </c>
      <c r="E444" t="str">
        <f t="shared" si="39"/>
        <v>905-735-1660</v>
      </c>
      <c r="F444" t="str">
        <f t="shared" si="40"/>
        <v>L3B 5X6</v>
      </c>
      <c r="G444" t="str">
        <f t="shared" si="41"/>
        <v>[ "Ontario Public Service", 42.9940204820926, -79.249069578359, '905-735-1660', 'L3B 5X6'],</v>
      </c>
      <c r="H444" t="s">
        <v>1281</v>
      </c>
    </row>
    <row r="445" spans="1:8" x14ac:dyDescent="0.2">
      <c r="A445" t="s">
        <v>460</v>
      </c>
      <c r="B445" t="str">
        <f t="shared" si="36"/>
        <v>ListenUp! Canada</v>
      </c>
      <c r="C445" t="str">
        <f t="shared" si="37"/>
        <v>42.99222</v>
      </c>
      <c r="D445" t="str">
        <f t="shared" si="38"/>
        <v>-79.24764</v>
      </c>
      <c r="E445" t="str">
        <f t="shared" si="39"/>
        <v>905-734-7300</v>
      </c>
      <c r="F445" t="str">
        <f t="shared" si="40"/>
        <v>L3B 3W5</v>
      </c>
      <c r="G445" t="str">
        <f t="shared" si="41"/>
        <v>[ "ListenUp! Canada", 42.99222, -79.24764, '905-734-7300', 'L3B 3W5'],</v>
      </c>
      <c r="H445" t="s">
        <v>1282</v>
      </c>
    </row>
    <row r="446" spans="1:8" x14ac:dyDescent="0.2">
      <c r="A446" t="s">
        <v>461</v>
      </c>
      <c r="B446" t="str">
        <f t="shared" si="36"/>
        <v>The Source</v>
      </c>
      <c r="C446" t="str">
        <f t="shared" si="37"/>
        <v>43.01479</v>
      </c>
      <c r="D446" t="str">
        <f t="shared" si="38"/>
        <v>-79.24987</v>
      </c>
      <c r="E446" t="str">
        <f t="shared" si="39"/>
        <v>905-735-0887</v>
      </c>
      <c r="F446" t="str">
        <f t="shared" si="40"/>
        <v>L3C 5Z4</v>
      </c>
      <c r="G446" t="str">
        <f t="shared" si="41"/>
        <v>[ "The Source", 43.01479, -79.24987, '905-735-0887', 'L3C 5Z4'],</v>
      </c>
      <c r="H446" t="s">
        <v>1279</v>
      </c>
    </row>
    <row r="447" spans="1:8" x14ac:dyDescent="0.2">
      <c r="A447" t="s">
        <v>462</v>
      </c>
      <c r="B447" t="str">
        <f t="shared" si="36"/>
        <v>Staples</v>
      </c>
      <c r="C447" t="str">
        <f t="shared" si="37"/>
        <v>43.01479</v>
      </c>
      <c r="D447" t="str">
        <f t="shared" si="38"/>
        <v>-79.24987</v>
      </c>
      <c r="E447" t="str">
        <f t="shared" si="39"/>
        <v>905-714-7607</v>
      </c>
      <c r="F447" t="str">
        <f t="shared" si="40"/>
        <v>L3C 5Z4</v>
      </c>
      <c r="G447" t="str">
        <f t="shared" si="41"/>
        <v>[ "Staples", 43.01479, -79.24987, '905-714-7607', 'L3C 5Z4'],</v>
      </c>
      <c r="H447" t="s">
        <v>1278</v>
      </c>
    </row>
    <row r="448" spans="1:8" x14ac:dyDescent="0.2">
      <c r="A448" t="s">
        <v>463</v>
      </c>
      <c r="B448" t="str">
        <f t="shared" si="36"/>
        <v>Rona Welland</v>
      </c>
      <c r="C448" t="str">
        <f t="shared" si="37"/>
        <v>43.0143557171621</v>
      </c>
      <c r="D448" t="str">
        <f t="shared" si="38"/>
        <v>-79.2291830209854</v>
      </c>
      <c r="E448" t="str">
        <f t="shared" si="39"/>
        <v>905-732-0073</v>
      </c>
      <c r="F448" t="str">
        <f t="shared" si="40"/>
        <v>L3B 0A1</v>
      </c>
      <c r="G448" t="str">
        <f t="shared" si="41"/>
        <v>[ "Rona Welland", 43.0143557171621, -79.2291830209854, '905-732-0073', 'L3B 0A1'],</v>
      </c>
      <c r="H448" t="s">
        <v>1283</v>
      </c>
    </row>
    <row r="449" spans="1:8" x14ac:dyDescent="0.2">
      <c r="A449" t="s">
        <v>464</v>
      </c>
      <c r="B449" t="str">
        <f t="shared" ref="B449:B512" si="42">MID(A449,SEARCH("name"&amp;CHAR(34)&amp;":"&amp;CHAR(34),A449)+7,SEARCH(CHAR(34)&amp;", "&amp;CHAR(34)&amp;"locationlinkurl",A449)-SEARCH("name"&amp;CHAR(34)&amp;":"&amp;CHAR(34),A449)-7)</f>
        <v>Staples</v>
      </c>
      <c r="C449" t="str">
        <f t="shared" ref="C449:C512" si="43">MID(A449,SEARCH(CHAR(34)&amp;"latitude"&amp;CHAR(34)&amp;":"&amp;CHAR(34),A449)+12,SEARCH(CHAR(34)&amp;", "&amp;CHAR(34)&amp;"url"&amp;CHAR(34),A449)-SEARCH(CHAR(34)&amp;"latitude"&amp;CHAR(34)&amp;":"&amp;CHAR(34),A449)-12)</f>
        <v>43.1763769718819</v>
      </c>
      <c r="D449" t="str">
        <f t="shared" ref="D449:D512" si="44">MID(A449,SEARCH(CHAR(34)&amp;"longitude"&amp;CHAR(34)&amp;":"&amp;CHAR(34),A449)+13,SEARCH(CHAR(34)&amp;", "&amp;CHAR(34)&amp;"uid"&amp;CHAR(34),A449)-SEARCH(CHAR(34)&amp;"longitude"&amp;CHAR(34)&amp;":"&amp;CHAR(34),A449)-13)</f>
        <v>-79.7903986495485</v>
      </c>
      <c r="E449" t="str">
        <f t="shared" ref="E449:E512" si="45">MID(A449,SEARCH(CHAR(34)&amp;"phone"&amp;CHAR(34)&amp;":"&amp;CHAR(34),A449)+9,SEARCH(CHAR(34)&amp;", "&amp;CHAR(34)&amp;"address2"&amp;CHAR(34),A449)-SEARCH(CHAR(34)&amp;"phone"&amp;CHAR(34)&amp;":"&amp;CHAR(34),A449)-9)</f>
        <v>905-692-7215</v>
      </c>
      <c r="F449" t="str">
        <f t="shared" ref="F449:F512" si="46">MID(A449,SEARCH(CHAR(34)&amp;"postalcode"&amp;CHAR(34)&amp;":"&amp;CHAR(34),A449)+14,SEARCH(CHAR(34)&amp;", "&amp;CHAR(34)&amp;"province"&amp;CHAR(34),A449)-SEARCH(CHAR(34)&amp;"postalcode"&amp;CHAR(34)&amp;":"&amp;CHAR(34),A449)-14)</f>
        <v>L0R 1P0</v>
      </c>
      <c r="G449" t="str">
        <f t="shared" ref="G449:G512" si="47">"[ "&amp;CHAR(34)&amp;B449&amp;CHAR(34)&amp;", "&amp;C449&amp;", "&amp;D449&amp;", '"&amp;E449&amp;"', '"&amp;F449&amp;"'],"</f>
        <v>[ "Staples", 43.1763769718819, -79.7903986495485, '905-692-7215', 'L0R 1P0'],</v>
      </c>
      <c r="H449" t="s">
        <v>1267</v>
      </c>
    </row>
    <row r="450" spans="1:8" x14ac:dyDescent="0.2">
      <c r="A450" t="s">
        <v>465</v>
      </c>
      <c r="B450" t="str">
        <f t="shared" si="42"/>
        <v>Sayer Home Hardware Ltd.</v>
      </c>
      <c r="C450" t="str">
        <f t="shared" si="43"/>
        <v>42.7846446666667</v>
      </c>
      <c r="D450" t="str">
        <f t="shared" si="44"/>
        <v>-80.2006908888889</v>
      </c>
      <c r="E450" t="str">
        <f t="shared" si="45"/>
        <v>905-768-3431</v>
      </c>
      <c r="F450" t="str">
        <f t="shared" si="46"/>
        <v>N0A 1H0</v>
      </c>
      <c r="G450" t="str">
        <f t="shared" si="47"/>
        <v>[ "Sayer Home Hardware Ltd.", 42.7846446666667, -80.2006908888889, '905-768-3431', 'N0A 1H0'],</v>
      </c>
      <c r="H450" t="s">
        <v>1327</v>
      </c>
    </row>
    <row r="451" spans="1:8" x14ac:dyDescent="0.2">
      <c r="A451" t="s">
        <v>466</v>
      </c>
      <c r="B451" t="str">
        <f t="shared" si="42"/>
        <v>The Source</v>
      </c>
      <c r="C451" t="str">
        <f t="shared" si="43"/>
        <v>42.836844</v>
      </c>
      <c r="D451" t="str">
        <f t="shared" si="44"/>
        <v>-80.303794</v>
      </c>
      <c r="E451" t="str">
        <f t="shared" si="45"/>
        <v>519-426-4385</v>
      </c>
      <c r="F451" t="str">
        <f t="shared" si="46"/>
        <v>N3Y 2V9</v>
      </c>
      <c r="G451" t="str">
        <f t="shared" si="47"/>
        <v>[ "The Source", 42.836844, -80.303794, '519-426-4385', 'N3Y 2V9'],</v>
      </c>
      <c r="H451" t="s">
        <v>1328</v>
      </c>
    </row>
    <row r="452" spans="1:8" x14ac:dyDescent="0.2">
      <c r="A452" t="s">
        <v>467</v>
      </c>
      <c r="B452" t="str">
        <f t="shared" si="42"/>
        <v>ListenUp! Canada</v>
      </c>
      <c r="C452" t="str">
        <f t="shared" si="43"/>
        <v>42.83526</v>
      </c>
      <c r="D452" t="str">
        <f t="shared" si="44"/>
        <v>-80.31054</v>
      </c>
      <c r="E452" t="str">
        <f t="shared" si="45"/>
        <v>519-428-1964</v>
      </c>
      <c r="F452" t="str">
        <f t="shared" si="46"/>
        <v>N3Y 1S8</v>
      </c>
      <c r="G452" t="str">
        <f t="shared" si="47"/>
        <v>[ "ListenUp! Canada", 42.83526, -80.31054, '519-428-1964', 'N3Y 1S8'],</v>
      </c>
      <c r="H452" t="s">
        <v>1329</v>
      </c>
    </row>
    <row r="453" spans="1:8" x14ac:dyDescent="0.2">
      <c r="A453" t="s">
        <v>468</v>
      </c>
      <c r="B453" t="str">
        <f t="shared" si="42"/>
        <v>Ministry of Agriculture Food and Rural Affairs</v>
      </c>
      <c r="C453" t="str">
        <f t="shared" si="43"/>
        <v>42.8402495</v>
      </c>
      <c r="D453" t="str">
        <f t="shared" si="44"/>
        <v>-80.3057285</v>
      </c>
      <c r="E453" t="str">
        <f t="shared" si="45"/>
        <v>519-426-7123</v>
      </c>
      <c r="F453" t="str">
        <f t="shared" si="46"/>
        <v>N3Y 4N5</v>
      </c>
      <c r="G453" t="str">
        <f t="shared" si="47"/>
        <v>[ "Ministry of Agriculture Food and Rural Affairs", 42.8402495, -80.3057285, '519-426-7123', 'N3Y 4N5'],</v>
      </c>
      <c r="H453" t="s">
        <v>1330</v>
      </c>
    </row>
    <row r="454" spans="1:8" x14ac:dyDescent="0.2">
      <c r="A454" t="s">
        <v>469</v>
      </c>
      <c r="B454" t="str">
        <f t="shared" si="42"/>
        <v>Staples</v>
      </c>
      <c r="C454" t="str">
        <f t="shared" si="43"/>
        <v>42.8461</v>
      </c>
      <c r="D454" t="str">
        <f t="shared" si="44"/>
        <v>-80.30788</v>
      </c>
      <c r="E454" t="str">
        <f t="shared" si="45"/>
        <v>519-426-4060</v>
      </c>
      <c r="F454" t="str">
        <f t="shared" si="46"/>
        <v>N3Y 2M7</v>
      </c>
      <c r="G454" t="str">
        <f t="shared" si="47"/>
        <v>[ "Staples", 42.8461, -80.30788, '519-426-4060', 'N3Y 2M7'],</v>
      </c>
      <c r="H454" t="s">
        <v>1331</v>
      </c>
    </row>
    <row r="455" spans="1:8" x14ac:dyDescent="0.2">
      <c r="A455" t="s">
        <v>470</v>
      </c>
      <c r="B455" t="str">
        <f t="shared" si="42"/>
        <v>RONA</v>
      </c>
      <c r="C455" t="str">
        <f t="shared" si="43"/>
        <v>42.852505519481</v>
      </c>
      <c r="D455" t="str">
        <f t="shared" si="44"/>
        <v>-80.3089040584248</v>
      </c>
      <c r="E455" t="str">
        <f t="shared" si="45"/>
        <v>519-426-2740</v>
      </c>
      <c r="F455" t="str">
        <f t="shared" si="46"/>
        <v>N3Y 4N5</v>
      </c>
      <c r="G455" t="str">
        <f t="shared" si="47"/>
        <v>[ "RONA", 42.852505519481, -80.3089040584248, '519-426-2740', 'N3Y 4N5'],</v>
      </c>
      <c r="H455" t="s">
        <v>1332</v>
      </c>
    </row>
    <row r="456" spans="1:8" x14ac:dyDescent="0.2">
      <c r="A456" t="s">
        <v>472</v>
      </c>
      <c r="B456" t="str">
        <f t="shared" si="42"/>
        <v>The Source</v>
      </c>
      <c r="C456" t="str">
        <f t="shared" si="43"/>
        <v>42.86217</v>
      </c>
      <c r="D456" t="str">
        <f t="shared" si="44"/>
        <v>-80.72937</v>
      </c>
      <c r="E456" t="str">
        <f t="shared" si="45"/>
        <v>519-842-7916</v>
      </c>
      <c r="F456" t="str">
        <f t="shared" si="46"/>
        <v>N4G 5A7</v>
      </c>
      <c r="G456" t="str">
        <f t="shared" si="47"/>
        <v>[ "The Source", 42.86217, -80.72937, '519-842-7916', 'N4G 5A7'],</v>
      </c>
      <c r="H456" t="s">
        <v>1333</v>
      </c>
    </row>
    <row r="457" spans="1:8" x14ac:dyDescent="0.2">
      <c r="A457" t="s">
        <v>473</v>
      </c>
      <c r="B457" t="str">
        <f t="shared" si="42"/>
        <v>Staples</v>
      </c>
      <c r="C457" t="str">
        <f t="shared" si="43"/>
        <v>42.86217</v>
      </c>
      <c r="D457" t="str">
        <f t="shared" si="44"/>
        <v>-80.72937</v>
      </c>
      <c r="E457" t="str">
        <f t="shared" si="45"/>
        <v>519-688-2196</v>
      </c>
      <c r="F457" t="str">
        <f t="shared" si="46"/>
        <v>N4G 5A7</v>
      </c>
      <c r="G457" t="str">
        <f t="shared" si="47"/>
        <v>[ "Staples", 42.86217, -80.72937, '519-688-2196', 'N4G 5A7'],</v>
      </c>
      <c r="H457" t="s">
        <v>1334</v>
      </c>
    </row>
    <row r="458" spans="1:8" x14ac:dyDescent="0.2">
      <c r="A458" t="s">
        <v>475</v>
      </c>
      <c r="B458" t="str">
        <f t="shared" si="42"/>
        <v>Home Essentials</v>
      </c>
      <c r="C458" t="str">
        <f t="shared" si="43"/>
        <v>43.355283</v>
      </c>
      <c r="D458" t="str">
        <f t="shared" si="44"/>
        <v>-80.31844</v>
      </c>
      <c r="E458" t="str">
        <f t="shared" si="45"/>
        <v>519-622-6046</v>
      </c>
      <c r="F458" t="str">
        <f t="shared" si="46"/>
        <v>N1S 2L8</v>
      </c>
      <c r="G458" t="str">
        <f t="shared" si="47"/>
        <v>[ "Home Essentials", 43.355283, -80.31844, '519-622-6046', 'N1S 2L8'],</v>
      </c>
      <c r="H458" t="s">
        <v>1260</v>
      </c>
    </row>
    <row r="459" spans="1:8" x14ac:dyDescent="0.2">
      <c r="A459" t="s">
        <v>476</v>
      </c>
      <c r="B459" t="str">
        <f t="shared" si="42"/>
        <v>The Source</v>
      </c>
      <c r="C459" t="str">
        <f t="shared" si="43"/>
        <v>43.35466</v>
      </c>
      <c r="D459" t="str">
        <f t="shared" si="44"/>
        <v>-80.28745</v>
      </c>
      <c r="E459" t="str">
        <f t="shared" si="45"/>
        <v>519-623-5210</v>
      </c>
      <c r="F459" t="str">
        <f t="shared" si="46"/>
        <v>N1R 8N8</v>
      </c>
      <c r="G459" t="str">
        <f t="shared" si="47"/>
        <v>[ "The Source", 43.35466, -80.28745, '519-623-5210', 'N1R 8N8'],</v>
      </c>
      <c r="H459" t="s">
        <v>1259</v>
      </c>
    </row>
    <row r="460" spans="1:8" x14ac:dyDescent="0.2">
      <c r="A460" t="s">
        <v>477</v>
      </c>
      <c r="B460" t="str">
        <f t="shared" si="42"/>
        <v>ListenUp! Canada</v>
      </c>
      <c r="C460" t="str">
        <f t="shared" si="43"/>
        <v>43.37387</v>
      </c>
      <c r="D460" t="str">
        <f t="shared" si="44"/>
        <v>-80.31864</v>
      </c>
      <c r="E460" t="str">
        <f t="shared" si="45"/>
        <v>519-624-9092</v>
      </c>
      <c r="F460" t="str">
        <f t="shared" si="46"/>
        <v>N1R 8L4</v>
      </c>
      <c r="G460" t="str">
        <f t="shared" si="47"/>
        <v>[ "ListenUp! Canada", 43.37387, -80.31864, '519-624-9092', 'N1R 8L4'],</v>
      </c>
      <c r="H460" t="s">
        <v>1263</v>
      </c>
    </row>
    <row r="461" spans="1:8" x14ac:dyDescent="0.2">
      <c r="A461" t="s">
        <v>478</v>
      </c>
      <c r="B461" t="str">
        <f t="shared" si="42"/>
        <v>Princess Auto</v>
      </c>
      <c r="C461" t="str">
        <f t="shared" si="43"/>
        <v>43.37967</v>
      </c>
      <c r="D461" t="str">
        <f t="shared" si="44"/>
        <v>-80.40888</v>
      </c>
      <c r="E461" t="str">
        <f t="shared" si="45"/>
        <v>519-743-0742</v>
      </c>
      <c r="F461" t="str">
        <f t="shared" si="46"/>
        <v>N2P 2N4</v>
      </c>
      <c r="G461" t="str">
        <f t="shared" si="47"/>
        <v>[ "Princess Auto", 43.37967, -80.40888, '519-743-0742', 'N2P 2N4'],</v>
      </c>
      <c r="H461" t="s">
        <v>1335</v>
      </c>
    </row>
    <row r="462" spans="1:8" x14ac:dyDescent="0.2">
      <c r="A462" t="s">
        <v>479</v>
      </c>
      <c r="B462" t="str">
        <f t="shared" si="42"/>
        <v>Best Buy</v>
      </c>
      <c r="C462" t="str">
        <f t="shared" si="43"/>
        <v>43.39061</v>
      </c>
      <c r="D462" t="str">
        <f t="shared" si="44"/>
        <v>-80.32256</v>
      </c>
      <c r="E462" t="str">
        <f t="shared" si="45"/>
        <v>--</v>
      </c>
      <c r="F462" t="str">
        <f t="shared" si="46"/>
        <v>N1R 6B3</v>
      </c>
      <c r="G462" t="str">
        <f t="shared" si="47"/>
        <v>[ "Best Buy", 43.39061, -80.32256, '--', 'N1R 6B3'],</v>
      </c>
      <c r="H462" t="s">
        <v>1336</v>
      </c>
    </row>
    <row r="463" spans="1:8" x14ac:dyDescent="0.2">
      <c r="A463" t="s">
        <v>480</v>
      </c>
      <c r="B463" t="str">
        <f t="shared" si="42"/>
        <v>The Source</v>
      </c>
      <c r="C463" t="str">
        <f t="shared" si="43"/>
        <v>43.1733746666667</v>
      </c>
      <c r="D463" t="str">
        <f t="shared" si="44"/>
        <v>-80.242096</v>
      </c>
      <c r="E463" t="str">
        <f t="shared" si="45"/>
        <v>519-759-8462</v>
      </c>
      <c r="F463" t="str">
        <f t="shared" si="46"/>
        <v>N3R 6B8</v>
      </c>
      <c r="G463" t="str">
        <f t="shared" si="47"/>
        <v>[ "The Source", 43.1733746666667, -80.242096, '519-759-8462', 'N3R 6B8'],</v>
      </c>
      <c r="H463" t="s">
        <v>1245</v>
      </c>
    </row>
    <row r="464" spans="1:8" x14ac:dyDescent="0.2">
      <c r="A464" t="s">
        <v>481</v>
      </c>
      <c r="B464" t="str">
        <f t="shared" si="42"/>
        <v>Staples</v>
      </c>
      <c r="C464" t="str">
        <f t="shared" si="43"/>
        <v>43.1693666109149</v>
      </c>
      <c r="D464" t="str">
        <f t="shared" si="44"/>
        <v>-80.2479792495133</v>
      </c>
      <c r="E464" t="str">
        <f t="shared" si="45"/>
        <v>519-752-3367</v>
      </c>
      <c r="F464" t="str">
        <f t="shared" si="46"/>
        <v>N3R 7C5</v>
      </c>
      <c r="G464" t="str">
        <f t="shared" si="47"/>
        <v>[ "Staples", 43.1693666109149, -80.2479792495133, '519-752-3367', 'N3R 7C5'],</v>
      </c>
      <c r="H464" t="s">
        <v>1248</v>
      </c>
    </row>
    <row r="465" spans="1:8" x14ac:dyDescent="0.2">
      <c r="A465" t="s">
        <v>482</v>
      </c>
      <c r="B465" t="str">
        <f t="shared" si="42"/>
        <v>Home Depot</v>
      </c>
      <c r="C465" t="str">
        <f t="shared" si="43"/>
        <v>43.1630392918477</v>
      </c>
      <c r="D465" t="str">
        <f t="shared" si="44"/>
        <v>-80.2414100444489</v>
      </c>
      <c r="E465" t="str">
        <f t="shared" si="45"/>
        <v>519-757-3534</v>
      </c>
      <c r="F465" t="str">
        <f t="shared" si="46"/>
        <v>N3R 7J4</v>
      </c>
      <c r="G465" t="str">
        <f t="shared" si="47"/>
        <v>[ "Home Depot", 43.1630392918477, -80.2414100444489, '519-757-3534', 'N3R 7J4'],</v>
      </c>
      <c r="H465" t="s">
        <v>1247</v>
      </c>
    </row>
    <row r="466" spans="1:8" x14ac:dyDescent="0.2">
      <c r="A466" t="s">
        <v>483</v>
      </c>
      <c r="B466" t="str">
        <f t="shared" si="42"/>
        <v>Lowes</v>
      </c>
      <c r="C466" t="str">
        <f t="shared" si="43"/>
        <v>43.155372</v>
      </c>
      <c r="D466" t="str">
        <f t="shared" si="44"/>
        <v>-80.237796</v>
      </c>
      <c r="E466" t="str">
        <f t="shared" si="45"/>
        <v>519-720-2060</v>
      </c>
      <c r="F466" t="str">
        <f t="shared" si="46"/>
        <v>N3S 7R4</v>
      </c>
      <c r="G466" t="str">
        <f t="shared" si="47"/>
        <v>[ "Lowes", 43.155372, -80.237796, '519-720-2060', 'N3S 7R4'],</v>
      </c>
      <c r="H466" t="s">
        <v>1250</v>
      </c>
    </row>
    <row r="467" spans="1:8" x14ac:dyDescent="0.2">
      <c r="A467" t="s">
        <v>484</v>
      </c>
      <c r="B467" t="str">
        <f t="shared" si="42"/>
        <v>Princess Auto</v>
      </c>
      <c r="C467" t="str">
        <f t="shared" si="43"/>
        <v>43.155558</v>
      </c>
      <c r="D467" t="str">
        <f t="shared" si="44"/>
        <v>-80.236674</v>
      </c>
      <c r="E467" t="str">
        <f t="shared" si="45"/>
        <v>226-227-9440</v>
      </c>
      <c r="F467" t="str">
        <f t="shared" si="46"/>
        <v>N3S 7R4</v>
      </c>
      <c r="G467" t="str">
        <f t="shared" si="47"/>
        <v>[ "Princess Auto", 43.155558, -80.236674, '226-227-9440', 'N3S 7R4'],</v>
      </c>
      <c r="H467" t="s">
        <v>1249</v>
      </c>
    </row>
    <row r="468" spans="1:8" x14ac:dyDescent="0.2">
      <c r="A468" t="s">
        <v>485</v>
      </c>
      <c r="B468" t="str">
        <f t="shared" si="42"/>
        <v>Home Depot</v>
      </c>
      <c r="C468" t="str">
        <f t="shared" si="43"/>
        <v>43.4083843478261</v>
      </c>
      <c r="D468" t="str">
        <f t="shared" si="44"/>
        <v>-80.3258882608696</v>
      </c>
      <c r="E468" t="str">
        <f t="shared" si="45"/>
        <v>519-624-2700</v>
      </c>
      <c r="F468" t="str">
        <f t="shared" si="46"/>
        <v>N1R 8E2</v>
      </c>
      <c r="G468" t="str">
        <f t="shared" si="47"/>
        <v>[ "Home Depot", 43.4083843478261, -80.3258882608696, '519-624-2700', 'N1R 8E2'],</v>
      </c>
      <c r="H468" t="s">
        <v>1337</v>
      </c>
    </row>
    <row r="469" spans="1:8" x14ac:dyDescent="0.2">
      <c r="A469" t="s">
        <v>486</v>
      </c>
      <c r="B469" t="str">
        <f t="shared" si="42"/>
        <v>Staples</v>
      </c>
      <c r="C469" t="str">
        <f t="shared" si="43"/>
        <v>43.40852</v>
      </c>
      <c r="D469" t="str">
        <f t="shared" si="44"/>
        <v>-80.32515</v>
      </c>
      <c r="E469" t="str">
        <f t="shared" si="45"/>
        <v>519-622-5280</v>
      </c>
      <c r="F469" t="str">
        <f t="shared" si="46"/>
        <v>N1R 8K5</v>
      </c>
      <c r="G469" t="str">
        <f t="shared" si="47"/>
        <v>[ "Staples", 43.40852, -80.32515, '519-622-5280', 'N1R 8K5'],</v>
      </c>
      <c r="H469" t="s">
        <v>1338</v>
      </c>
    </row>
    <row r="470" spans="1:8" x14ac:dyDescent="0.2">
      <c r="A470" t="s">
        <v>487</v>
      </c>
      <c r="B470" t="str">
        <f t="shared" si="42"/>
        <v>Home Depot</v>
      </c>
      <c r="C470" t="str">
        <f t="shared" si="43"/>
        <v>43.40717</v>
      </c>
      <c r="D470" t="str">
        <f t="shared" si="44"/>
        <v>-80.38879</v>
      </c>
      <c r="E470" t="str">
        <f t="shared" si="45"/>
        <v>519-650-3900</v>
      </c>
      <c r="F470" t="str">
        <f t="shared" si="46"/>
        <v>N2P 2J4</v>
      </c>
      <c r="G470" t="str">
        <f t="shared" si="47"/>
        <v>[ "Home Depot", 43.40717, -80.38879, '519-650-3900', 'N2P 2J4'],</v>
      </c>
      <c r="H470" t="s">
        <v>1339</v>
      </c>
    </row>
    <row r="471" spans="1:8" x14ac:dyDescent="0.2">
      <c r="A471" t="s">
        <v>488</v>
      </c>
      <c r="B471" t="str">
        <f t="shared" si="42"/>
        <v>RONA</v>
      </c>
      <c r="C471" t="str">
        <f t="shared" si="43"/>
        <v>43.4093093872598</v>
      </c>
      <c r="D471" t="str">
        <f t="shared" si="44"/>
        <v>-80.3206893040419</v>
      </c>
      <c r="E471" t="str">
        <f t="shared" si="45"/>
        <v>519-623-5666</v>
      </c>
      <c r="F471" t="str">
        <f t="shared" si="46"/>
        <v>N1R 8K5</v>
      </c>
      <c r="G471" t="str">
        <f t="shared" si="47"/>
        <v>[ "RONA", 43.4093093872598, -80.3206893040419, '519-623-5666', 'N1R 8K5'],</v>
      </c>
      <c r="H471" t="s">
        <v>1340</v>
      </c>
    </row>
    <row r="472" spans="1:8" x14ac:dyDescent="0.2">
      <c r="A472" t="s">
        <v>489</v>
      </c>
      <c r="B472" t="str">
        <f t="shared" si="42"/>
        <v>Franklin Empire</v>
      </c>
      <c r="C472" t="str">
        <f t="shared" si="43"/>
        <v>43.4135169155933</v>
      </c>
      <c r="D472" t="str">
        <f t="shared" si="44"/>
        <v>-80.3784116489889</v>
      </c>
      <c r="E472" t="str">
        <f t="shared" si="45"/>
        <v>519-650-1182</v>
      </c>
      <c r="F472" t="str">
        <f t="shared" si="46"/>
        <v>N3H 4R7</v>
      </c>
      <c r="G472" t="str">
        <f t="shared" si="47"/>
        <v>[ "Franklin Empire", 43.4135169155933, -80.3784116489889, '519-650-1182', 'N3H 4R7'],</v>
      </c>
      <c r="H472" t="s">
        <v>1341</v>
      </c>
    </row>
    <row r="473" spans="1:8" x14ac:dyDescent="0.2">
      <c r="A473" t="s">
        <v>490</v>
      </c>
      <c r="B473" t="str">
        <f t="shared" si="42"/>
        <v>ListenUp! Canada</v>
      </c>
      <c r="C473" t="str">
        <f t="shared" si="43"/>
        <v>43.1474446153846</v>
      </c>
      <c r="D473" t="str">
        <f t="shared" si="44"/>
        <v>-80.2361169230769</v>
      </c>
      <c r="E473" t="str">
        <f t="shared" si="45"/>
        <v>519-753-4182</v>
      </c>
      <c r="F473" t="str">
        <f t="shared" si="46"/>
        <v>N3R 4X8</v>
      </c>
      <c r="G473" t="str">
        <f t="shared" si="47"/>
        <v>[ "ListenUp! Canada", 43.1474446153846, -80.2361169230769, '519-753-4182', 'N3R 4X8'],</v>
      </c>
      <c r="H473" t="s">
        <v>1251</v>
      </c>
    </row>
    <row r="474" spans="1:8" x14ac:dyDescent="0.2">
      <c r="A474" t="s">
        <v>491</v>
      </c>
      <c r="B474" t="str">
        <f t="shared" si="42"/>
        <v>Sears (Canada)</v>
      </c>
      <c r="C474" t="str">
        <f t="shared" si="43"/>
        <v>43.42337</v>
      </c>
      <c r="D474" t="str">
        <f t="shared" si="44"/>
        <v>-80.4358</v>
      </c>
      <c r="E474" t="str">
        <f t="shared" si="45"/>
        <v>519-894-2300</v>
      </c>
      <c r="F474" t="str">
        <f t="shared" si="46"/>
        <v>N2C 1W9</v>
      </c>
      <c r="G474" t="str">
        <f t="shared" si="47"/>
        <v>[ "Sears (Canada)", 43.42337, -80.4358, '519-894-2300', 'N2C 1W9'],</v>
      </c>
      <c r="H474" t="s">
        <v>1342</v>
      </c>
    </row>
    <row r="475" spans="1:8" x14ac:dyDescent="0.2">
      <c r="A475" t="s">
        <v>492</v>
      </c>
      <c r="B475" t="str">
        <f t="shared" si="42"/>
        <v>The Source</v>
      </c>
      <c r="C475" t="str">
        <f t="shared" si="43"/>
        <v>43.42442</v>
      </c>
      <c r="D475" t="str">
        <f t="shared" si="44"/>
        <v>-80.44121</v>
      </c>
      <c r="E475" t="str">
        <f t="shared" si="45"/>
        <v>519-893-2916</v>
      </c>
      <c r="F475" t="str">
        <f t="shared" si="46"/>
        <v>N2C 1X1</v>
      </c>
      <c r="G475" t="str">
        <f t="shared" si="47"/>
        <v>[ "The Source", 43.42442, -80.44121, '519-893-2916', 'N2C 1X1'],</v>
      </c>
      <c r="H475" t="s">
        <v>1343</v>
      </c>
    </row>
    <row r="476" spans="1:8" x14ac:dyDescent="0.2">
      <c r="A476" t="s">
        <v>493</v>
      </c>
      <c r="B476" t="str">
        <f t="shared" si="42"/>
        <v>Best Buy</v>
      </c>
      <c r="C476" t="str">
        <f t="shared" si="43"/>
        <v>43.42442</v>
      </c>
      <c r="D476" t="str">
        <f t="shared" si="44"/>
        <v>-80.44121</v>
      </c>
      <c r="E476" t="str">
        <f t="shared" si="45"/>
        <v>--</v>
      </c>
      <c r="F476" t="str">
        <f t="shared" si="46"/>
        <v>N2C 1X1</v>
      </c>
      <c r="G476" t="str">
        <f t="shared" si="47"/>
        <v>[ "Best Buy", 43.42442, -80.44121, '--', 'N2C 1X1'],</v>
      </c>
      <c r="H476" t="s">
        <v>1344</v>
      </c>
    </row>
    <row r="477" spans="1:8" x14ac:dyDescent="0.2">
      <c r="A477" t="s">
        <v>494</v>
      </c>
      <c r="B477" t="str">
        <f t="shared" si="42"/>
        <v>MRC Systems Inc.</v>
      </c>
      <c r="C477" t="str">
        <f t="shared" si="43"/>
        <v>43.4234743216091</v>
      </c>
      <c r="D477" t="str">
        <f t="shared" si="44"/>
        <v>-80.4780417587932</v>
      </c>
      <c r="E477" t="str">
        <f t="shared" si="45"/>
        <v>519-749-1763</v>
      </c>
      <c r="F477" t="str">
        <f t="shared" si="46"/>
        <v>N2E 2M7</v>
      </c>
      <c r="G477" t="str">
        <f t="shared" si="47"/>
        <v>[ "MRC Systems Inc.", 43.4234743216091, -80.4780417587932, '519-749-1763', 'N2E 2M7'],</v>
      </c>
      <c r="H477" t="s">
        <v>1345</v>
      </c>
    </row>
    <row r="478" spans="1:8" x14ac:dyDescent="0.2">
      <c r="A478" t="s">
        <v>495</v>
      </c>
      <c r="B478" t="str">
        <f t="shared" si="42"/>
        <v>Staples</v>
      </c>
      <c r="C478" t="str">
        <f t="shared" si="43"/>
        <v>43.4243164273263</v>
      </c>
      <c r="D478" t="str">
        <f t="shared" si="44"/>
        <v>-80.4892616533735</v>
      </c>
      <c r="E478" t="str">
        <f t="shared" si="45"/>
        <v>519-571-7420</v>
      </c>
      <c r="F478" t="str">
        <f t="shared" si="46"/>
        <v>N2E 3W7</v>
      </c>
      <c r="G478" t="str">
        <f t="shared" si="47"/>
        <v>[ "Staples", 43.4243164273263, -80.4892616533735, '519-571-7420', 'N2E 3W7'],</v>
      </c>
      <c r="H478" t="s">
        <v>1346</v>
      </c>
    </row>
    <row r="479" spans="1:8" x14ac:dyDescent="0.2">
      <c r="A479" t="s">
        <v>496</v>
      </c>
      <c r="B479" t="str">
        <f t="shared" si="42"/>
        <v>Batteries Expert</v>
      </c>
      <c r="C479" t="str">
        <f t="shared" si="43"/>
        <v>43.4316403871121</v>
      </c>
      <c r="D479" t="str">
        <f t="shared" si="44"/>
        <v>-80.4788023226726</v>
      </c>
      <c r="E479" t="str">
        <f t="shared" si="45"/>
        <v>519-578-0938</v>
      </c>
      <c r="F479" t="str">
        <f t="shared" si="46"/>
        <v>N2M 3M4</v>
      </c>
      <c r="G479" t="str">
        <f t="shared" si="47"/>
        <v>[ "Batteries Expert", 43.4316403871121, -80.4788023226726, '519-578-0938', 'N2M 3M4'],</v>
      </c>
      <c r="H479" t="s">
        <v>1347</v>
      </c>
    </row>
    <row r="480" spans="1:8" x14ac:dyDescent="0.2">
      <c r="A480" t="s">
        <v>497</v>
      </c>
      <c r="B480" t="str">
        <f t="shared" si="42"/>
        <v>Home Depot</v>
      </c>
      <c r="C480" t="str">
        <f t="shared" si="43"/>
        <v>43.4142537565135</v>
      </c>
      <c r="D480" t="str">
        <f t="shared" si="44"/>
        <v>-80.5141950333888</v>
      </c>
      <c r="E480" t="str">
        <f t="shared" si="45"/>
        <v>519-569-4300</v>
      </c>
      <c r="F480" t="str">
        <f t="shared" si="46"/>
        <v>N2E 4E2</v>
      </c>
      <c r="G480" t="str">
        <f t="shared" si="47"/>
        <v>[ "Home Depot", 43.4142537565135, -80.5141950333888, '519-569-4300', 'N2E 4E2'],</v>
      </c>
      <c r="H480" t="s">
        <v>1348</v>
      </c>
    </row>
    <row r="481" spans="1:8" x14ac:dyDescent="0.2">
      <c r="A481" t="s">
        <v>499</v>
      </c>
      <c r="B481" t="str">
        <f t="shared" si="42"/>
        <v>The Source</v>
      </c>
      <c r="C481" t="str">
        <f t="shared" si="43"/>
        <v>43.6381556155065</v>
      </c>
      <c r="D481" t="str">
        <f t="shared" si="44"/>
        <v>-80.027431468731</v>
      </c>
      <c r="E481" t="str">
        <f t="shared" si="45"/>
        <v>519-853-1066</v>
      </c>
      <c r="F481" t="str">
        <f t="shared" si="46"/>
        <v>L7J 2Y5</v>
      </c>
      <c r="G481" t="str">
        <f t="shared" si="47"/>
        <v>[ "The Source", 43.6381556155065, -80.027431468731, '519-853-1066', 'L7J 2Y5'],</v>
      </c>
      <c r="H481" t="s">
        <v>1349</v>
      </c>
    </row>
    <row r="482" spans="1:8" x14ac:dyDescent="0.2">
      <c r="A482" t="s">
        <v>500</v>
      </c>
      <c r="B482" t="str">
        <f t="shared" si="42"/>
        <v>City of Guelph HHW Depot</v>
      </c>
      <c r="C482" t="str">
        <f t="shared" si="43"/>
        <v>43.5547519800794</v>
      </c>
      <c r="D482" t="str">
        <f t="shared" si="44"/>
        <v>-80.1998674375443</v>
      </c>
      <c r="E482" t="str">
        <f t="shared" si="45"/>
        <v>519-767-0598</v>
      </c>
      <c r="F482" t="str">
        <f t="shared" si="46"/>
        <v>N1L 1P4</v>
      </c>
      <c r="G482" t="str">
        <f t="shared" si="47"/>
        <v>[ "City of Guelph HHW Depot", 43.5547519800794, -80.1998674375443, '519-767-0598', 'N1L 1P4'],</v>
      </c>
      <c r="H482" t="s">
        <v>1350</v>
      </c>
    </row>
    <row r="483" spans="1:8" x14ac:dyDescent="0.2">
      <c r="A483" t="s">
        <v>501</v>
      </c>
      <c r="B483" t="str">
        <f t="shared" si="42"/>
        <v>Deker Electric Ltd</v>
      </c>
      <c r="C483" t="str">
        <f t="shared" si="43"/>
        <v>43.65154</v>
      </c>
      <c r="D483" t="str">
        <f t="shared" si="44"/>
        <v>-79.92861</v>
      </c>
      <c r="E483" t="str">
        <f t="shared" si="45"/>
        <v>905-702-0515</v>
      </c>
      <c r="F483" t="str">
        <f t="shared" si="46"/>
        <v>L7G 4B5</v>
      </c>
      <c r="G483" t="str">
        <f t="shared" si="47"/>
        <v>[ "Deker Electric Ltd", 43.65154, -79.92861, '905-702-0515', 'L7G 4B5'],</v>
      </c>
      <c r="H483" t="s">
        <v>1351</v>
      </c>
    </row>
    <row r="484" spans="1:8" x14ac:dyDescent="0.2">
      <c r="A484" t="s">
        <v>502</v>
      </c>
      <c r="B484" t="str">
        <f t="shared" si="42"/>
        <v>The UPS Store</v>
      </c>
      <c r="C484" t="str">
        <f t="shared" si="43"/>
        <v>43.6505627272727</v>
      </c>
      <c r="D484" t="str">
        <f t="shared" si="44"/>
        <v>-79.9088590909091</v>
      </c>
      <c r="E484" t="str">
        <f t="shared" si="45"/>
        <v>905-873-2781</v>
      </c>
      <c r="F484" t="str">
        <f t="shared" si="46"/>
        <v>L7G 5X7</v>
      </c>
      <c r="G484" t="str">
        <f t="shared" si="47"/>
        <v>[ "The UPS Store", 43.6505627272727, -79.9088590909091, '905-873-2781', 'L7G 5X7'],</v>
      </c>
      <c r="H484" t="s">
        <v>1352</v>
      </c>
    </row>
    <row r="485" spans="1:8" x14ac:dyDescent="0.2">
      <c r="A485" t="s">
        <v>503</v>
      </c>
      <c r="B485" t="str">
        <f t="shared" si="42"/>
        <v>The Source</v>
      </c>
      <c r="C485" t="str">
        <f t="shared" si="43"/>
        <v>43.6498857142857</v>
      </c>
      <c r="D485" t="str">
        <f t="shared" si="44"/>
        <v>-79.8959142857143</v>
      </c>
      <c r="E485" t="str">
        <f t="shared" si="45"/>
        <v>905-877-8693</v>
      </c>
      <c r="F485" t="str">
        <f t="shared" si="46"/>
        <v>L7G 4B1</v>
      </c>
      <c r="G485" t="str">
        <f t="shared" si="47"/>
        <v>[ "The Source", 43.6498857142857, -79.8959142857143, '905-877-8693', 'L7G 4B1'],</v>
      </c>
      <c r="H485" t="s">
        <v>1353</v>
      </c>
    </row>
    <row r="486" spans="1:8" x14ac:dyDescent="0.2">
      <c r="A486" t="s">
        <v>504</v>
      </c>
      <c r="B486" t="str">
        <f t="shared" si="42"/>
        <v>ListenUp! Canada</v>
      </c>
      <c r="C486" t="str">
        <f t="shared" si="43"/>
        <v>43.5605428595857</v>
      </c>
      <c r="D486" t="str">
        <f t="shared" si="44"/>
        <v>-80.2712401819304</v>
      </c>
      <c r="E486" t="str">
        <f t="shared" si="45"/>
        <v>519-767-5500</v>
      </c>
      <c r="F486" t="str">
        <f t="shared" si="46"/>
        <v>N1H 3Z1</v>
      </c>
      <c r="G486" t="str">
        <f t="shared" si="47"/>
        <v>[ "ListenUp! Canada", 43.5605428595857, -80.2712401819304, '519-767-5500', 'N1H 3Z1'],</v>
      </c>
      <c r="H486" t="s">
        <v>1354</v>
      </c>
    </row>
    <row r="487" spans="1:8" x14ac:dyDescent="0.2">
      <c r="A487" t="s">
        <v>505</v>
      </c>
      <c r="B487" t="str">
        <f t="shared" si="42"/>
        <v>Staples</v>
      </c>
      <c r="C487" t="str">
        <f t="shared" si="43"/>
        <v>43.5659664168708</v>
      </c>
      <c r="D487" t="str">
        <f t="shared" si="44"/>
        <v>-80.2761626391892</v>
      </c>
      <c r="E487" t="str">
        <f t="shared" si="45"/>
        <v>519-822-2344</v>
      </c>
      <c r="F487" t="str">
        <f t="shared" si="46"/>
        <v>N1H 1G7</v>
      </c>
      <c r="G487" t="str">
        <f t="shared" si="47"/>
        <v>[ "Staples", 43.5659664168708, -80.2761626391892, '519-822-2344', 'N1H 1G7'],</v>
      </c>
      <c r="H487" t="s">
        <v>1355</v>
      </c>
    </row>
    <row r="488" spans="1:8" x14ac:dyDescent="0.2">
      <c r="A488" t="s">
        <v>506</v>
      </c>
      <c r="B488" t="str">
        <f t="shared" si="42"/>
        <v>ListenUp! Canada</v>
      </c>
      <c r="C488" t="str">
        <f t="shared" si="43"/>
        <v>43.6495412602003</v>
      </c>
      <c r="D488" t="str">
        <f t="shared" si="44"/>
        <v>-79.8896765710905</v>
      </c>
      <c r="E488" t="str">
        <f t="shared" si="45"/>
        <v>905-702-1945</v>
      </c>
      <c r="F488" t="str">
        <f t="shared" si="46"/>
        <v>L7G 4B5</v>
      </c>
      <c r="G488" t="str">
        <f t="shared" si="47"/>
        <v>[ "ListenUp! Canada", 43.6495412602003, -79.8896765710905, '905-702-1945', 'L7G 4B5'],</v>
      </c>
      <c r="H488" t="s">
        <v>1356</v>
      </c>
    </row>
    <row r="489" spans="1:8" x14ac:dyDescent="0.2">
      <c r="A489" t="s">
        <v>507</v>
      </c>
      <c r="B489" t="str">
        <f t="shared" si="42"/>
        <v>Canadian Tire</v>
      </c>
      <c r="C489" t="str">
        <f t="shared" si="43"/>
        <v>43.6493977405453</v>
      </c>
      <c r="D489" t="str">
        <f t="shared" si="44"/>
        <v>-79.8871084649661</v>
      </c>
      <c r="E489" t="str">
        <f t="shared" si="45"/>
        <v>905-877-5289</v>
      </c>
      <c r="F489" t="str">
        <f t="shared" si="46"/>
        <v>L7G 4B3</v>
      </c>
      <c r="G489" t="str">
        <f t="shared" si="47"/>
        <v>[ "Canadian Tire", 43.6493977405453, -79.8871084649661, '905-877-5289', 'L7G 4B3'],</v>
      </c>
      <c r="H489" t="s">
        <v>1357</v>
      </c>
    </row>
    <row r="490" spans="1:8" x14ac:dyDescent="0.2">
      <c r="A490" t="s">
        <v>508</v>
      </c>
      <c r="B490" t="str">
        <f t="shared" si="42"/>
        <v>Home Depot</v>
      </c>
      <c r="C490" t="str">
        <f t="shared" si="43"/>
        <v>43.56155</v>
      </c>
      <c r="D490" t="str">
        <f t="shared" si="44"/>
        <v>-80.2822</v>
      </c>
      <c r="E490" t="str">
        <f t="shared" si="45"/>
        <v>519-780-3400</v>
      </c>
      <c r="F490" t="str">
        <f t="shared" si="46"/>
        <v>N1H 1G8</v>
      </c>
      <c r="G490" t="str">
        <f t="shared" si="47"/>
        <v>[ "Home Depot", 43.56155, -80.2822, '519-780-3400', 'N1H 1G8'],</v>
      </c>
      <c r="H490" t="s">
        <v>1358</v>
      </c>
    </row>
    <row r="491" spans="1:8" x14ac:dyDescent="0.2">
      <c r="A491" t="s">
        <v>509</v>
      </c>
      <c r="B491" t="str">
        <f t="shared" si="42"/>
        <v>Staples</v>
      </c>
      <c r="C491" t="str">
        <f t="shared" si="43"/>
        <v>43.51797</v>
      </c>
      <c r="D491" t="str">
        <f t="shared" si="44"/>
        <v>-80.23639</v>
      </c>
      <c r="E491" t="str">
        <f t="shared" si="45"/>
        <v>519-763-4205</v>
      </c>
      <c r="F491" t="str">
        <f t="shared" si="46"/>
        <v>N1G 4V9</v>
      </c>
      <c r="G491" t="str">
        <f t="shared" si="47"/>
        <v>[ "Staples", 43.51797, -80.23639, '519-763-4205', 'N1G 4V9'],</v>
      </c>
      <c r="H491" t="s">
        <v>1359</v>
      </c>
    </row>
    <row r="492" spans="1:8" x14ac:dyDescent="0.2">
      <c r="A492" t="s">
        <v>510</v>
      </c>
      <c r="B492" t="str">
        <f t="shared" si="42"/>
        <v>The Source</v>
      </c>
      <c r="C492" t="str">
        <f t="shared" si="43"/>
        <v>43.5168533333333</v>
      </c>
      <c r="D492" t="str">
        <f t="shared" si="44"/>
        <v>-80.2378733333333</v>
      </c>
      <c r="E492" t="str">
        <f t="shared" si="45"/>
        <v>519-822-9929</v>
      </c>
      <c r="F492" t="str">
        <f t="shared" si="46"/>
        <v>N1G 2X6</v>
      </c>
      <c r="G492" t="str">
        <f t="shared" si="47"/>
        <v>[ "The Source", 43.5168533333333, -80.2378733333333, '519-822-9929', 'N1G 2X6'],</v>
      </c>
      <c r="H492" t="s">
        <v>1360</v>
      </c>
    </row>
    <row r="493" spans="1:8" x14ac:dyDescent="0.2">
      <c r="A493" t="s">
        <v>511</v>
      </c>
      <c r="B493" t="str">
        <f t="shared" si="42"/>
        <v>Canadian Tire</v>
      </c>
      <c r="C493" t="str">
        <f t="shared" si="43"/>
        <v>43.5415727</v>
      </c>
      <c r="D493" t="str">
        <f t="shared" si="44"/>
        <v>-79.8715343</v>
      </c>
      <c r="E493" t="str">
        <f t="shared" si="45"/>
        <v>905-878-2349</v>
      </c>
      <c r="F493" t="str">
        <f t="shared" si="46"/>
        <v>L9T 6R1</v>
      </c>
      <c r="G493" t="str">
        <f t="shared" si="47"/>
        <v>[ "Canadian Tire", 43.5415727, -79.8715343, '905-878-2349', 'L9T 6R1'],</v>
      </c>
      <c r="H493" t="s">
        <v>1237</v>
      </c>
    </row>
    <row r="494" spans="1:8" x14ac:dyDescent="0.2">
      <c r="A494" t="s">
        <v>512</v>
      </c>
      <c r="B494" t="str">
        <f t="shared" si="42"/>
        <v>Staples</v>
      </c>
      <c r="C494" t="str">
        <f t="shared" si="43"/>
        <v>43.5417045</v>
      </c>
      <c r="D494" t="str">
        <f t="shared" si="44"/>
        <v>-79.8713099</v>
      </c>
      <c r="E494" t="str">
        <f t="shared" si="45"/>
        <v>905-878-2434</v>
      </c>
      <c r="F494" t="str">
        <f t="shared" si="46"/>
        <v>L9T 6R1</v>
      </c>
      <c r="G494" t="str">
        <f t="shared" si="47"/>
        <v>[ "Staples", 43.5417045, -79.8713099, '905-878-2434', 'L9T 6R1'],</v>
      </c>
      <c r="H494" t="s">
        <v>1236</v>
      </c>
    </row>
    <row r="495" spans="1:8" x14ac:dyDescent="0.2">
      <c r="A495" t="s">
        <v>513</v>
      </c>
      <c r="B495" t="str">
        <f t="shared" si="42"/>
        <v>Home Depot</v>
      </c>
      <c r="C495" t="str">
        <f t="shared" si="43"/>
        <v>43.53572</v>
      </c>
      <c r="D495" t="str">
        <f t="shared" si="44"/>
        <v>-79.87415</v>
      </c>
      <c r="E495" t="str">
        <f t="shared" si="45"/>
        <v>905-864-1200</v>
      </c>
      <c r="F495" t="str">
        <f t="shared" si="46"/>
        <v>L9T 0A5</v>
      </c>
      <c r="G495" t="str">
        <f t="shared" si="47"/>
        <v>[ "Home Depot", 43.53572, -79.87415, '905-864-1200', 'L9T 0A5'],</v>
      </c>
      <c r="H495" t="s">
        <v>1233</v>
      </c>
    </row>
    <row r="496" spans="1:8" x14ac:dyDescent="0.2">
      <c r="A496" t="s">
        <v>514</v>
      </c>
      <c r="B496" t="str">
        <f t="shared" si="42"/>
        <v>Canadian Tire</v>
      </c>
      <c r="C496" t="str">
        <f t="shared" si="43"/>
        <v>43.6914476674055</v>
      </c>
      <c r="D496" t="str">
        <f t="shared" si="44"/>
        <v>-80.3603031196803</v>
      </c>
      <c r="E496" t="str">
        <f t="shared" si="45"/>
        <v>519-843-3680</v>
      </c>
      <c r="F496" t="str">
        <f t="shared" si="46"/>
        <v>N1M 3N7</v>
      </c>
      <c r="G496" t="str">
        <f t="shared" si="47"/>
        <v>[ "Canadian Tire", 43.6914476674055, -80.3603031196803, '519-843-3680', 'N1M 3N7'],</v>
      </c>
      <c r="H496" t="s">
        <v>1361</v>
      </c>
    </row>
    <row r="497" spans="1:8" x14ac:dyDescent="0.2">
      <c r="A497" t="s">
        <v>515</v>
      </c>
      <c r="B497" t="str">
        <f t="shared" si="42"/>
        <v>The Source</v>
      </c>
      <c r="C497" t="str">
        <f t="shared" si="43"/>
        <v>43.6945291057203</v>
      </c>
      <c r="D497" t="str">
        <f t="shared" si="44"/>
        <v>-80.3645413918637</v>
      </c>
      <c r="E497" t="str">
        <f t="shared" si="45"/>
        <v>519-843-2982</v>
      </c>
      <c r="F497" t="str">
        <f t="shared" si="46"/>
        <v>N1M 3N7</v>
      </c>
      <c r="G497" t="str">
        <f t="shared" si="47"/>
        <v>[ "The Source", 43.6945291057203, -80.3645413918637, '519-843-2982', 'N1M 3N7'],</v>
      </c>
      <c r="H497" t="s">
        <v>1362</v>
      </c>
    </row>
    <row r="498" spans="1:8" x14ac:dyDescent="0.2">
      <c r="A498" t="s">
        <v>516</v>
      </c>
      <c r="B498" t="str">
        <f t="shared" si="42"/>
        <v>Home Depot</v>
      </c>
      <c r="C498" t="str">
        <f t="shared" si="43"/>
        <v>43.6573580898888</v>
      </c>
      <c r="D498" t="str">
        <f t="shared" si="44"/>
        <v>-79.8165908828266</v>
      </c>
      <c r="E498" t="str">
        <f t="shared" si="45"/>
        <v>905-457-1800</v>
      </c>
      <c r="F498" t="str">
        <f t="shared" si="46"/>
        <v>L6X 0Z8</v>
      </c>
      <c r="G498" t="str">
        <f t="shared" si="47"/>
        <v>[ "Home Depot", 43.6573580898888, -79.8165908828266, '905-457-1800', 'L6X 0Z8'],</v>
      </c>
      <c r="H498" t="s">
        <v>1363</v>
      </c>
    </row>
    <row r="499" spans="1:8" x14ac:dyDescent="0.2">
      <c r="A499" t="s">
        <v>518</v>
      </c>
      <c r="B499" t="str">
        <f t="shared" si="42"/>
        <v>Home Depot</v>
      </c>
      <c r="C499" t="str">
        <f t="shared" si="43"/>
        <v>43.11613</v>
      </c>
      <c r="D499" t="str">
        <f t="shared" si="44"/>
        <v>-80.72925</v>
      </c>
      <c r="E499" t="str">
        <f t="shared" si="45"/>
        <v>519-421-5500</v>
      </c>
      <c r="F499" t="str">
        <f t="shared" si="46"/>
        <v>N4V 1B9</v>
      </c>
      <c r="G499" t="str">
        <f t="shared" si="47"/>
        <v>[ "Home Depot", 43.11613, -80.72925, '519-421-5500', 'N4V 1B9'],</v>
      </c>
      <c r="H499" t="s">
        <v>1364</v>
      </c>
    </row>
    <row r="500" spans="1:8" x14ac:dyDescent="0.2">
      <c r="A500" t="s">
        <v>519</v>
      </c>
      <c r="B500" t="str">
        <f t="shared" si="42"/>
        <v>K.C.s Repair Centre</v>
      </c>
      <c r="C500" t="str">
        <f t="shared" si="43"/>
        <v>43.2072454545455</v>
      </c>
      <c r="D500" t="str">
        <f t="shared" si="44"/>
        <v>-80.6978127272727</v>
      </c>
      <c r="E500" t="str">
        <f t="shared" si="45"/>
        <v>519-469-3351</v>
      </c>
      <c r="F500" t="str">
        <f t="shared" si="46"/>
        <v>N0J 1M0</v>
      </c>
      <c r="G500" t="str">
        <f t="shared" si="47"/>
        <v>[ "K.C.s Repair Centre", 43.2072454545455, -80.6978127272727, '519-469-3351', 'N0J 1M0'],</v>
      </c>
      <c r="H500" t="s">
        <v>1365</v>
      </c>
    </row>
    <row r="501" spans="1:8" x14ac:dyDescent="0.2">
      <c r="A501" t="s">
        <v>520</v>
      </c>
      <c r="B501" t="str">
        <f t="shared" si="42"/>
        <v>Staples</v>
      </c>
      <c r="C501" t="str">
        <f t="shared" si="43"/>
        <v>43.1158086046512</v>
      </c>
      <c r="D501" t="str">
        <f t="shared" si="44"/>
        <v>-80.7378265116279</v>
      </c>
      <c r="E501" t="str">
        <f t="shared" si="45"/>
        <v>519-421-3202</v>
      </c>
      <c r="F501" t="str">
        <f t="shared" si="46"/>
        <v>N4S 9A2</v>
      </c>
      <c r="G501" t="str">
        <f t="shared" si="47"/>
        <v>[ "Staples", 43.1158086046512, -80.7378265116279, '519-421-3202', 'N4S 9A2'],</v>
      </c>
      <c r="H501" t="s">
        <v>1366</v>
      </c>
    </row>
    <row r="502" spans="1:8" x14ac:dyDescent="0.2">
      <c r="A502" t="s">
        <v>521</v>
      </c>
      <c r="B502" t="str">
        <f t="shared" si="42"/>
        <v>The Source</v>
      </c>
      <c r="C502" t="str">
        <f t="shared" si="43"/>
        <v>43.1162686666667</v>
      </c>
      <c r="D502" t="str">
        <f t="shared" si="44"/>
        <v>-80.7379913333333</v>
      </c>
      <c r="E502" t="str">
        <f t="shared" si="45"/>
        <v>519-539-3339</v>
      </c>
      <c r="F502" t="str">
        <f t="shared" si="46"/>
        <v>N4S 9A2</v>
      </c>
      <c r="G502" t="str">
        <f t="shared" si="47"/>
        <v>[ "The Source", 43.1162686666667, -80.7379913333333, '519-539-3339', 'N4S 9A2'],</v>
      </c>
      <c r="H502" t="s">
        <v>1367</v>
      </c>
    </row>
    <row r="503" spans="1:8" x14ac:dyDescent="0.2">
      <c r="A503" t="s">
        <v>522</v>
      </c>
      <c r="B503" t="str">
        <f t="shared" si="42"/>
        <v>ListenUp! Canada</v>
      </c>
      <c r="C503" t="str">
        <f t="shared" si="43"/>
        <v>43.13</v>
      </c>
      <c r="D503" t="str">
        <f t="shared" si="44"/>
        <v>-80.7573725</v>
      </c>
      <c r="E503" t="str">
        <f t="shared" si="45"/>
        <v>519-537-8361</v>
      </c>
      <c r="F503" t="str">
        <f t="shared" si="46"/>
        <v>N4S 1C2</v>
      </c>
      <c r="G503" t="str">
        <f t="shared" si="47"/>
        <v>[ "ListenUp! Canada", 43.13, -80.7573725, '519-537-8361', 'N4S 1C2'],</v>
      </c>
      <c r="H503" t="s">
        <v>1368</v>
      </c>
    </row>
    <row r="504" spans="1:8" x14ac:dyDescent="0.2">
      <c r="A504" t="s">
        <v>523</v>
      </c>
      <c r="B504" t="str">
        <f t="shared" si="42"/>
        <v>Staples</v>
      </c>
      <c r="C504" t="str">
        <f t="shared" si="43"/>
        <v>43.1693666109149</v>
      </c>
      <c r="D504" t="str">
        <f t="shared" si="44"/>
        <v>-80.2479792495133</v>
      </c>
      <c r="E504" t="str">
        <f t="shared" si="45"/>
        <v>519-752-3367</v>
      </c>
      <c r="F504" t="str">
        <f t="shared" si="46"/>
        <v>N3R 7C5</v>
      </c>
      <c r="G504" t="str">
        <f t="shared" si="47"/>
        <v>[ "Staples", 43.1693666109149, -80.2479792495133, '519-752-3367', 'N3R 7C5'],</v>
      </c>
      <c r="H504" t="s">
        <v>1248</v>
      </c>
    </row>
    <row r="505" spans="1:8" x14ac:dyDescent="0.2">
      <c r="A505" t="s">
        <v>524</v>
      </c>
      <c r="B505" t="str">
        <f t="shared" si="42"/>
        <v>Home Depot</v>
      </c>
      <c r="C505" t="str">
        <f t="shared" si="43"/>
        <v>43.1630392918477</v>
      </c>
      <c r="D505" t="str">
        <f t="shared" si="44"/>
        <v>-80.2414100444489</v>
      </c>
      <c r="E505" t="str">
        <f t="shared" si="45"/>
        <v>519-757-3534</v>
      </c>
      <c r="F505" t="str">
        <f t="shared" si="46"/>
        <v>N3R 7J4</v>
      </c>
      <c r="G505" t="str">
        <f t="shared" si="47"/>
        <v>[ "Home Depot", 43.1630392918477, -80.2414100444489, '519-757-3534', 'N3R 7J4'],</v>
      </c>
      <c r="H505" t="s">
        <v>1247</v>
      </c>
    </row>
    <row r="506" spans="1:8" x14ac:dyDescent="0.2">
      <c r="A506" t="s">
        <v>525</v>
      </c>
      <c r="B506" t="str">
        <f t="shared" si="42"/>
        <v>ListenUp! Canada</v>
      </c>
      <c r="C506" t="str">
        <f t="shared" si="43"/>
        <v>43.1474446153846</v>
      </c>
      <c r="D506" t="str">
        <f t="shared" si="44"/>
        <v>-80.2361169230769</v>
      </c>
      <c r="E506" t="str">
        <f t="shared" si="45"/>
        <v>519-753-4182</v>
      </c>
      <c r="F506" t="str">
        <f t="shared" si="46"/>
        <v>N3R 4X8</v>
      </c>
      <c r="G506" t="str">
        <f t="shared" si="47"/>
        <v>[ "ListenUp! Canada", 43.1474446153846, -80.2361169230769, '519-753-4182', 'N3R 4X8'],</v>
      </c>
      <c r="H506" t="s">
        <v>1251</v>
      </c>
    </row>
    <row r="507" spans="1:8" x14ac:dyDescent="0.2">
      <c r="A507" t="s">
        <v>526</v>
      </c>
      <c r="B507" t="str">
        <f t="shared" si="42"/>
        <v>Lowes</v>
      </c>
      <c r="C507" t="str">
        <f t="shared" si="43"/>
        <v>43.155372</v>
      </c>
      <c r="D507" t="str">
        <f t="shared" si="44"/>
        <v>-80.237796</v>
      </c>
      <c r="E507" t="str">
        <f t="shared" si="45"/>
        <v>519-720-2060</v>
      </c>
      <c r="F507" t="str">
        <f t="shared" si="46"/>
        <v>N3S 7R4</v>
      </c>
      <c r="G507" t="str">
        <f t="shared" si="47"/>
        <v>[ "Lowes", 43.155372, -80.237796, '519-720-2060', 'N3S 7R4'],</v>
      </c>
      <c r="H507" t="s">
        <v>1250</v>
      </c>
    </row>
    <row r="508" spans="1:8" x14ac:dyDescent="0.2">
      <c r="A508" t="s">
        <v>527</v>
      </c>
      <c r="B508" t="str">
        <f t="shared" si="42"/>
        <v>The Source</v>
      </c>
      <c r="C508" t="str">
        <f t="shared" si="43"/>
        <v>43.1733746666667</v>
      </c>
      <c r="D508" t="str">
        <f t="shared" si="44"/>
        <v>-80.242096</v>
      </c>
      <c r="E508" t="str">
        <f t="shared" si="45"/>
        <v>519-759-8462</v>
      </c>
      <c r="F508" t="str">
        <f t="shared" si="46"/>
        <v>N3R 6B8</v>
      </c>
      <c r="G508" t="str">
        <f t="shared" si="47"/>
        <v>[ "The Source", 43.1733746666667, -80.242096, '519-759-8462', 'N3R 6B8'],</v>
      </c>
      <c r="H508" t="s">
        <v>1245</v>
      </c>
    </row>
    <row r="509" spans="1:8" x14ac:dyDescent="0.2">
      <c r="A509" t="s">
        <v>528</v>
      </c>
      <c r="B509" t="str">
        <f t="shared" si="42"/>
        <v>Princess Auto</v>
      </c>
      <c r="C509" t="str">
        <f t="shared" si="43"/>
        <v>43.155558</v>
      </c>
      <c r="D509" t="str">
        <f t="shared" si="44"/>
        <v>-80.236674</v>
      </c>
      <c r="E509" t="str">
        <f t="shared" si="45"/>
        <v>226-227-9440</v>
      </c>
      <c r="F509" t="str">
        <f t="shared" si="46"/>
        <v>N3S 7R4</v>
      </c>
      <c r="G509" t="str">
        <f t="shared" si="47"/>
        <v>[ "Princess Auto", 43.155558, -80.236674, '226-227-9440', 'N3S 7R4'],</v>
      </c>
      <c r="H509" t="s">
        <v>1249</v>
      </c>
    </row>
    <row r="510" spans="1:8" x14ac:dyDescent="0.2">
      <c r="A510" t="s">
        <v>530</v>
      </c>
      <c r="B510" t="str">
        <f t="shared" si="42"/>
        <v>ListenUp Canada</v>
      </c>
      <c r="C510" t="str">
        <f t="shared" si="43"/>
        <v>43.0405984210526</v>
      </c>
      <c r="D510" t="str">
        <f t="shared" si="44"/>
        <v>-80.8850492105263</v>
      </c>
      <c r="E510" t="str">
        <f t="shared" si="45"/>
        <v>519-485-1671</v>
      </c>
      <c r="F510" t="str">
        <f t="shared" si="46"/>
        <v>N5C 4B1</v>
      </c>
      <c r="G510" t="str">
        <f t="shared" si="47"/>
        <v>[ "ListenUp Canada", 43.0405984210526, -80.8850492105263, '519-485-1671', 'N5C 4B1'],</v>
      </c>
      <c r="H510" t="s">
        <v>1369</v>
      </c>
    </row>
    <row r="511" spans="1:8" x14ac:dyDescent="0.2">
      <c r="A511" t="s">
        <v>531</v>
      </c>
      <c r="B511" t="str">
        <f t="shared" si="42"/>
        <v>Canadian Tire</v>
      </c>
      <c r="C511" t="str">
        <f t="shared" si="43"/>
        <v>43.0416027272727</v>
      </c>
      <c r="D511" t="str">
        <f t="shared" si="44"/>
        <v>-80.8822027272727</v>
      </c>
      <c r="E511" t="str">
        <f t="shared" si="45"/>
        <v>519-485-3900</v>
      </c>
      <c r="F511" t="str">
        <f t="shared" si="46"/>
        <v>N5C 1S5</v>
      </c>
      <c r="G511" t="str">
        <f t="shared" si="47"/>
        <v>[ "Canadian Tire", 43.0416027272727, -80.8822027272727, '519-485-3900', 'N5C 1S5'],</v>
      </c>
      <c r="H511" t="s">
        <v>1370</v>
      </c>
    </row>
    <row r="512" spans="1:8" x14ac:dyDescent="0.2">
      <c r="A512" t="s">
        <v>532</v>
      </c>
      <c r="B512" t="str">
        <f t="shared" si="42"/>
        <v>The Source</v>
      </c>
      <c r="C512" t="str">
        <f t="shared" si="43"/>
        <v>42.86217</v>
      </c>
      <c r="D512" t="str">
        <f t="shared" si="44"/>
        <v>-80.72937</v>
      </c>
      <c r="E512" t="str">
        <f t="shared" si="45"/>
        <v>519-842-7916</v>
      </c>
      <c r="F512" t="str">
        <f t="shared" si="46"/>
        <v>N4G 5A7</v>
      </c>
      <c r="G512" t="str">
        <f t="shared" si="47"/>
        <v>[ "The Source", 42.86217, -80.72937, '519-842-7916', 'N4G 5A7'],</v>
      </c>
      <c r="H512" t="s">
        <v>1333</v>
      </c>
    </row>
    <row r="513" spans="1:8" x14ac:dyDescent="0.2">
      <c r="A513" t="s">
        <v>533</v>
      </c>
      <c r="B513" t="str">
        <f t="shared" ref="B513:B576" si="48">MID(A513,SEARCH("name"&amp;CHAR(34)&amp;":"&amp;CHAR(34),A513)+7,SEARCH(CHAR(34)&amp;", "&amp;CHAR(34)&amp;"locationlinkurl",A513)-SEARCH("name"&amp;CHAR(34)&amp;":"&amp;CHAR(34),A513)-7)</f>
        <v>Staples</v>
      </c>
      <c r="C513" t="str">
        <f t="shared" ref="C513:C576" si="49">MID(A513,SEARCH(CHAR(34)&amp;"latitude"&amp;CHAR(34)&amp;":"&amp;CHAR(34),A513)+12,SEARCH(CHAR(34)&amp;", "&amp;CHAR(34)&amp;"url"&amp;CHAR(34),A513)-SEARCH(CHAR(34)&amp;"latitude"&amp;CHAR(34)&amp;":"&amp;CHAR(34),A513)-12)</f>
        <v>42.86217</v>
      </c>
      <c r="D513" t="str">
        <f t="shared" ref="D513:D576" si="50">MID(A513,SEARCH(CHAR(34)&amp;"longitude"&amp;CHAR(34)&amp;":"&amp;CHAR(34),A513)+13,SEARCH(CHAR(34)&amp;", "&amp;CHAR(34)&amp;"uid"&amp;CHAR(34),A513)-SEARCH(CHAR(34)&amp;"longitude"&amp;CHAR(34)&amp;":"&amp;CHAR(34),A513)-13)</f>
        <v>-80.72937</v>
      </c>
      <c r="E513" t="str">
        <f t="shared" ref="E513:E576" si="51">MID(A513,SEARCH(CHAR(34)&amp;"phone"&amp;CHAR(34)&amp;":"&amp;CHAR(34),A513)+9,SEARCH(CHAR(34)&amp;", "&amp;CHAR(34)&amp;"address2"&amp;CHAR(34),A513)-SEARCH(CHAR(34)&amp;"phone"&amp;CHAR(34)&amp;":"&amp;CHAR(34),A513)-9)</f>
        <v>519-688-2196</v>
      </c>
      <c r="F513" t="str">
        <f t="shared" ref="F513:F576" si="52">MID(A513,SEARCH(CHAR(34)&amp;"postalcode"&amp;CHAR(34)&amp;":"&amp;CHAR(34),A513)+14,SEARCH(CHAR(34)&amp;", "&amp;CHAR(34)&amp;"province"&amp;CHAR(34),A513)-SEARCH(CHAR(34)&amp;"postalcode"&amp;CHAR(34)&amp;":"&amp;CHAR(34),A513)-14)</f>
        <v>N4G 5A7</v>
      </c>
      <c r="G513" t="str">
        <f t="shared" ref="G513:G576" si="53">"[ "&amp;CHAR(34)&amp;B513&amp;CHAR(34)&amp;", "&amp;C513&amp;", "&amp;D513&amp;", '"&amp;E513&amp;"', '"&amp;F513&amp;"'],"</f>
        <v>[ "Staples", 42.86217, -80.72937, '519-688-2196', 'N4G 5A7'],</v>
      </c>
      <c r="H513" t="s">
        <v>1334</v>
      </c>
    </row>
    <row r="514" spans="1:8" x14ac:dyDescent="0.2">
      <c r="A514" t="s">
        <v>534</v>
      </c>
      <c r="B514" t="str">
        <f t="shared" si="48"/>
        <v>Canadian Tire</v>
      </c>
      <c r="C514" t="str">
        <f t="shared" si="49"/>
        <v>43.0062405882353</v>
      </c>
      <c r="D514" t="str">
        <f t="shared" si="50"/>
        <v>-81.1704935294118</v>
      </c>
      <c r="E514" t="str">
        <f t="shared" si="51"/>
        <v>519-451-6260</v>
      </c>
      <c r="F514" t="str">
        <f t="shared" si="52"/>
        <v>N5V 4Y5</v>
      </c>
      <c r="G514" t="str">
        <f t="shared" si="53"/>
        <v>[ "Canadian Tire", 43.0062405882353, -81.1704935294118, '519-451-6260', 'N5V 4Y5'],</v>
      </c>
      <c r="H514" t="s">
        <v>1371</v>
      </c>
    </row>
    <row r="515" spans="1:8" x14ac:dyDescent="0.2">
      <c r="A515" t="s">
        <v>535</v>
      </c>
      <c r="B515" t="str">
        <f t="shared" si="48"/>
        <v>The Source</v>
      </c>
      <c r="C515" t="str">
        <f t="shared" si="49"/>
        <v>43.00147</v>
      </c>
      <c r="D515" t="str">
        <f t="shared" si="50"/>
        <v>-81.17418</v>
      </c>
      <c r="E515" t="str">
        <f t="shared" si="51"/>
        <v>519-453-2780</v>
      </c>
      <c r="F515" t="str">
        <f t="shared" si="52"/>
        <v>N5V 1P7</v>
      </c>
      <c r="G515" t="str">
        <f t="shared" si="53"/>
        <v>[ "The Source", 43.00147, -81.17418, '519-453-2780', 'N5V 1P7'],</v>
      </c>
      <c r="H515" t="s">
        <v>1372</v>
      </c>
    </row>
    <row r="516" spans="1:8" x14ac:dyDescent="0.2">
      <c r="A516" t="s">
        <v>536</v>
      </c>
      <c r="B516" t="str">
        <f t="shared" si="48"/>
        <v>Staples</v>
      </c>
      <c r="C516" t="str">
        <f t="shared" si="49"/>
        <v>43.00526</v>
      </c>
      <c r="D516" t="str">
        <f t="shared" si="50"/>
        <v>-81.17402</v>
      </c>
      <c r="E516" t="str">
        <f t="shared" si="51"/>
        <v>519-659-3428</v>
      </c>
      <c r="F516" t="str">
        <f t="shared" si="52"/>
        <v>N5V 1P7</v>
      </c>
      <c r="G516" t="str">
        <f t="shared" si="53"/>
        <v>[ "Staples", 43.00526, -81.17402, '519-659-3428', 'N5V 1P7'],</v>
      </c>
      <c r="H516" t="s">
        <v>1373</v>
      </c>
    </row>
    <row r="517" spans="1:8" x14ac:dyDescent="0.2">
      <c r="A517" t="s">
        <v>537</v>
      </c>
      <c r="B517" t="str">
        <f t="shared" si="48"/>
        <v>Home Depot</v>
      </c>
      <c r="C517" t="str">
        <f t="shared" si="49"/>
        <v>43.00669</v>
      </c>
      <c r="D517" t="str">
        <f t="shared" si="50"/>
        <v>-81.1768</v>
      </c>
      <c r="E517" t="str">
        <f t="shared" si="51"/>
        <v>519-457-5800</v>
      </c>
      <c r="F517" t="str">
        <f t="shared" si="52"/>
        <v>N5W 6H1</v>
      </c>
      <c r="G517" t="str">
        <f t="shared" si="53"/>
        <v>[ "Home Depot", 43.00669, -81.1768, '519-457-5800', 'N5W 6H1'],</v>
      </c>
      <c r="H517" t="s">
        <v>1374</v>
      </c>
    </row>
    <row r="518" spans="1:8" x14ac:dyDescent="0.2">
      <c r="A518" t="s">
        <v>538</v>
      </c>
      <c r="B518" t="str">
        <f t="shared" si="48"/>
        <v>DeWalt Factory Service (Canada)</v>
      </c>
      <c r="C518" t="str">
        <f t="shared" si="49"/>
        <v>42.9615917315216</v>
      </c>
      <c r="D518" t="str">
        <f t="shared" si="50"/>
        <v>-81.2186812885449</v>
      </c>
      <c r="E518" t="str">
        <f t="shared" si="51"/>
        <v>519-649-2407</v>
      </c>
      <c r="F518" t="str">
        <f t="shared" si="52"/>
        <v>N5Z 3L1</v>
      </c>
      <c r="G518" t="str">
        <f t="shared" si="53"/>
        <v>[ "DeWalt Factory Service (Canada)", 42.9615917315216, -81.2186812885449, '519-649-2407', 'N5Z 3L1'],</v>
      </c>
      <c r="H518" t="s">
        <v>1375</v>
      </c>
    </row>
    <row r="519" spans="1:8" x14ac:dyDescent="0.2">
      <c r="A519" t="s">
        <v>539</v>
      </c>
      <c r="B519" t="str">
        <f t="shared" si="48"/>
        <v>Mountain Equipment Co-op</v>
      </c>
      <c r="C519" t="str">
        <f t="shared" si="49"/>
        <v>42.927951232845</v>
      </c>
      <c r="D519" t="str">
        <f t="shared" si="50"/>
        <v>-81.2188128202866</v>
      </c>
      <c r="E519" t="str">
        <f t="shared" si="51"/>
        <v>519-668-7734</v>
      </c>
      <c r="F519" t="str">
        <f t="shared" si="52"/>
        <v>N6E 1M3</v>
      </c>
      <c r="G519" t="str">
        <f t="shared" si="53"/>
        <v>[ "Mountain Equipment Co-op", 42.927951232845, -81.2188128202866, '519-668-7734', 'N6E 1M3'],</v>
      </c>
      <c r="H519" t="s">
        <v>1376</v>
      </c>
    </row>
    <row r="520" spans="1:8" x14ac:dyDescent="0.2">
      <c r="A520" t="s">
        <v>541</v>
      </c>
      <c r="B520" t="str">
        <f t="shared" si="48"/>
        <v>Princess Auto</v>
      </c>
      <c r="C520" t="str">
        <f t="shared" si="49"/>
        <v>42.9248020437138</v>
      </c>
      <c r="D520" t="str">
        <f t="shared" si="50"/>
        <v>-81.2291344937418</v>
      </c>
      <c r="E520" t="str">
        <f t="shared" si="51"/>
        <v>519-649-7001</v>
      </c>
      <c r="F520" t="str">
        <f t="shared" si="52"/>
        <v>N6E 2Z2</v>
      </c>
      <c r="G520" t="str">
        <f t="shared" si="53"/>
        <v>[ "Princess Auto", 42.9248020437138, -81.2291344937418, '519-649-7001', 'N6E 2Z2'],</v>
      </c>
      <c r="H520" t="s">
        <v>1377</v>
      </c>
    </row>
    <row r="521" spans="1:8" x14ac:dyDescent="0.2">
      <c r="A521" t="s">
        <v>542</v>
      </c>
      <c r="B521" t="str">
        <f t="shared" si="48"/>
        <v>Staples</v>
      </c>
      <c r="C521" t="str">
        <f t="shared" si="49"/>
        <v>42.936906337748</v>
      </c>
      <c r="D521" t="str">
        <f t="shared" si="50"/>
        <v>-81.2809181670529</v>
      </c>
      <c r="E521" t="str">
        <f t="shared" si="51"/>
        <v>519-690-2049</v>
      </c>
      <c r="F521" t="str">
        <f t="shared" si="52"/>
        <v>N6L 1A6</v>
      </c>
      <c r="G521" t="str">
        <f t="shared" si="53"/>
        <v>[ "Staples", 42.936906337748, -81.2809181670529, '519-690-2049', 'N6L 1A6'],</v>
      </c>
      <c r="H521" t="s">
        <v>1378</v>
      </c>
    </row>
    <row r="522" spans="1:8" x14ac:dyDescent="0.2">
      <c r="A522" t="s">
        <v>543</v>
      </c>
      <c r="B522" t="str">
        <f t="shared" si="48"/>
        <v>Home Depot</v>
      </c>
      <c r="C522" t="str">
        <f t="shared" si="49"/>
        <v>42.9381032981888</v>
      </c>
      <c r="D522" t="str">
        <f t="shared" si="50"/>
        <v>-81.2811966905401</v>
      </c>
      <c r="E522" t="str">
        <f t="shared" si="51"/>
        <v>519-691-1400</v>
      </c>
      <c r="F522" t="str">
        <f t="shared" si="52"/>
        <v>N6L 1R4</v>
      </c>
      <c r="G522" t="str">
        <f t="shared" si="53"/>
        <v>[ "Home Depot", 42.9381032981888, -81.2811966905401, '519-691-1400', 'N6L 1R4'],</v>
      </c>
      <c r="H522" t="s">
        <v>1379</v>
      </c>
    </row>
    <row r="523" spans="1:8" x14ac:dyDescent="0.2">
      <c r="A523" t="s">
        <v>544</v>
      </c>
      <c r="B523" t="str">
        <f t="shared" si="48"/>
        <v>FCC</v>
      </c>
      <c r="C523" t="str">
        <f t="shared" si="49"/>
        <v>42.93705</v>
      </c>
      <c r="D523" t="str">
        <f t="shared" si="50"/>
        <v>-81.3083131428571</v>
      </c>
      <c r="E523" t="str">
        <f t="shared" si="51"/>
        <v>519-681-2179</v>
      </c>
      <c r="F523" t="str">
        <f t="shared" si="52"/>
        <v>N6P 0C6</v>
      </c>
      <c r="G523" t="str">
        <f t="shared" si="53"/>
        <v>[ "FCC", 42.93705, -81.3083131428571, '519-681-2179', 'N6P 0C6'],</v>
      </c>
      <c r="H523" t="s">
        <v>1380</v>
      </c>
    </row>
    <row r="524" spans="1:8" x14ac:dyDescent="0.2">
      <c r="A524" t="s">
        <v>545</v>
      </c>
      <c r="B524" t="str">
        <f t="shared" si="48"/>
        <v>ListenUp! Canada</v>
      </c>
      <c r="C524" t="str">
        <f t="shared" si="49"/>
        <v>42.93903125</v>
      </c>
      <c r="D524" t="str">
        <f t="shared" si="50"/>
        <v>-81.2812578125</v>
      </c>
      <c r="E524" t="str">
        <f t="shared" si="51"/>
        <v>519-668-6279</v>
      </c>
      <c r="F524" t="str">
        <f t="shared" si="52"/>
        <v>N6J 4G8</v>
      </c>
      <c r="G524" t="str">
        <f t="shared" si="53"/>
        <v>[ "ListenUp! Canada", 42.93903125, -81.2812578125, '519-668-6279', 'N6J 4G8'],</v>
      </c>
      <c r="H524" t="s">
        <v>1381</v>
      </c>
    </row>
    <row r="525" spans="1:8" x14ac:dyDescent="0.2">
      <c r="A525" t="s">
        <v>546</v>
      </c>
      <c r="B525" t="str">
        <f t="shared" si="48"/>
        <v>Mountain Equipment Co-op</v>
      </c>
      <c r="C525" t="str">
        <f t="shared" si="49"/>
        <v>42.927951232845</v>
      </c>
      <c r="D525" t="str">
        <f t="shared" si="50"/>
        <v>-81.2188128202866</v>
      </c>
      <c r="E525" t="str">
        <f t="shared" si="51"/>
        <v>519-668-7734</v>
      </c>
      <c r="F525" t="str">
        <f t="shared" si="52"/>
        <v>N6E 1M3</v>
      </c>
      <c r="G525" t="str">
        <f t="shared" si="53"/>
        <v>[ "Mountain Equipment Co-op", 42.927951232845, -81.2188128202866, '519-668-7734', 'N6E 1M3'],</v>
      </c>
      <c r="H525" t="s">
        <v>1376</v>
      </c>
    </row>
    <row r="526" spans="1:8" x14ac:dyDescent="0.2">
      <c r="A526" t="s">
        <v>547</v>
      </c>
      <c r="B526" t="str">
        <f t="shared" si="48"/>
        <v>RONA</v>
      </c>
      <c r="C526" t="str">
        <f t="shared" si="49"/>
        <v>42.7859033333333</v>
      </c>
      <c r="D526" t="str">
        <f t="shared" si="50"/>
        <v>-81.1773933333333</v>
      </c>
      <c r="E526" t="str">
        <f t="shared" si="51"/>
        <v>519-631-2250</v>
      </c>
      <c r="F526" t="str">
        <f t="shared" si="52"/>
        <v>N5P 1Y8</v>
      </c>
      <c r="G526" t="str">
        <f t="shared" si="53"/>
        <v>[ "RONA", 42.7859033333333, -81.1773933333333, '519-631-2250', 'N5P 1Y8'],</v>
      </c>
      <c r="H526" t="s">
        <v>1382</v>
      </c>
    </row>
    <row r="527" spans="1:8" x14ac:dyDescent="0.2">
      <c r="A527" t="s">
        <v>548</v>
      </c>
      <c r="B527" t="str">
        <f t="shared" si="48"/>
        <v>The Source</v>
      </c>
      <c r="C527" t="str">
        <f t="shared" si="49"/>
        <v>42.9316311111111</v>
      </c>
      <c r="D527" t="str">
        <f t="shared" si="50"/>
        <v>-81.2214222222222</v>
      </c>
      <c r="E527" t="str">
        <f t="shared" si="51"/>
        <v>519-681-5914</v>
      </c>
      <c r="F527" t="str">
        <f t="shared" si="52"/>
        <v>N6E 1V4</v>
      </c>
      <c r="G527" t="str">
        <f t="shared" si="53"/>
        <v>[ "The Source", 42.9316311111111, -81.2214222222222, '519-681-5914', 'N6E 1V4'],</v>
      </c>
      <c r="H527" t="s">
        <v>1383</v>
      </c>
    </row>
    <row r="528" spans="1:8" x14ac:dyDescent="0.2">
      <c r="A528" t="s">
        <v>549</v>
      </c>
      <c r="B528" t="str">
        <f t="shared" si="48"/>
        <v>Best Buy</v>
      </c>
      <c r="C528" t="str">
        <f t="shared" si="49"/>
        <v>42.93354</v>
      </c>
      <c r="D528" t="str">
        <f t="shared" si="50"/>
        <v>-81.22307</v>
      </c>
      <c r="E528" t="str">
        <f t="shared" si="51"/>
        <v>519-686-2160</v>
      </c>
      <c r="F528" t="str">
        <f t="shared" si="52"/>
        <v>N6E 1M2</v>
      </c>
      <c r="G528" t="str">
        <f t="shared" si="53"/>
        <v>[ "Best Buy", 42.93354, -81.22307, '519-686-2160', 'N6E 1M2'],</v>
      </c>
      <c r="H528" t="s">
        <v>1384</v>
      </c>
    </row>
    <row r="529" spans="1:8" x14ac:dyDescent="0.2">
      <c r="A529" t="s">
        <v>550</v>
      </c>
      <c r="B529" t="str">
        <f t="shared" si="48"/>
        <v>Staples</v>
      </c>
      <c r="C529" t="str">
        <f t="shared" si="49"/>
        <v>42.77878</v>
      </c>
      <c r="D529" t="str">
        <f t="shared" si="50"/>
        <v>-81.1723</v>
      </c>
      <c r="E529" t="str">
        <f t="shared" si="51"/>
        <v>519-631-1810</v>
      </c>
      <c r="F529" t="str">
        <f t="shared" si="52"/>
        <v>N5P 1G4</v>
      </c>
      <c r="G529" t="str">
        <f t="shared" si="53"/>
        <v>[ "Staples", 42.77878, -81.1723, '519-631-1810', 'N5P 1G4'],</v>
      </c>
      <c r="H529" t="s">
        <v>1385</v>
      </c>
    </row>
    <row r="530" spans="1:8" x14ac:dyDescent="0.2">
      <c r="A530" t="s">
        <v>551</v>
      </c>
      <c r="B530" t="str">
        <f t="shared" si="48"/>
        <v>The Source</v>
      </c>
      <c r="C530" t="str">
        <f t="shared" si="49"/>
        <v>42.77878</v>
      </c>
      <c r="D530" t="str">
        <f t="shared" si="50"/>
        <v>-81.1723</v>
      </c>
      <c r="E530" t="str">
        <f t="shared" si="51"/>
        <v>519-633-8119</v>
      </c>
      <c r="F530" t="str">
        <f t="shared" si="52"/>
        <v>N5P 1G4</v>
      </c>
      <c r="G530" t="str">
        <f t="shared" si="53"/>
        <v>[ "The Source", 42.77878, -81.1723, '519-633-8119', 'N5P 1G4'],</v>
      </c>
      <c r="H530" t="s">
        <v>1386</v>
      </c>
    </row>
    <row r="531" spans="1:8" x14ac:dyDescent="0.2">
      <c r="A531" t="s">
        <v>552</v>
      </c>
      <c r="B531" t="str">
        <f t="shared" si="48"/>
        <v>ListenUp! Canada</v>
      </c>
      <c r="C531" t="str">
        <f t="shared" si="49"/>
        <v>42.7752223</v>
      </c>
      <c r="D531" t="str">
        <f t="shared" si="50"/>
        <v>-81.1751688</v>
      </c>
      <c r="E531" t="str">
        <f t="shared" si="51"/>
        <v>519-633-3330</v>
      </c>
      <c r="F531" t="str">
        <f t="shared" si="52"/>
        <v>N5R 4M5</v>
      </c>
      <c r="G531" t="str">
        <f t="shared" si="53"/>
        <v>[ "ListenUp! Canada", 42.7752223, -81.1751688, '519-633-3330', 'N5R 4M5'],</v>
      </c>
      <c r="H531" t="s">
        <v>1387</v>
      </c>
    </row>
    <row r="532" spans="1:8" x14ac:dyDescent="0.2">
      <c r="A532" t="s">
        <v>553</v>
      </c>
      <c r="B532" t="str">
        <f t="shared" si="48"/>
        <v>Staples</v>
      </c>
      <c r="C532" t="str">
        <f t="shared" si="49"/>
        <v>42.96328</v>
      </c>
      <c r="D532" t="str">
        <f t="shared" si="50"/>
        <v>-81.23147</v>
      </c>
      <c r="E532" t="str">
        <f t="shared" si="51"/>
        <v>519-645-7042</v>
      </c>
      <c r="F532" t="str">
        <f t="shared" si="52"/>
        <v>N6C 4P6</v>
      </c>
      <c r="G532" t="str">
        <f t="shared" si="53"/>
        <v>[ "Staples", 42.96328, -81.23147, '519-645-7042', 'N6C 4P6'],</v>
      </c>
      <c r="H532" t="s">
        <v>1388</v>
      </c>
    </row>
    <row r="533" spans="1:8" x14ac:dyDescent="0.2">
      <c r="A533" t="s">
        <v>554</v>
      </c>
      <c r="B533" t="str">
        <f t="shared" si="48"/>
        <v>DeWalt Factory Service (Canada)</v>
      </c>
      <c r="C533" t="str">
        <f t="shared" si="49"/>
        <v>42.9615917315216</v>
      </c>
      <c r="D533" t="str">
        <f t="shared" si="50"/>
        <v>-81.2186812885449</v>
      </c>
      <c r="E533" t="str">
        <f t="shared" si="51"/>
        <v>519-649-2407</v>
      </c>
      <c r="F533" t="str">
        <f t="shared" si="52"/>
        <v>N5Z 3L1</v>
      </c>
      <c r="G533" t="str">
        <f t="shared" si="53"/>
        <v>[ "DeWalt Factory Service (Canada)", 42.9615917315216, -81.2186812885449, '519-649-2407', 'N5Z 3L1'],</v>
      </c>
      <c r="H533" t="s">
        <v>1375</v>
      </c>
    </row>
    <row r="534" spans="1:8" x14ac:dyDescent="0.2">
      <c r="A534" t="s">
        <v>555</v>
      </c>
      <c r="B534" t="str">
        <f t="shared" si="48"/>
        <v>Pharmasave</v>
      </c>
      <c r="C534" t="str">
        <f t="shared" si="49"/>
        <v>42.9713077777778</v>
      </c>
      <c r="D534" t="str">
        <f t="shared" si="50"/>
        <v>-81.2523133333333</v>
      </c>
      <c r="E534" t="str">
        <f t="shared" si="51"/>
        <v>519-438-6600</v>
      </c>
      <c r="F534" t="str">
        <f t="shared" si="52"/>
        <v>N6C 4Y7</v>
      </c>
      <c r="G534" t="str">
        <f t="shared" si="53"/>
        <v>[ "Pharmasave", 42.9713077777778, -81.2523133333333, '519-438-6600', 'N6C 4Y7'],</v>
      </c>
      <c r="H534" t="s">
        <v>1389</v>
      </c>
    </row>
    <row r="535" spans="1:8" x14ac:dyDescent="0.2">
      <c r="A535" t="s">
        <v>556</v>
      </c>
      <c r="B535" t="str">
        <f t="shared" si="48"/>
        <v>Henrys</v>
      </c>
      <c r="C535" t="str">
        <f t="shared" si="49"/>
        <v>42.9724794444444</v>
      </c>
      <c r="D535" t="str">
        <f t="shared" si="50"/>
        <v>-81.2382733333333</v>
      </c>
      <c r="E535" t="str">
        <f t="shared" si="51"/>
        <v>519-686-7481</v>
      </c>
      <c r="F535" t="str">
        <f t="shared" si="52"/>
        <v>N6E 3V8</v>
      </c>
      <c r="G535" t="str">
        <f t="shared" si="53"/>
        <v>[ "Henrys", 42.9724794444444, -81.2382733333333, '519-686-7481', 'N6E 3V8'],</v>
      </c>
      <c r="H535" t="s">
        <v>1390</v>
      </c>
    </row>
    <row r="536" spans="1:8" x14ac:dyDescent="0.2">
      <c r="A536" t="s">
        <v>557</v>
      </c>
      <c r="B536" t="str">
        <f t="shared" si="48"/>
        <v>Spectrum Communications</v>
      </c>
      <c r="C536" t="str">
        <f t="shared" si="49"/>
        <v>42.9751614941291</v>
      </c>
      <c r="D536" t="str">
        <f t="shared" si="50"/>
        <v>-81.2403128906191</v>
      </c>
      <c r="E536" t="str">
        <f t="shared" si="51"/>
        <v>519-663-2109</v>
      </c>
      <c r="F536" t="str">
        <f t="shared" si="52"/>
        <v>N6B 2K4</v>
      </c>
      <c r="G536" t="str">
        <f t="shared" si="53"/>
        <v>[ "Spectrum Communications", 42.9751614941291, -81.2403128906191, '519-663-2109', 'N6B 2K4'],</v>
      </c>
      <c r="H536" t="s">
        <v>1391</v>
      </c>
    </row>
    <row r="537" spans="1:8" x14ac:dyDescent="0.2">
      <c r="A537" t="s">
        <v>558</v>
      </c>
      <c r="B537" t="str">
        <f t="shared" si="48"/>
        <v>Forest City Communications Ltd.</v>
      </c>
      <c r="C537" t="str">
        <f t="shared" si="49"/>
        <v>42.9751614941291</v>
      </c>
      <c r="D537" t="str">
        <f t="shared" si="50"/>
        <v>-81.2403128906191</v>
      </c>
      <c r="E537" t="str">
        <f t="shared" si="51"/>
        <v>519-686-3046</v>
      </c>
      <c r="F537" t="str">
        <f t="shared" si="52"/>
        <v>N6B 2K4</v>
      </c>
      <c r="G537" t="str">
        <f t="shared" si="53"/>
        <v>[ "Forest City Communications Ltd.", 42.9751614941291, -81.2403128906191, '519-686-3046', 'N6B 2K4'],</v>
      </c>
      <c r="H537" t="s">
        <v>1392</v>
      </c>
    </row>
    <row r="538" spans="1:8" x14ac:dyDescent="0.2">
      <c r="A538" t="s">
        <v>559</v>
      </c>
      <c r="B538" t="str">
        <f t="shared" si="48"/>
        <v>The Source</v>
      </c>
      <c r="C538" t="str">
        <f t="shared" si="49"/>
        <v>42.983266</v>
      </c>
      <c r="D538" t="str">
        <f t="shared" si="50"/>
        <v>-81.24441</v>
      </c>
      <c r="E538" t="str">
        <f t="shared" si="51"/>
        <v>519-672-9986</v>
      </c>
      <c r="F538" t="str">
        <f t="shared" si="52"/>
        <v>N6A 3N7</v>
      </c>
      <c r="G538" t="str">
        <f t="shared" si="53"/>
        <v>[ "The Source", 42.983266, -81.24441, '519-672-9986', 'N6A 3N7'],</v>
      </c>
      <c r="H538" t="s">
        <v>1393</v>
      </c>
    </row>
    <row r="539" spans="1:8" x14ac:dyDescent="0.2">
      <c r="A539" t="s">
        <v>560</v>
      </c>
      <c r="B539" t="str">
        <f t="shared" si="48"/>
        <v>RONA</v>
      </c>
      <c r="C539" t="str">
        <f t="shared" si="49"/>
        <v>42.9911473069883</v>
      </c>
      <c r="D539" t="str">
        <f t="shared" si="50"/>
        <v>-81.3002761337478</v>
      </c>
      <c r="E539" t="str">
        <f t="shared" si="51"/>
        <v>519-471-6621</v>
      </c>
      <c r="F539" t="str">
        <f t="shared" si="52"/>
        <v>N6H 4L1</v>
      </c>
      <c r="G539" t="str">
        <f t="shared" si="53"/>
        <v>[ "RONA", 42.9911473069883, -81.3002761337478, '519-471-6621', 'N6H 4L1'],</v>
      </c>
      <c r="H539" t="s">
        <v>1394</v>
      </c>
    </row>
    <row r="540" spans="1:8" x14ac:dyDescent="0.2">
      <c r="A540" t="s">
        <v>561</v>
      </c>
      <c r="B540" t="str">
        <f t="shared" si="48"/>
        <v>Andersons Electronics Inc</v>
      </c>
      <c r="C540" t="str">
        <f t="shared" si="49"/>
        <v>43.00564</v>
      </c>
      <c r="D540" t="str">
        <f t="shared" si="50"/>
        <v>-81.34093</v>
      </c>
      <c r="E540" t="str">
        <f t="shared" si="51"/>
        <v>519-657-2063</v>
      </c>
      <c r="F540" t="str">
        <f t="shared" si="52"/>
        <v>N6H 5L8</v>
      </c>
      <c r="G540" t="str">
        <f t="shared" si="53"/>
        <v>[ "Andersons Electronics Inc", 43.00564, -81.34093, '519-657-2063', 'N6H 5L8'],</v>
      </c>
      <c r="H540" t="s">
        <v>1395</v>
      </c>
    </row>
    <row r="541" spans="1:8" x14ac:dyDescent="0.2">
      <c r="A541" t="s">
        <v>562</v>
      </c>
      <c r="B541" t="str">
        <f t="shared" si="48"/>
        <v>Lowes</v>
      </c>
      <c r="C541" t="str">
        <f t="shared" si="49"/>
        <v>43.01158</v>
      </c>
      <c r="D541" t="str">
        <f t="shared" si="50"/>
        <v>-81.33416</v>
      </c>
      <c r="E541" t="str">
        <f t="shared" si="51"/>
        <v>--</v>
      </c>
      <c r="F541" t="str">
        <f t="shared" si="52"/>
        <v>N6G 0E3</v>
      </c>
      <c r="G541" t="str">
        <f t="shared" si="53"/>
        <v>[ "Lowes", 43.01158, -81.33416, '--', 'N6G 0E3'],</v>
      </c>
      <c r="H541" t="s">
        <v>1396</v>
      </c>
    </row>
    <row r="542" spans="1:8" x14ac:dyDescent="0.2">
      <c r="A542" t="s">
        <v>563</v>
      </c>
      <c r="B542" t="str">
        <f t="shared" si="48"/>
        <v>Best Buy</v>
      </c>
      <c r="C542" t="str">
        <f t="shared" si="49"/>
        <v>43.01705</v>
      </c>
      <c r="D542" t="str">
        <f t="shared" si="50"/>
        <v>-81.27336</v>
      </c>
      <c r="E542" t="str">
        <f t="shared" si="51"/>
        <v>--</v>
      </c>
      <c r="F542" t="str">
        <f t="shared" si="52"/>
        <v>N6G 3Y9</v>
      </c>
      <c r="G542" t="str">
        <f t="shared" si="53"/>
        <v>[ "Best Buy", 43.01705, -81.27336, '--', 'N6G 3Y9'],</v>
      </c>
      <c r="H542" t="s">
        <v>1397</v>
      </c>
    </row>
    <row r="543" spans="1:8" x14ac:dyDescent="0.2">
      <c r="A543" t="s">
        <v>564</v>
      </c>
      <c r="B543" t="str">
        <f t="shared" si="48"/>
        <v>The Source</v>
      </c>
      <c r="C543" t="str">
        <f t="shared" si="49"/>
        <v>43.00147</v>
      </c>
      <c r="D543" t="str">
        <f t="shared" si="50"/>
        <v>-81.17418</v>
      </c>
      <c r="E543" t="str">
        <f t="shared" si="51"/>
        <v>519-453-2780</v>
      </c>
      <c r="F543" t="str">
        <f t="shared" si="52"/>
        <v>N5V 1P7</v>
      </c>
      <c r="G543" t="str">
        <f t="shared" si="53"/>
        <v>[ "The Source", 43.00147, -81.17418, '519-453-2780', 'N5V 1P7'],</v>
      </c>
      <c r="H543" t="s">
        <v>1372</v>
      </c>
    </row>
    <row r="544" spans="1:8" x14ac:dyDescent="0.2">
      <c r="A544" t="s">
        <v>565</v>
      </c>
      <c r="B544" t="str">
        <f t="shared" si="48"/>
        <v>Staples</v>
      </c>
      <c r="C544" t="str">
        <f t="shared" si="49"/>
        <v>43.00526</v>
      </c>
      <c r="D544" t="str">
        <f t="shared" si="50"/>
        <v>-81.17402</v>
      </c>
      <c r="E544" t="str">
        <f t="shared" si="51"/>
        <v>519-659-3428</v>
      </c>
      <c r="F544" t="str">
        <f t="shared" si="52"/>
        <v>N5V 1P7</v>
      </c>
      <c r="G544" t="str">
        <f t="shared" si="53"/>
        <v>[ "Staples", 43.00526, -81.17402, '519-659-3428', 'N5V 1P7'],</v>
      </c>
      <c r="H544" t="s">
        <v>1373</v>
      </c>
    </row>
    <row r="545" spans="1:8" x14ac:dyDescent="0.2">
      <c r="A545" t="s">
        <v>566</v>
      </c>
      <c r="B545" t="str">
        <f t="shared" si="48"/>
        <v>Home Depot</v>
      </c>
      <c r="C545" t="str">
        <f t="shared" si="49"/>
        <v>43.00669</v>
      </c>
      <c r="D545" t="str">
        <f t="shared" si="50"/>
        <v>-81.1768</v>
      </c>
      <c r="E545" t="str">
        <f t="shared" si="51"/>
        <v>519-457-5800</v>
      </c>
      <c r="F545" t="str">
        <f t="shared" si="52"/>
        <v>N5W 6H1</v>
      </c>
      <c r="G545" t="str">
        <f t="shared" si="53"/>
        <v>[ "Home Depot", 43.00669, -81.1768, '519-457-5800', 'N5W 6H1'],</v>
      </c>
      <c r="H545" t="s">
        <v>1374</v>
      </c>
    </row>
    <row r="546" spans="1:8" x14ac:dyDescent="0.2">
      <c r="A546" t="s">
        <v>567</v>
      </c>
      <c r="B546" t="str">
        <f t="shared" si="48"/>
        <v>The Source</v>
      </c>
      <c r="C546" t="str">
        <f t="shared" si="49"/>
        <v>43.02498</v>
      </c>
      <c r="D546" t="str">
        <f t="shared" si="50"/>
        <v>-81.28175</v>
      </c>
      <c r="E546" t="str">
        <f t="shared" si="51"/>
        <v>519-660-1984</v>
      </c>
      <c r="F546" t="str">
        <f t="shared" si="52"/>
        <v>N6G 3Y9</v>
      </c>
      <c r="G546" t="str">
        <f t="shared" si="53"/>
        <v>[ "The Source", 43.02498, -81.28175, '519-660-1984', 'N6G 3Y9'],</v>
      </c>
      <c r="H546" t="s">
        <v>1398</v>
      </c>
    </row>
    <row r="547" spans="1:8" x14ac:dyDescent="0.2">
      <c r="A547" t="s">
        <v>568</v>
      </c>
      <c r="B547" t="str">
        <f t="shared" si="48"/>
        <v>ListenUp! Canada</v>
      </c>
      <c r="C547" t="str">
        <f t="shared" si="49"/>
        <v>43.0254633333333</v>
      </c>
      <c r="D547" t="str">
        <f t="shared" si="50"/>
        <v>-81.2820055555556</v>
      </c>
      <c r="E547" t="str">
        <f t="shared" si="51"/>
        <v>519-667-0303</v>
      </c>
      <c r="F547" t="str">
        <f t="shared" si="52"/>
        <v>N6G 2N3</v>
      </c>
      <c r="G547" t="str">
        <f t="shared" si="53"/>
        <v>[ "ListenUp! Canada", 43.0254633333333, -81.2820055555556, '519-667-0303', 'N6G 2N3'],</v>
      </c>
      <c r="H547" t="s">
        <v>1399</v>
      </c>
    </row>
    <row r="548" spans="1:8" x14ac:dyDescent="0.2">
      <c r="A548" t="s">
        <v>569</v>
      </c>
      <c r="B548" t="str">
        <f t="shared" si="48"/>
        <v>Canadian Tire</v>
      </c>
      <c r="C548" t="str">
        <f t="shared" si="49"/>
        <v>43.0062405882353</v>
      </c>
      <c r="D548" t="str">
        <f t="shared" si="50"/>
        <v>-81.1704935294118</v>
      </c>
      <c r="E548" t="str">
        <f t="shared" si="51"/>
        <v>519-451-6260</v>
      </c>
      <c r="F548" t="str">
        <f t="shared" si="52"/>
        <v>N5V 4Y5</v>
      </c>
      <c r="G548" t="str">
        <f t="shared" si="53"/>
        <v>[ "Canadian Tire", 43.0062405882353, -81.1704935294118, '519-451-6260', 'N5V 4Y5'],</v>
      </c>
      <c r="H548" t="s">
        <v>1371</v>
      </c>
    </row>
    <row r="549" spans="1:8" x14ac:dyDescent="0.2">
      <c r="A549" t="s">
        <v>570</v>
      </c>
      <c r="B549" t="str">
        <f t="shared" si="48"/>
        <v>Staples</v>
      </c>
      <c r="C549" t="str">
        <f t="shared" si="49"/>
        <v>43.0277044897959</v>
      </c>
      <c r="D549" t="str">
        <f t="shared" si="50"/>
        <v>-81.2831842857143</v>
      </c>
      <c r="E549" t="str">
        <f t="shared" si="51"/>
        <v>519-661-0888</v>
      </c>
      <c r="F549" t="str">
        <f t="shared" si="52"/>
        <v>N5X 3Y2</v>
      </c>
      <c r="G549" t="str">
        <f t="shared" si="53"/>
        <v>[ "Staples", 43.0277044897959, -81.2831842857143, '519-661-0888', 'N5X 3Y2'],</v>
      </c>
      <c r="H549" t="s">
        <v>1400</v>
      </c>
    </row>
    <row r="550" spans="1:8" x14ac:dyDescent="0.2">
      <c r="A550" t="s">
        <v>571</v>
      </c>
      <c r="B550" t="str">
        <f t="shared" si="48"/>
        <v>Home Depot</v>
      </c>
      <c r="C550" t="str">
        <f t="shared" si="49"/>
        <v>43.034694137931</v>
      </c>
      <c r="D550" t="str">
        <f t="shared" si="50"/>
        <v>-81.2553737931034</v>
      </c>
      <c r="E550" t="str">
        <f t="shared" si="51"/>
        <v>519-850-5900</v>
      </c>
      <c r="F550" t="str">
        <f t="shared" si="52"/>
        <v>N5X 1L1</v>
      </c>
      <c r="G550" t="str">
        <f t="shared" si="53"/>
        <v>[ "Home Depot", 43.034694137931, -81.2553737931034, '519-850-5900', 'N5X 1L1'],</v>
      </c>
      <c r="H550" t="s">
        <v>1401</v>
      </c>
    </row>
    <row r="551" spans="1:8" x14ac:dyDescent="0.2">
      <c r="A551" t="s">
        <v>572</v>
      </c>
      <c r="B551" t="str">
        <f t="shared" si="48"/>
        <v>Best Buy</v>
      </c>
      <c r="C551" t="str">
        <f t="shared" si="49"/>
        <v>43.03662</v>
      </c>
      <c r="D551" t="str">
        <f t="shared" si="50"/>
        <v>-81.28786</v>
      </c>
      <c r="E551" t="str">
        <f t="shared" si="51"/>
        <v>519-963-8494</v>
      </c>
      <c r="F551" t="str">
        <f t="shared" si="52"/>
        <v>N5X 3Y2</v>
      </c>
      <c r="G551" t="str">
        <f t="shared" si="53"/>
        <v>[ "Best Buy", 43.03662, -81.28786, '519-963-8494', 'N5X 3Y2'],</v>
      </c>
      <c r="H551" t="s">
        <v>1402</v>
      </c>
    </row>
    <row r="552" spans="1:8" x14ac:dyDescent="0.2">
      <c r="A552" t="s">
        <v>573</v>
      </c>
      <c r="B552" t="str">
        <f t="shared" si="48"/>
        <v>Municipality of Dutton/Dunwich</v>
      </c>
      <c r="C552" t="str">
        <f t="shared" si="49"/>
        <v>42.66374</v>
      </c>
      <c r="D552" t="str">
        <f t="shared" si="50"/>
        <v>-81.50269</v>
      </c>
      <c r="E552" t="str">
        <f t="shared" si="51"/>
        <v>519-762-2204</v>
      </c>
      <c r="F552" t="str">
        <f t="shared" si="52"/>
        <v>N0L 1J0</v>
      </c>
      <c r="G552" t="str">
        <f t="shared" si="53"/>
        <v>[ "Municipality of Dutton/Dunwich", 42.66374, -81.50269, '519-762-2204', 'N0L 1J0'],</v>
      </c>
      <c r="H552" t="s">
        <v>1403</v>
      </c>
    </row>
    <row r="553" spans="1:8" x14ac:dyDescent="0.2">
      <c r="A553" t="s">
        <v>574</v>
      </c>
      <c r="B553" t="str">
        <f t="shared" si="48"/>
        <v>Dutton Dunwich Community Centre</v>
      </c>
      <c r="C553" t="str">
        <f t="shared" si="49"/>
        <v>42.66185</v>
      </c>
      <c r="D553" t="str">
        <f t="shared" si="50"/>
        <v>-81.50551</v>
      </c>
      <c r="E553" t="str">
        <f t="shared" si="51"/>
        <v>519-762-2204</v>
      </c>
      <c r="F553" t="str">
        <f t="shared" si="52"/>
        <v>N0L 1J0</v>
      </c>
      <c r="G553" t="str">
        <f t="shared" si="53"/>
        <v>[ "Dutton Dunwich Community Centre", 42.66185, -81.50551, '519-762-2204', 'N0L 1J0'],</v>
      </c>
      <c r="H553" t="s">
        <v>1404</v>
      </c>
    </row>
    <row r="554" spans="1:8" x14ac:dyDescent="0.2">
      <c r="A554" t="s">
        <v>575</v>
      </c>
      <c r="B554" t="str">
        <f t="shared" si="48"/>
        <v>John Kenneth Galbraith Reference Library</v>
      </c>
      <c r="C554" t="str">
        <f t="shared" si="49"/>
        <v>42.6617606666667</v>
      </c>
      <c r="D554" t="str">
        <f t="shared" si="50"/>
        <v>-81.5026606666667</v>
      </c>
      <c r="E554" t="str">
        <f t="shared" si="51"/>
        <v>519-762-2204</v>
      </c>
      <c r="F554" t="str">
        <f t="shared" si="52"/>
        <v>N0L 1J0</v>
      </c>
      <c r="G554" t="str">
        <f t="shared" si="53"/>
        <v>[ "John Kenneth Galbraith Reference Library", 42.6617606666667, -81.5026606666667, '519-762-2204', 'N0L 1J0'],</v>
      </c>
      <c r="H554" t="s">
        <v>1405</v>
      </c>
    </row>
    <row r="555" spans="1:8" x14ac:dyDescent="0.2">
      <c r="A555" t="s">
        <v>576</v>
      </c>
      <c r="B555" t="str">
        <f t="shared" si="48"/>
        <v>Mcnaughton Home Hardware Building Centre</v>
      </c>
      <c r="C555" t="str">
        <f t="shared" si="49"/>
        <v>42.6814763636364</v>
      </c>
      <c r="D555" t="str">
        <f t="shared" si="50"/>
        <v>-81.7933845454545</v>
      </c>
      <c r="E555" t="str">
        <f t="shared" si="51"/>
        <v>519-693-4449</v>
      </c>
      <c r="F555" t="str">
        <f t="shared" si="52"/>
        <v>N0L 1Z0</v>
      </c>
      <c r="G555" t="str">
        <f t="shared" si="53"/>
        <v>[ "Mcnaughton Home Hardware Building Centre", 42.6814763636364, -81.7933845454545, '519-693-4449', 'N0L 1Z0'],</v>
      </c>
      <c r="H555" t="s">
        <v>1406</v>
      </c>
    </row>
    <row r="556" spans="1:8" x14ac:dyDescent="0.2">
      <c r="A556" t="s">
        <v>577</v>
      </c>
      <c r="B556" t="str">
        <f t="shared" si="48"/>
        <v>Newbury Community Services</v>
      </c>
      <c r="C556" t="str">
        <f t="shared" si="49"/>
        <v>42.6846520044148</v>
      </c>
      <c r="D556" t="str">
        <f t="shared" si="50"/>
        <v>-81.7995860132445</v>
      </c>
      <c r="E556" t="str">
        <f t="shared" si="51"/>
        <v>519-693-4941</v>
      </c>
      <c r="F556" t="str">
        <f t="shared" si="52"/>
        <v>N0L 1Z0</v>
      </c>
      <c r="G556" t="str">
        <f t="shared" si="53"/>
        <v>[ "Newbury Community Services", 42.6846520044148, -81.7995860132445, '519-693-4941', 'N0L 1Z0'],</v>
      </c>
      <c r="H556" t="s">
        <v>1407</v>
      </c>
    </row>
    <row r="557" spans="1:8" x14ac:dyDescent="0.2">
      <c r="A557" t="s">
        <v>578</v>
      </c>
      <c r="B557" t="str">
        <f t="shared" si="48"/>
        <v>Staples</v>
      </c>
      <c r="C557" t="str">
        <f t="shared" si="49"/>
        <v>42.9470654794521</v>
      </c>
      <c r="D557" t="str">
        <f t="shared" si="50"/>
        <v>-81.6128139726027</v>
      </c>
      <c r="E557" t="str">
        <f t="shared" si="51"/>
        <v>519-245-5665</v>
      </c>
      <c r="F557" t="str">
        <f t="shared" si="52"/>
        <v>N7G 2P5</v>
      </c>
      <c r="G557" t="str">
        <f t="shared" si="53"/>
        <v>[ "Staples", 42.9470654794521, -81.6128139726027, '519-245-5665', 'N7G 2P5'],</v>
      </c>
      <c r="H557" t="s">
        <v>1408</v>
      </c>
    </row>
    <row r="558" spans="1:8" x14ac:dyDescent="0.2">
      <c r="A558" t="s">
        <v>579</v>
      </c>
      <c r="B558" t="str">
        <f t="shared" si="48"/>
        <v>Spectrum Communications</v>
      </c>
      <c r="C558" t="str">
        <f t="shared" si="49"/>
        <v>42.960192</v>
      </c>
      <c r="D558" t="str">
        <f t="shared" si="50"/>
        <v>-82.357514</v>
      </c>
      <c r="E558" t="str">
        <f t="shared" si="51"/>
        <v>519-332-4224</v>
      </c>
      <c r="F558" t="str">
        <f t="shared" si="52"/>
        <v>N7S 5P1</v>
      </c>
      <c r="G558" t="str">
        <f t="shared" si="53"/>
        <v>[ "Spectrum Communications", 42.960192, -82.357514, '519-332-4224', 'N7S 5P1'],</v>
      </c>
      <c r="H558" t="s">
        <v>1409</v>
      </c>
    </row>
    <row r="559" spans="1:8" x14ac:dyDescent="0.2">
      <c r="A559" t="s">
        <v>580</v>
      </c>
      <c r="B559" t="str">
        <f t="shared" si="48"/>
        <v>Gregs Electronics</v>
      </c>
      <c r="C559" t="str">
        <f t="shared" si="49"/>
        <v>42.8141918309859</v>
      </c>
      <c r="D559" t="str">
        <f t="shared" si="50"/>
        <v>-81.9824474647887</v>
      </c>
      <c r="E559" t="str">
        <f t="shared" si="51"/>
        <v>519-844-2442</v>
      </c>
      <c r="F559" t="str">
        <f t="shared" si="52"/>
        <v>N0N 1K0</v>
      </c>
      <c r="G559" t="str">
        <f t="shared" si="53"/>
        <v>[ "Gregs Electronics", 42.8141918309859, -81.9824474647887, '519-844-2442', 'N0N 1K0'],</v>
      </c>
      <c r="H559" t="s">
        <v>1410</v>
      </c>
    </row>
    <row r="560" spans="1:8" x14ac:dyDescent="0.2">
      <c r="A560" t="s">
        <v>581</v>
      </c>
      <c r="B560" t="str">
        <f t="shared" si="48"/>
        <v>Lambton County Administration Building</v>
      </c>
      <c r="C560" t="str">
        <f t="shared" si="49"/>
        <v>42.9590421810257</v>
      </c>
      <c r="D560" t="str">
        <f t="shared" si="50"/>
        <v>-82.1184700008745</v>
      </c>
      <c r="E560" t="str">
        <f t="shared" si="51"/>
        <v>519-845-0801</v>
      </c>
      <c r="F560" t="str">
        <f t="shared" si="52"/>
        <v>N0N 1T0</v>
      </c>
      <c r="G560" t="str">
        <f t="shared" si="53"/>
        <v>[ "Lambton County Administration Building", 42.9590421810257, -82.1184700008745, '519-845-0801', 'N0N 1T0'],</v>
      </c>
      <c r="H560" t="s">
        <v>1411</v>
      </c>
    </row>
    <row r="561" spans="1:8" x14ac:dyDescent="0.2">
      <c r="A561" t="s">
        <v>582</v>
      </c>
      <c r="B561" t="str">
        <f t="shared" si="48"/>
        <v>Staples</v>
      </c>
      <c r="C561" t="str">
        <f t="shared" si="49"/>
        <v>42.98041</v>
      </c>
      <c r="D561" t="str">
        <f t="shared" si="50"/>
        <v>-82.35197</v>
      </c>
      <c r="E561" t="str">
        <f t="shared" si="51"/>
        <v>519-542-4461</v>
      </c>
      <c r="F561" t="str">
        <f t="shared" si="52"/>
        <v>N7S 1P6</v>
      </c>
      <c r="G561" t="str">
        <f t="shared" si="53"/>
        <v>[ "Staples", 42.98041, -82.35197, '519-542-4461', 'N7S 1P6'],</v>
      </c>
      <c r="H561" t="s">
        <v>1412</v>
      </c>
    </row>
    <row r="562" spans="1:8" x14ac:dyDescent="0.2">
      <c r="A562" t="s">
        <v>583</v>
      </c>
      <c r="B562" t="str">
        <f t="shared" si="48"/>
        <v>Staples Canada</v>
      </c>
      <c r="C562" t="str">
        <f t="shared" si="49"/>
        <v>42.98041</v>
      </c>
      <c r="D562" t="str">
        <f t="shared" si="50"/>
        <v>-82.35197</v>
      </c>
      <c r="E562" t="str">
        <f t="shared" si="51"/>
        <v>519-542-3639</v>
      </c>
      <c r="F562" t="str">
        <f t="shared" si="52"/>
        <v>N7S 1P6</v>
      </c>
      <c r="G562" t="str">
        <f t="shared" si="53"/>
        <v>[ "Staples Canada", 42.98041, -82.35197, '519-542-3639', 'N7S 1P6'],</v>
      </c>
      <c r="H562" t="s">
        <v>1413</v>
      </c>
    </row>
    <row r="563" spans="1:8" x14ac:dyDescent="0.2">
      <c r="A563" t="s">
        <v>584</v>
      </c>
      <c r="B563" t="str">
        <f t="shared" si="48"/>
        <v>The Source</v>
      </c>
      <c r="C563" t="str">
        <f t="shared" si="49"/>
        <v>42.9803011111111</v>
      </c>
      <c r="D563" t="str">
        <f t="shared" si="50"/>
        <v>-82.3531288888889</v>
      </c>
      <c r="E563" t="str">
        <f t="shared" si="51"/>
        <v>519-541-9543</v>
      </c>
      <c r="F563" t="str">
        <f t="shared" si="52"/>
        <v>N7S 1P8</v>
      </c>
      <c r="G563" t="str">
        <f t="shared" si="53"/>
        <v>[ "The Source", 42.9803011111111, -82.3531288888889, '519-541-9543', 'N7S 1P8'],</v>
      </c>
      <c r="H563" t="s">
        <v>1414</v>
      </c>
    </row>
    <row r="564" spans="1:8" x14ac:dyDescent="0.2">
      <c r="A564" t="s">
        <v>585</v>
      </c>
      <c r="B564" t="str">
        <f t="shared" si="48"/>
        <v>Sears (Canada)</v>
      </c>
      <c r="C564" t="str">
        <f t="shared" si="49"/>
        <v>42.9803011111111</v>
      </c>
      <c r="D564" t="str">
        <f t="shared" si="50"/>
        <v>-82.3531288888889</v>
      </c>
      <c r="E564" t="str">
        <f t="shared" si="51"/>
        <v>519-542-2121</v>
      </c>
      <c r="F564" t="str">
        <f t="shared" si="52"/>
        <v>N7S 6L7</v>
      </c>
      <c r="G564" t="str">
        <f t="shared" si="53"/>
        <v>[ "Sears (Canada)", 42.9803011111111, -82.3531288888889, '519-542-2121', 'N7S 6L7'],</v>
      </c>
      <c r="H564" t="s">
        <v>1415</v>
      </c>
    </row>
    <row r="565" spans="1:8" x14ac:dyDescent="0.2">
      <c r="A565" t="s">
        <v>586</v>
      </c>
      <c r="B565" t="str">
        <f t="shared" si="48"/>
        <v>The Source</v>
      </c>
      <c r="C565" t="str">
        <f t="shared" si="49"/>
        <v>42.4152357142857</v>
      </c>
      <c r="D565" t="str">
        <f t="shared" si="50"/>
        <v>-82.2002357142857</v>
      </c>
      <c r="E565" t="str">
        <f t="shared" si="51"/>
        <v>519-351-4001</v>
      </c>
      <c r="F565" t="str">
        <f t="shared" si="52"/>
        <v>N7L 3K5</v>
      </c>
      <c r="G565" t="str">
        <f t="shared" si="53"/>
        <v>[ "The Source", 42.4152357142857, -82.2002357142857, '519-351-4001', 'N7L 3K5'],</v>
      </c>
      <c r="H565" t="s">
        <v>1416</v>
      </c>
    </row>
    <row r="566" spans="1:8" x14ac:dyDescent="0.2">
      <c r="A566" t="s">
        <v>587</v>
      </c>
      <c r="B566" t="str">
        <f t="shared" si="48"/>
        <v>ListenUp! Canada</v>
      </c>
      <c r="C566" t="str">
        <f t="shared" si="49"/>
        <v>42.4068083</v>
      </c>
      <c r="D566" t="str">
        <f t="shared" si="50"/>
        <v>-82.1923201</v>
      </c>
      <c r="E566" t="str">
        <f t="shared" si="51"/>
        <v>519-351-1810</v>
      </c>
      <c r="F566" t="str">
        <f t="shared" si="52"/>
        <v>N7L 1B5</v>
      </c>
      <c r="G566" t="str">
        <f t="shared" si="53"/>
        <v>[ "ListenUp! Canada", 42.4068083, -82.1923201, '519-351-1810', 'N7L 1B5'],</v>
      </c>
      <c r="H566" t="s">
        <v>1417</v>
      </c>
    </row>
    <row r="567" spans="1:8" x14ac:dyDescent="0.2">
      <c r="A567" t="s">
        <v>588</v>
      </c>
      <c r="B567" t="str">
        <f t="shared" si="48"/>
        <v>Staples</v>
      </c>
      <c r="C567" t="str">
        <f t="shared" si="49"/>
        <v>42.4294472916667</v>
      </c>
      <c r="D567" t="str">
        <f t="shared" si="50"/>
        <v>-82.2177283333333</v>
      </c>
      <c r="E567" t="str">
        <f t="shared" si="51"/>
        <v>519-360-1344</v>
      </c>
      <c r="F567" t="str">
        <f t="shared" si="52"/>
        <v>N7L 0E8</v>
      </c>
      <c r="G567" t="str">
        <f t="shared" si="53"/>
        <v>[ "Staples", 42.4294472916667, -82.2177283333333, '519-360-1344', 'N7L 0E8'],</v>
      </c>
      <c r="H567" t="s">
        <v>1418</v>
      </c>
    </row>
    <row r="568" spans="1:8" x14ac:dyDescent="0.2">
      <c r="A568" t="s">
        <v>589</v>
      </c>
      <c r="B568" t="str">
        <f t="shared" si="48"/>
        <v>Home Depot</v>
      </c>
      <c r="C568" t="str">
        <f t="shared" si="49"/>
        <v>42.432877979798</v>
      </c>
      <c r="D568" t="str">
        <f t="shared" si="50"/>
        <v>-82.2240496969697</v>
      </c>
      <c r="E568" t="str">
        <f t="shared" si="51"/>
        <v>519-380-2040</v>
      </c>
      <c r="F568" t="str">
        <f t="shared" si="52"/>
        <v>N7M 5J1</v>
      </c>
      <c r="G568" t="str">
        <f t="shared" si="53"/>
        <v>[ "Home Depot", 42.432877979798, -82.2240496969697, '519-380-2040', 'N7M 5J1'],</v>
      </c>
      <c r="H568" t="s">
        <v>1419</v>
      </c>
    </row>
    <row r="569" spans="1:8" x14ac:dyDescent="0.2">
      <c r="A569" t="s">
        <v>590</v>
      </c>
      <c r="B569" t="str">
        <f t="shared" si="48"/>
        <v>Chatham-Kent Home Hardware Bldg Ctr</v>
      </c>
      <c r="C569" t="str">
        <f t="shared" si="49"/>
        <v>42.3907847058824</v>
      </c>
      <c r="D569" t="str">
        <f t="shared" si="50"/>
        <v>-82.2059329411765</v>
      </c>
      <c r="E569" t="str">
        <f t="shared" si="51"/>
        <v>519-354-0700</v>
      </c>
      <c r="F569" t="str">
        <f t="shared" si="52"/>
        <v>N7M 3H1</v>
      </c>
      <c r="G569" t="str">
        <f t="shared" si="53"/>
        <v>[ "Chatham-Kent Home Hardware Bldg Ctr", 42.3907847058824, -82.2059329411765, '519-354-0700', 'N7M 3H1'],</v>
      </c>
      <c r="H569" t="s">
        <v>1420</v>
      </c>
    </row>
    <row r="570" spans="1:8" x14ac:dyDescent="0.2">
      <c r="A570" t="s">
        <v>592</v>
      </c>
      <c r="B570" t="str">
        <f t="shared" si="48"/>
        <v>Chatham-Kent Home Hardware Bldg Ctr</v>
      </c>
      <c r="C570" t="str">
        <f t="shared" si="49"/>
        <v>42.3907847058824</v>
      </c>
      <c r="D570" t="str">
        <f t="shared" si="50"/>
        <v>-82.2059329411765</v>
      </c>
      <c r="E570" t="str">
        <f t="shared" si="51"/>
        <v>519-354-0700</v>
      </c>
      <c r="F570" t="str">
        <f t="shared" si="52"/>
        <v>N7M 3H1</v>
      </c>
      <c r="G570" t="str">
        <f t="shared" si="53"/>
        <v>[ "Chatham-Kent Home Hardware Bldg Ctr", 42.3907847058824, -82.2059329411765, '519-354-0700', 'N7M 3H1'],</v>
      </c>
      <c r="H570" t="s">
        <v>1420</v>
      </c>
    </row>
    <row r="571" spans="1:8" x14ac:dyDescent="0.2">
      <c r="A571" t="s">
        <v>594</v>
      </c>
      <c r="B571" t="str">
        <f t="shared" si="48"/>
        <v>ListenUp! Canada</v>
      </c>
      <c r="C571" t="str">
        <f t="shared" si="49"/>
        <v>42.0384704540773</v>
      </c>
      <c r="D571" t="str">
        <f t="shared" si="50"/>
        <v>-82.7256786274688</v>
      </c>
      <c r="E571" t="str">
        <f t="shared" si="51"/>
        <v>519-733-3331</v>
      </c>
      <c r="F571" t="str">
        <f t="shared" si="52"/>
        <v>N9Y 1A7</v>
      </c>
      <c r="G571" t="str">
        <f t="shared" si="53"/>
        <v>[ "ListenUp! Canada", 42.0384704540773, -82.7256786274688, '519-733-3331', 'N9Y 1A7'],</v>
      </c>
      <c r="H571" t="s">
        <v>1421</v>
      </c>
    </row>
    <row r="572" spans="1:8" x14ac:dyDescent="0.2">
      <c r="A572" t="s">
        <v>595</v>
      </c>
      <c r="B572" t="str">
        <f t="shared" si="48"/>
        <v>Ontario Clean Water Agency - Essex East (North) Hub</v>
      </c>
      <c r="C572" t="str">
        <f t="shared" si="49"/>
        <v>42.2899317647059</v>
      </c>
      <c r="D572" t="str">
        <f t="shared" si="50"/>
        <v>-82.7344741176471</v>
      </c>
      <c r="E572" t="str">
        <f t="shared" si="51"/>
        <v>519-727-6256</v>
      </c>
      <c r="F572" t="str">
        <f t="shared" si="52"/>
        <v>N0R 1A0</v>
      </c>
      <c r="G572" t="str">
        <f t="shared" si="53"/>
        <v>[ "Ontario Clean Water Agency - Essex East (North) Hub", 42.2899317647059, -82.7344741176471, '519-727-6256', 'N0R 1A0'],</v>
      </c>
      <c r="H572" t="s">
        <v>1422</v>
      </c>
    </row>
    <row r="573" spans="1:8" x14ac:dyDescent="0.2">
      <c r="A573" t="s">
        <v>596</v>
      </c>
      <c r="B573" t="str">
        <f t="shared" si="48"/>
        <v>RONA</v>
      </c>
      <c r="C573" t="str">
        <f t="shared" si="49"/>
        <v>42.0475540404885</v>
      </c>
      <c r="D573" t="str">
        <f t="shared" si="50"/>
        <v>-82.6224780931071</v>
      </c>
      <c r="E573" t="str">
        <f t="shared" si="51"/>
        <v>519-322-4908</v>
      </c>
      <c r="F573" t="str">
        <f t="shared" si="52"/>
        <v>N8H 4H3</v>
      </c>
      <c r="G573" t="str">
        <f t="shared" si="53"/>
        <v>[ "RONA", 42.0475540404885, -82.6224780931071, '519-322-4908', 'N8H 4H3'],</v>
      </c>
      <c r="H573" t="s">
        <v>1423</v>
      </c>
    </row>
    <row r="574" spans="1:8" x14ac:dyDescent="0.2">
      <c r="A574" t="s">
        <v>597</v>
      </c>
      <c r="B574" t="str">
        <f t="shared" si="48"/>
        <v>The Source</v>
      </c>
      <c r="C574" t="str">
        <f t="shared" si="49"/>
        <v>42.0376591564033</v>
      </c>
      <c r="D574" t="str">
        <f t="shared" si="50"/>
        <v>-82.6008447851261</v>
      </c>
      <c r="E574" t="str">
        <f t="shared" si="51"/>
        <v>519-326-5009</v>
      </c>
      <c r="F574" t="str">
        <f t="shared" si="52"/>
        <v>N8H 3C4</v>
      </c>
      <c r="G574" t="str">
        <f t="shared" si="53"/>
        <v>[ "The Source", 42.0376591564033, -82.6008447851261, '519-326-5009', 'N8H 3C4'],</v>
      </c>
      <c r="H574" t="s">
        <v>1424</v>
      </c>
    </row>
    <row r="575" spans="1:8" x14ac:dyDescent="0.2">
      <c r="A575" t="s">
        <v>598</v>
      </c>
      <c r="B575" t="str">
        <f t="shared" si="48"/>
        <v>Staples</v>
      </c>
      <c r="C575" t="str">
        <f t="shared" si="49"/>
        <v>42.0337584782609</v>
      </c>
      <c r="D575" t="str">
        <f t="shared" si="50"/>
        <v>-82.5972702173913</v>
      </c>
      <c r="E575" t="str">
        <f t="shared" si="51"/>
        <v>519-324-1370</v>
      </c>
      <c r="F575" t="str">
        <f t="shared" si="52"/>
        <v>N8H 2L2</v>
      </c>
      <c r="G575" t="str">
        <f t="shared" si="53"/>
        <v>[ "Staples", 42.0337584782609, -82.5972702173913, '519-324-1370', 'N8H 2L2'],</v>
      </c>
      <c r="H575" t="s">
        <v>1425</v>
      </c>
    </row>
    <row r="576" spans="1:8" x14ac:dyDescent="0.2">
      <c r="A576" t="s">
        <v>599</v>
      </c>
      <c r="B576" t="str">
        <f t="shared" si="48"/>
        <v>The Source</v>
      </c>
      <c r="C576" t="str">
        <f t="shared" si="49"/>
        <v>42.307187272484</v>
      </c>
      <c r="D576" t="str">
        <f t="shared" si="50"/>
        <v>-82.8677227087863</v>
      </c>
      <c r="E576" t="str">
        <f t="shared" si="51"/>
        <v>519-735-6131</v>
      </c>
      <c r="F576" t="str">
        <f t="shared" si="52"/>
        <v>N9K 1C7</v>
      </c>
      <c r="G576" t="str">
        <f t="shared" si="53"/>
        <v>[ "The Source", 42.307187272484, -82.8677227087863, '519-735-6131', 'N9K 1C7'],</v>
      </c>
      <c r="H576" t="s">
        <v>1426</v>
      </c>
    </row>
    <row r="577" spans="1:8" x14ac:dyDescent="0.2">
      <c r="A577" t="s">
        <v>600</v>
      </c>
      <c r="B577" t="str">
        <f t="shared" ref="B577:B640" si="54">MID(A577,SEARCH("name"&amp;CHAR(34)&amp;":"&amp;CHAR(34),A577)+7,SEARCH(CHAR(34)&amp;", "&amp;CHAR(34)&amp;"locationlinkurl",A577)-SEARCH("name"&amp;CHAR(34)&amp;":"&amp;CHAR(34),A577)-7)</f>
        <v>ListenUp! Canada</v>
      </c>
      <c r="C577" t="str">
        <f t="shared" ref="C577:C640" si="55">MID(A577,SEARCH(CHAR(34)&amp;"latitude"&amp;CHAR(34)&amp;":"&amp;CHAR(34),A577)+12,SEARCH(CHAR(34)&amp;", "&amp;CHAR(34)&amp;"url"&amp;CHAR(34),A577)-SEARCH(CHAR(34)&amp;"latitude"&amp;CHAR(34)&amp;":"&amp;CHAR(34),A577)-12)</f>
        <v>42.30635875</v>
      </c>
      <c r="D577" t="str">
        <f t="shared" ref="D577:D640" si="56">MID(A577,SEARCH(CHAR(34)&amp;"longitude"&amp;CHAR(34)&amp;":"&amp;CHAR(34),A577)+13,SEARCH(CHAR(34)&amp;", "&amp;CHAR(34)&amp;"uid"&amp;CHAR(34),A577)-SEARCH(CHAR(34)&amp;"longitude"&amp;CHAR(34)&amp;":"&amp;CHAR(34),A577)-13)</f>
        <v>-82.8849108333333</v>
      </c>
      <c r="E577" t="str">
        <f t="shared" ref="E577:E640" si="57">MID(A577,SEARCH(CHAR(34)&amp;"phone"&amp;CHAR(34)&amp;":"&amp;CHAR(34),A577)+9,SEARCH(CHAR(34)&amp;", "&amp;CHAR(34)&amp;"address2"&amp;CHAR(34),A577)-SEARCH(CHAR(34)&amp;"phone"&amp;CHAR(34)&amp;":"&amp;CHAR(34),A577)-9)</f>
        <v>519-735-6966</v>
      </c>
      <c r="F577" t="str">
        <f t="shared" ref="F577:F640" si="58">MID(A577,SEARCH(CHAR(34)&amp;"postalcode"&amp;CHAR(34)&amp;":"&amp;CHAR(34),A577)+14,SEARCH(CHAR(34)&amp;", "&amp;CHAR(34)&amp;"province"&amp;CHAR(34),A577)-SEARCH(CHAR(34)&amp;"postalcode"&amp;CHAR(34)&amp;":"&amp;CHAR(34),A577)-14)</f>
        <v>N8N 1Y3</v>
      </c>
      <c r="G577" t="str">
        <f t="shared" ref="G577:G640" si="59">"[ "&amp;CHAR(34)&amp;B577&amp;CHAR(34)&amp;", "&amp;C577&amp;", "&amp;D577&amp;", '"&amp;E577&amp;"', '"&amp;F577&amp;"'],"</f>
        <v>[ "ListenUp! Canada", 42.30635875, -82.8849108333333, '519-735-6966', 'N8N 1Y3'],</v>
      </c>
      <c r="H577" t="s">
        <v>1427</v>
      </c>
    </row>
    <row r="578" spans="1:8" x14ac:dyDescent="0.2">
      <c r="A578" t="s">
        <v>601</v>
      </c>
      <c r="B578" t="str">
        <f t="shared" si="54"/>
        <v>Princess Auto</v>
      </c>
      <c r="C578" t="str">
        <f t="shared" si="55"/>
        <v>42.2986560494708</v>
      </c>
      <c r="D578" t="str">
        <f t="shared" si="56"/>
        <v>-82.9251618054316</v>
      </c>
      <c r="E578" t="str">
        <f t="shared" si="57"/>
        <v>519-974-1261</v>
      </c>
      <c r="F578" t="str">
        <f t="shared" si="58"/>
        <v>N8T 0A3</v>
      </c>
      <c r="G578" t="str">
        <f t="shared" si="59"/>
        <v>[ "Princess Auto", 42.2986560494708, -82.9251618054316, '519-974-1261', 'N8T 0A3'],</v>
      </c>
      <c r="H578" t="s">
        <v>1428</v>
      </c>
    </row>
    <row r="579" spans="1:8" x14ac:dyDescent="0.2">
      <c r="A579" t="s">
        <v>602</v>
      </c>
      <c r="B579" t="str">
        <f t="shared" si="54"/>
        <v>Staples</v>
      </c>
      <c r="C579" t="str">
        <f t="shared" si="55"/>
        <v>42.2549034080717</v>
      </c>
      <c r="D579" t="str">
        <f t="shared" si="56"/>
        <v>-82.9641382959641</v>
      </c>
      <c r="E579" t="str">
        <f t="shared" si="57"/>
        <v>519-972-5127</v>
      </c>
      <c r="F579" t="str">
        <f t="shared" si="58"/>
        <v>N8W 3T6</v>
      </c>
      <c r="G579" t="str">
        <f t="shared" si="59"/>
        <v>[ "Staples", 42.2549034080717, -82.9641382959641, '519-972-5127', 'N8W 3T6'],</v>
      </c>
      <c r="H579" t="s">
        <v>1429</v>
      </c>
    </row>
    <row r="580" spans="1:8" x14ac:dyDescent="0.2">
      <c r="A580" t="s">
        <v>604</v>
      </c>
      <c r="B580" t="str">
        <f t="shared" si="54"/>
        <v>Staples</v>
      </c>
      <c r="C580" t="str">
        <f t="shared" si="55"/>
        <v>42.2549034080717</v>
      </c>
      <c r="D580" t="str">
        <f t="shared" si="56"/>
        <v>-82.9641382959641</v>
      </c>
      <c r="E580" t="str">
        <f t="shared" si="57"/>
        <v>519-972-5127</v>
      </c>
      <c r="F580" t="str">
        <f t="shared" si="58"/>
        <v>N8W 3T6</v>
      </c>
      <c r="G580" t="str">
        <f t="shared" si="59"/>
        <v>[ "Staples", 42.2549034080717, -82.9641382959641, '519-972-5127', 'N8W 3T6'],</v>
      </c>
      <c r="H580" t="s">
        <v>1429</v>
      </c>
    </row>
    <row r="581" spans="1:8" x14ac:dyDescent="0.2">
      <c r="A581" t="s">
        <v>605</v>
      </c>
      <c r="B581" t="str">
        <f t="shared" si="54"/>
        <v>Home Depot</v>
      </c>
      <c r="C581" t="str">
        <f t="shared" si="55"/>
        <v>42.2623589795918</v>
      </c>
      <c r="D581" t="str">
        <f t="shared" si="56"/>
        <v>-82.973536122449</v>
      </c>
      <c r="E581" t="str">
        <f t="shared" si="57"/>
        <v>519-967-3700</v>
      </c>
      <c r="F581" t="str">
        <f t="shared" si="58"/>
        <v>N8W 1Z7</v>
      </c>
      <c r="G581" t="str">
        <f t="shared" si="59"/>
        <v>[ "Home Depot", 42.2623589795918, -82.973536122449, '519-967-3700', 'N8W 1Z7'],</v>
      </c>
      <c r="H581" t="s">
        <v>1430</v>
      </c>
    </row>
    <row r="582" spans="1:8" x14ac:dyDescent="0.2">
      <c r="A582" t="s">
        <v>606</v>
      </c>
      <c r="B582" t="str">
        <f t="shared" si="54"/>
        <v>Sears (Canada)</v>
      </c>
      <c r="C582" t="str">
        <f t="shared" si="55"/>
        <v>42.2742911889364</v>
      </c>
      <c r="D582" t="str">
        <f t="shared" si="56"/>
        <v>-83.0051525767869</v>
      </c>
      <c r="E582" t="str">
        <f t="shared" si="57"/>
        <v>519-966-2822</v>
      </c>
      <c r="F582" t="str">
        <f t="shared" si="58"/>
        <v>N8X 3Y7</v>
      </c>
      <c r="G582" t="str">
        <f t="shared" si="59"/>
        <v>[ "Sears (Canada)", 42.2742911889364, -83.0051525767869, '519-966-2822', 'N8X 3Y7'],</v>
      </c>
      <c r="H582" t="s">
        <v>1431</v>
      </c>
    </row>
    <row r="583" spans="1:8" x14ac:dyDescent="0.2">
      <c r="A583" t="s">
        <v>607</v>
      </c>
      <c r="B583" t="str">
        <f t="shared" si="54"/>
        <v>Franklin Empire</v>
      </c>
      <c r="C583" t="str">
        <f t="shared" si="55"/>
        <v>42.28679</v>
      </c>
      <c r="D583" t="str">
        <f t="shared" si="56"/>
        <v>-82.95502</v>
      </c>
      <c r="E583" t="str">
        <f t="shared" si="57"/>
        <v>519-945-7550</v>
      </c>
      <c r="F583" t="str">
        <f t="shared" si="58"/>
        <v>N8N 2M1</v>
      </c>
      <c r="G583" t="str">
        <f t="shared" si="59"/>
        <v>[ "Franklin Empire", 42.28679, -82.95502, '519-945-7550', 'N8N 2M1'],</v>
      </c>
      <c r="H583" t="s">
        <v>1432</v>
      </c>
    </row>
    <row r="584" spans="1:8" x14ac:dyDescent="0.2">
      <c r="A584" t="s">
        <v>608</v>
      </c>
      <c r="B584" t="str">
        <f t="shared" si="54"/>
        <v>The Source</v>
      </c>
      <c r="C584" t="str">
        <f t="shared" si="55"/>
        <v>42.09741</v>
      </c>
      <c r="D584" t="str">
        <f t="shared" si="56"/>
        <v>-83.10814</v>
      </c>
      <c r="E584" t="str">
        <f t="shared" si="57"/>
        <v>519-736-7153</v>
      </c>
      <c r="F584" t="str">
        <f t="shared" si="58"/>
        <v>N9V 3L4</v>
      </c>
      <c r="G584" t="str">
        <f t="shared" si="59"/>
        <v>[ "The Source", 42.09741, -83.10814, '519-736-7153', 'N9V 3L4'],</v>
      </c>
      <c r="H584" t="s">
        <v>1433</v>
      </c>
    </row>
    <row r="585" spans="1:8" x14ac:dyDescent="0.2">
      <c r="A585" t="s">
        <v>609</v>
      </c>
      <c r="B585" t="str">
        <f t="shared" si="54"/>
        <v>The Corporation of the Town of Amherstburg</v>
      </c>
      <c r="C585" t="str">
        <f t="shared" si="55"/>
        <v>42.093229349766</v>
      </c>
      <c r="D585" t="str">
        <f t="shared" si="56"/>
        <v>-83.1077009589504</v>
      </c>
      <c r="E585" t="str">
        <f t="shared" si="57"/>
        <v>519-736-3664</v>
      </c>
      <c r="F585" t="str">
        <f t="shared" si="58"/>
        <v>N9V 3R2</v>
      </c>
      <c r="G585" t="str">
        <f t="shared" si="59"/>
        <v>[ "The Corporation of the Town of Amherstburg", 42.093229349766, -83.1077009589504, '519-736-3664', 'N9V 3R2'],</v>
      </c>
      <c r="H585" t="s">
        <v>1434</v>
      </c>
    </row>
    <row r="586" spans="1:8" x14ac:dyDescent="0.2">
      <c r="A586" t="s">
        <v>610</v>
      </c>
      <c r="B586" t="str">
        <f t="shared" si="54"/>
        <v>Staples</v>
      </c>
      <c r="C586" t="str">
        <f t="shared" si="55"/>
        <v>42.2851328123105</v>
      </c>
      <c r="D586" t="str">
        <f t="shared" si="56"/>
        <v>-83.0182925347012</v>
      </c>
      <c r="E586" t="str">
        <f t="shared" si="57"/>
        <v>519-966-9495</v>
      </c>
      <c r="F586" t="str">
        <f t="shared" si="58"/>
        <v>N8X 1L7</v>
      </c>
      <c r="G586" t="str">
        <f t="shared" si="59"/>
        <v>[ "Staples", 42.2851328123105, -83.0182925347012, '519-966-9495', 'N8X 1L7'],</v>
      </c>
      <c r="H586" t="s">
        <v>1435</v>
      </c>
    </row>
    <row r="587" spans="1:8" x14ac:dyDescent="0.2">
      <c r="A587" t="s">
        <v>611</v>
      </c>
      <c r="B587" t="str">
        <f t="shared" si="54"/>
        <v>Princess Auto</v>
      </c>
      <c r="C587" t="str">
        <f t="shared" si="55"/>
        <v>42.2986560494708</v>
      </c>
      <c r="D587" t="str">
        <f t="shared" si="56"/>
        <v>-82.9251618054316</v>
      </c>
      <c r="E587" t="str">
        <f t="shared" si="57"/>
        <v>519-974-1261</v>
      </c>
      <c r="F587" t="str">
        <f t="shared" si="58"/>
        <v>N8T 0A3</v>
      </c>
      <c r="G587" t="str">
        <f t="shared" si="59"/>
        <v>[ "Princess Auto", 42.2986560494708, -82.9251618054316, '519-974-1261', 'N8T 0A3'],</v>
      </c>
      <c r="H587" t="s">
        <v>1428</v>
      </c>
    </row>
    <row r="588" spans="1:8" x14ac:dyDescent="0.2">
      <c r="A588" t="s">
        <v>612</v>
      </c>
      <c r="B588" t="str">
        <f t="shared" si="54"/>
        <v>Kelcom (H.O.)</v>
      </c>
      <c r="C588" t="str">
        <f t="shared" si="55"/>
        <v>42.2793168548387</v>
      </c>
      <c r="D588" t="str">
        <f t="shared" si="56"/>
        <v>-83.0554799193548</v>
      </c>
      <c r="E588" t="str">
        <f t="shared" si="57"/>
        <v>519-250-9100</v>
      </c>
      <c r="F588" t="str">
        <f t="shared" si="58"/>
        <v>N9C 3R5</v>
      </c>
      <c r="G588" t="str">
        <f t="shared" si="59"/>
        <v>[ "Kelcom (H.O.)", 42.2793168548387, -83.0554799193548, '519-250-9100', 'N9C 3R5'],</v>
      </c>
      <c r="H588" t="s">
        <v>1436</v>
      </c>
    </row>
    <row r="589" spans="1:8" x14ac:dyDescent="0.2">
      <c r="A589" t="s">
        <v>613</v>
      </c>
      <c r="B589" t="str">
        <f t="shared" si="54"/>
        <v>Batteries and More</v>
      </c>
      <c r="C589" t="str">
        <f t="shared" si="55"/>
        <v>42.3088938718444</v>
      </c>
      <c r="D589" t="str">
        <f t="shared" si="56"/>
        <v>-82.9474942723306</v>
      </c>
      <c r="E589" t="str">
        <f t="shared" si="57"/>
        <v>519-962-7737</v>
      </c>
      <c r="F589" t="str">
        <f t="shared" si="58"/>
        <v>N9A 6J3</v>
      </c>
      <c r="G589" t="str">
        <f t="shared" si="59"/>
        <v>[ "Batteries and More", 42.3088938718444, -82.9474942723306, '519-962-7737', 'N9A 6J3'],</v>
      </c>
      <c r="H589" t="s">
        <v>1437</v>
      </c>
    </row>
    <row r="590" spans="1:8" x14ac:dyDescent="0.2">
      <c r="A590" t="s">
        <v>614</v>
      </c>
      <c r="B590" t="str">
        <f t="shared" si="54"/>
        <v>Appliance Medic</v>
      </c>
      <c r="C590" t="str">
        <f t="shared" si="55"/>
        <v>42.29867</v>
      </c>
      <c r="D590" t="str">
        <f t="shared" si="56"/>
        <v>-83.01356</v>
      </c>
      <c r="E590" t="str">
        <f t="shared" si="57"/>
        <v>519-252-1500</v>
      </c>
      <c r="F590" t="str">
        <f t="shared" si="58"/>
        <v>N8X 2S2</v>
      </c>
      <c r="G590" t="str">
        <f t="shared" si="59"/>
        <v>[ "Appliance Medic", 42.29867, -83.01356, '519-252-1500', 'N8X 2S2'],</v>
      </c>
      <c r="H590" t="s">
        <v>1438</v>
      </c>
    </row>
    <row r="591" spans="1:8" x14ac:dyDescent="0.2">
      <c r="A591" t="s">
        <v>615</v>
      </c>
      <c r="B591" t="str">
        <f t="shared" si="54"/>
        <v>ListenUp! Canada</v>
      </c>
      <c r="C591" t="str">
        <f t="shared" si="55"/>
        <v>42.2982581203008</v>
      </c>
      <c r="D591" t="str">
        <f t="shared" si="56"/>
        <v>-83.0157816541353</v>
      </c>
      <c r="E591" t="str">
        <f t="shared" si="57"/>
        <v>519-256-6868</v>
      </c>
      <c r="F591" t="str">
        <f t="shared" si="58"/>
        <v>N8X 4X9</v>
      </c>
      <c r="G591" t="str">
        <f t="shared" si="59"/>
        <v>[ "ListenUp! Canada", 42.2982581203008, -83.0157816541353, '519-256-6868', 'N8X 4X9'],</v>
      </c>
      <c r="H591" t="s">
        <v>1439</v>
      </c>
    </row>
    <row r="592" spans="1:8" x14ac:dyDescent="0.2">
      <c r="A592" t="s">
        <v>616</v>
      </c>
      <c r="B592" t="str">
        <f t="shared" si="54"/>
        <v>ListenUp! Canada</v>
      </c>
      <c r="C592" t="str">
        <f t="shared" si="55"/>
        <v>42.30635875</v>
      </c>
      <c r="D592" t="str">
        <f t="shared" si="56"/>
        <v>-82.8849108333333</v>
      </c>
      <c r="E592" t="str">
        <f t="shared" si="57"/>
        <v>519-735-6966</v>
      </c>
      <c r="F592" t="str">
        <f t="shared" si="58"/>
        <v>N8N 1Y3</v>
      </c>
      <c r="G592" t="str">
        <f t="shared" si="59"/>
        <v>[ "ListenUp! Canada", 42.30635875, -82.8849108333333, '519-735-6966', 'N8N 1Y3'],</v>
      </c>
      <c r="H592" t="s">
        <v>1427</v>
      </c>
    </row>
    <row r="593" spans="1:8" x14ac:dyDescent="0.2">
      <c r="A593" t="s">
        <v>617</v>
      </c>
      <c r="B593" t="str">
        <f t="shared" si="54"/>
        <v>Home Depot</v>
      </c>
      <c r="C593" t="str">
        <f t="shared" si="55"/>
        <v>42.3115110344828</v>
      </c>
      <c r="D593" t="str">
        <f t="shared" si="56"/>
        <v>-82.9461636781609</v>
      </c>
      <c r="E593" t="str">
        <f t="shared" si="57"/>
        <v>519-974-5420</v>
      </c>
      <c r="F593" t="str">
        <f t="shared" si="58"/>
        <v>N8T 1E6</v>
      </c>
      <c r="G593" t="str">
        <f t="shared" si="59"/>
        <v>[ "Home Depot", 42.3115110344828, -82.9461636781609, '519-974-5420', 'N8T 1E6'],</v>
      </c>
      <c r="H593" t="s">
        <v>1440</v>
      </c>
    </row>
    <row r="594" spans="1:8" x14ac:dyDescent="0.2">
      <c r="A594" t="s">
        <v>618</v>
      </c>
      <c r="B594" t="str">
        <f t="shared" si="54"/>
        <v>Staples</v>
      </c>
      <c r="C594" t="str">
        <f t="shared" si="55"/>
        <v>42.31242</v>
      </c>
      <c r="D594" t="str">
        <f t="shared" si="56"/>
        <v>-82.94135</v>
      </c>
      <c r="E594" t="str">
        <f t="shared" si="57"/>
        <v>519-948-1283</v>
      </c>
      <c r="F594" t="str">
        <f t="shared" si="58"/>
        <v>N8T 1E6</v>
      </c>
      <c r="G594" t="str">
        <f t="shared" si="59"/>
        <v>[ "Staples", 42.31242, -82.94135, '519-948-1283', 'N8T 1E6'],</v>
      </c>
      <c r="H594" t="s">
        <v>1441</v>
      </c>
    </row>
    <row r="595" spans="1:8" x14ac:dyDescent="0.2">
      <c r="A595" t="s">
        <v>619</v>
      </c>
      <c r="B595" t="str">
        <f t="shared" si="54"/>
        <v>The Source</v>
      </c>
      <c r="C595" t="str">
        <f t="shared" si="55"/>
        <v>42.307187272484</v>
      </c>
      <c r="D595" t="str">
        <f t="shared" si="56"/>
        <v>-82.8677227087863</v>
      </c>
      <c r="E595" t="str">
        <f t="shared" si="57"/>
        <v>519-735-6131</v>
      </c>
      <c r="F595" t="str">
        <f t="shared" si="58"/>
        <v>N9K 1C7</v>
      </c>
      <c r="G595" t="str">
        <f t="shared" si="59"/>
        <v>[ "The Source", 42.307187272484, -82.8677227087863, '519-735-6131', 'N9K 1C7'],</v>
      </c>
      <c r="H595" t="s">
        <v>1426</v>
      </c>
    </row>
    <row r="596" spans="1:8" x14ac:dyDescent="0.2">
      <c r="A596" t="s">
        <v>620</v>
      </c>
      <c r="B596" t="str">
        <f t="shared" si="54"/>
        <v>Lowes</v>
      </c>
      <c r="C596" t="str">
        <f t="shared" si="55"/>
        <v>42.1883091835448</v>
      </c>
      <c r="D596" t="str">
        <f t="shared" si="56"/>
        <v>-83.1925567531649</v>
      </c>
      <c r="E596" t="str">
        <f t="shared" si="57"/>
        <v>734-284-6843</v>
      </c>
      <c r="F596" t="str">
        <f t="shared" si="58"/>
        <v>48195</v>
      </c>
      <c r="G596" t="str">
        <f t="shared" si="59"/>
        <v>[ "Lowes", 42.1883091835448, -83.1925567531649, '734-284-6843', '48195'],</v>
      </c>
      <c r="H596" t="s">
        <v>1442</v>
      </c>
    </row>
    <row r="597" spans="1:8" x14ac:dyDescent="0.2">
      <c r="A597" t="s">
        <v>621</v>
      </c>
      <c r="B597" t="str">
        <f t="shared" si="54"/>
        <v>Grainger</v>
      </c>
      <c r="C597" t="str">
        <f t="shared" si="55"/>
        <v>42.32707</v>
      </c>
      <c r="D597" t="str">
        <f t="shared" si="56"/>
        <v>-83.05858</v>
      </c>
      <c r="E597" t="str">
        <f t="shared" si="57"/>
        <v>313-965-3500</v>
      </c>
      <c r="F597" t="str">
        <f t="shared" si="58"/>
        <v>48226</v>
      </c>
      <c r="G597" t="str">
        <f t="shared" si="59"/>
        <v>[ "Grainger", 42.32707, -83.05858, '313-965-3500', '48226'],</v>
      </c>
      <c r="H597" t="s">
        <v>1443</v>
      </c>
    </row>
    <row r="598" spans="1:8" x14ac:dyDescent="0.2">
      <c r="A598" t="s">
        <v>622</v>
      </c>
      <c r="B598" t="str">
        <f t="shared" si="54"/>
        <v>ListenUp! Canada</v>
      </c>
      <c r="C598" t="str">
        <f t="shared" si="55"/>
        <v>42.0384704540773</v>
      </c>
      <c r="D598" t="str">
        <f t="shared" si="56"/>
        <v>-82.7256786274688</v>
      </c>
      <c r="E598" t="str">
        <f t="shared" si="57"/>
        <v>519-733-3331</v>
      </c>
      <c r="F598" t="str">
        <f t="shared" si="58"/>
        <v>N9Y 1A7</v>
      </c>
      <c r="G598" t="str">
        <f t="shared" si="59"/>
        <v>[ "ListenUp! Canada", 42.0384704540773, -82.7256786274688, '519-733-3331', 'N9Y 1A7'],</v>
      </c>
      <c r="H598" t="s">
        <v>1421</v>
      </c>
    </row>
    <row r="599" spans="1:8" x14ac:dyDescent="0.2">
      <c r="A599" t="s">
        <v>623</v>
      </c>
      <c r="B599" t="str">
        <f t="shared" si="54"/>
        <v>Ontario Clean Water Agency - Essex East (North) Hub</v>
      </c>
      <c r="C599" t="str">
        <f t="shared" si="55"/>
        <v>42.2899317647059</v>
      </c>
      <c r="D599" t="str">
        <f t="shared" si="56"/>
        <v>-82.7344741176471</v>
      </c>
      <c r="E599" t="str">
        <f t="shared" si="57"/>
        <v>519-727-6256</v>
      </c>
      <c r="F599" t="str">
        <f t="shared" si="58"/>
        <v>N0R 1A0</v>
      </c>
      <c r="G599" t="str">
        <f t="shared" si="59"/>
        <v>[ "Ontario Clean Water Agency - Essex East (North) Hub", 42.2899317647059, -82.7344741176471, '519-727-6256', 'N0R 1A0'],</v>
      </c>
      <c r="H599" t="s">
        <v>1422</v>
      </c>
    </row>
    <row r="600" spans="1:8" x14ac:dyDescent="0.2">
      <c r="A600" t="s">
        <v>624</v>
      </c>
      <c r="B600" t="str">
        <f t="shared" si="54"/>
        <v>RadioShack</v>
      </c>
      <c r="C600" t="str">
        <f t="shared" si="55"/>
        <v>42.2543057894737</v>
      </c>
      <c r="D600" t="str">
        <f t="shared" si="56"/>
        <v>-83.1912273684211</v>
      </c>
      <c r="E600" t="str">
        <f t="shared" si="57"/>
        <v>313-388-1120</v>
      </c>
      <c r="F600" t="str">
        <f t="shared" si="58"/>
        <v>48146</v>
      </c>
      <c r="G600" t="str">
        <f t="shared" si="59"/>
        <v>[ "RadioShack", 42.2543057894737, -83.1912273684211, '313-388-1120', '48146'],</v>
      </c>
      <c r="H600" t="s">
        <v>1444</v>
      </c>
    </row>
    <row r="601" spans="1:8" x14ac:dyDescent="0.2">
      <c r="A601" t="s">
        <v>625</v>
      </c>
      <c r="B601" t="str">
        <f t="shared" si="54"/>
        <v>The Home Depot</v>
      </c>
      <c r="C601" t="str">
        <f t="shared" si="55"/>
        <v>42.1393206748466</v>
      </c>
      <c r="D601" t="str">
        <f t="shared" si="56"/>
        <v>-83.2260723312883</v>
      </c>
      <c r="E601" t="str">
        <f t="shared" si="57"/>
        <v>734-671-4400</v>
      </c>
      <c r="F601" t="str">
        <f t="shared" si="58"/>
        <v>48183</v>
      </c>
      <c r="G601" t="str">
        <f t="shared" si="59"/>
        <v>[ "The Home Depot", 42.1393206748466, -83.2260723312883, '734-671-4400', '48183'],</v>
      </c>
      <c r="H601" t="s">
        <v>1445</v>
      </c>
    </row>
    <row r="602" spans="1:8" x14ac:dyDescent="0.2">
      <c r="A602" t="s">
        <v>626</v>
      </c>
      <c r="B602" t="str">
        <f t="shared" si="54"/>
        <v>Longs Home Hardware Building Center</v>
      </c>
      <c r="C602" t="str">
        <f t="shared" si="55"/>
        <v>43.83706</v>
      </c>
      <c r="D602" t="str">
        <f t="shared" si="56"/>
        <v>-80.48081</v>
      </c>
      <c r="E602" t="str">
        <f t="shared" si="57"/>
        <v>519-848-2444</v>
      </c>
      <c r="F602" t="str">
        <f t="shared" si="58"/>
        <v>N0G 1A0</v>
      </c>
      <c r="G602" t="str">
        <f t="shared" si="59"/>
        <v>[ "Longs Home Hardware Building Center", 43.83706, -80.48081, '519-848-2444', 'N0G 1A0'],</v>
      </c>
      <c r="H602" t="s">
        <v>1446</v>
      </c>
    </row>
    <row r="603" spans="1:8" x14ac:dyDescent="0.2">
      <c r="A603" t="s">
        <v>627</v>
      </c>
      <c r="B603" t="str">
        <f t="shared" si="54"/>
        <v>Belmatic Battery Systems Inc.</v>
      </c>
      <c r="C603" t="str">
        <f t="shared" si="55"/>
        <v>44.1562580701754</v>
      </c>
      <c r="D603" t="str">
        <f t="shared" si="56"/>
        <v>-81.0243749122807</v>
      </c>
      <c r="E603" t="str">
        <f t="shared" si="57"/>
        <v>519-364-7029</v>
      </c>
      <c r="F603" t="str">
        <f t="shared" si="58"/>
        <v>N4N 2V6</v>
      </c>
      <c r="G603" t="str">
        <f t="shared" si="59"/>
        <v>[ "Belmatic Battery Systems Inc.", 44.1562580701754, -81.0243749122807, '519-364-7029', 'N4N 2V6'],</v>
      </c>
      <c r="H603" t="s">
        <v>1447</v>
      </c>
    </row>
    <row r="604" spans="1:8" x14ac:dyDescent="0.2">
      <c r="A604" t="s">
        <v>628</v>
      </c>
      <c r="B604" t="str">
        <f t="shared" si="54"/>
        <v>Princess Auto</v>
      </c>
      <c r="C604" t="str">
        <f t="shared" si="55"/>
        <v>44.5766641395434</v>
      </c>
      <c r="D604" t="str">
        <f t="shared" si="56"/>
        <v>-80.8997548332625</v>
      </c>
      <c r="E604" t="str">
        <f t="shared" si="57"/>
        <v>226-256-8260</v>
      </c>
      <c r="F604" t="str">
        <f t="shared" si="58"/>
        <v>N4K 0E2</v>
      </c>
      <c r="G604" t="str">
        <f t="shared" si="59"/>
        <v>[ "Princess Auto", 44.5766641395434, -80.8997548332625, '226-256-8260', 'N4K 0E2'],</v>
      </c>
      <c r="H604" t="s">
        <v>1448</v>
      </c>
    </row>
    <row r="605" spans="1:8" x14ac:dyDescent="0.2">
      <c r="A605" t="s">
        <v>629</v>
      </c>
      <c r="B605" t="str">
        <f t="shared" si="54"/>
        <v>The Source</v>
      </c>
      <c r="C605" t="str">
        <f t="shared" si="55"/>
        <v>44.5756734802963</v>
      </c>
      <c r="D605" t="str">
        <f t="shared" si="56"/>
        <v>-80.9084239243326</v>
      </c>
      <c r="E605" t="str">
        <f t="shared" si="57"/>
        <v>519-376-5041</v>
      </c>
      <c r="F605" t="str">
        <f t="shared" si="58"/>
        <v>N4K 5N3</v>
      </c>
      <c r="G605" t="str">
        <f t="shared" si="59"/>
        <v>[ "The Source", 44.5756734802963, -80.9084239243326, '519-376-5041', 'N4K 5N3'],</v>
      </c>
      <c r="H605" t="s">
        <v>1449</v>
      </c>
    </row>
    <row r="606" spans="1:8" x14ac:dyDescent="0.2">
      <c r="A606" t="s">
        <v>630</v>
      </c>
      <c r="B606" t="str">
        <f t="shared" si="54"/>
        <v>Staples</v>
      </c>
      <c r="C606" t="str">
        <f t="shared" si="55"/>
        <v>44.57018</v>
      </c>
      <c r="D606" t="str">
        <f t="shared" si="56"/>
        <v>-80.92203</v>
      </c>
      <c r="E606" t="str">
        <f t="shared" si="57"/>
        <v>519-372-2228</v>
      </c>
      <c r="F606" t="str">
        <f t="shared" si="58"/>
        <v>N4K 5S2</v>
      </c>
      <c r="G606" t="str">
        <f t="shared" si="59"/>
        <v>[ "Staples", 44.57018, -80.92203, '519-372-2228', 'N4K 5S2'],</v>
      </c>
      <c r="H606" t="s">
        <v>1450</v>
      </c>
    </row>
    <row r="607" spans="1:8" x14ac:dyDescent="0.2">
      <c r="A607" t="s">
        <v>631</v>
      </c>
      <c r="B607" t="str">
        <f t="shared" si="54"/>
        <v>Sears (Canada)</v>
      </c>
      <c r="C607" t="str">
        <f t="shared" si="55"/>
        <v>44.5741628282828</v>
      </c>
      <c r="D607" t="str">
        <f t="shared" si="56"/>
        <v>-80.9216897979798</v>
      </c>
      <c r="E607" t="str">
        <f t="shared" si="57"/>
        <v>519-376-8080</v>
      </c>
      <c r="F607" t="str">
        <f t="shared" si="58"/>
        <v>N4K 6N7</v>
      </c>
      <c r="G607" t="str">
        <f t="shared" si="59"/>
        <v>[ "Sears (Canada)", 44.5741628282828, -80.9216897979798, '519-376-8080', 'N4K 6N7'],</v>
      </c>
      <c r="H607" t="s">
        <v>1451</v>
      </c>
    </row>
    <row r="608" spans="1:8" x14ac:dyDescent="0.2">
      <c r="A608" t="s">
        <v>632</v>
      </c>
      <c r="B608" t="str">
        <f t="shared" si="54"/>
        <v>City of Owen Sound</v>
      </c>
      <c r="C608" t="str">
        <f t="shared" si="55"/>
        <v>44.5838226929319</v>
      </c>
      <c r="D608" t="str">
        <f t="shared" si="56"/>
        <v>-80.9002807372817</v>
      </c>
      <c r="E608" t="str">
        <f t="shared" si="57"/>
        <v>519-376-4274</v>
      </c>
      <c r="F608" t="str">
        <f t="shared" si="58"/>
        <v>N4K 5N3</v>
      </c>
      <c r="G608" t="str">
        <f t="shared" si="59"/>
        <v>[ "City of Owen Sound", 44.5838226929319, -80.9002807372817, '519-376-4274', 'N4K 5N3'],</v>
      </c>
      <c r="H608" t="s">
        <v>1452</v>
      </c>
    </row>
    <row r="609" spans="1:8" x14ac:dyDescent="0.2">
      <c r="A609" t="s">
        <v>633</v>
      </c>
      <c r="B609" t="str">
        <f t="shared" si="54"/>
        <v>Home Depot</v>
      </c>
      <c r="C609" t="str">
        <f t="shared" si="55"/>
        <v>44.5832195483447</v>
      </c>
      <c r="D609" t="str">
        <f t="shared" si="56"/>
        <v>-80.9055115611075</v>
      </c>
      <c r="E609" t="str">
        <f t="shared" si="57"/>
        <v>519-372-3970</v>
      </c>
      <c r="F609" t="str">
        <f t="shared" si="58"/>
        <v>N4K 2B5</v>
      </c>
      <c r="G609" t="str">
        <f t="shared" si="59"/>
        <v>[ "Home Depot", 44.5832195483447, -80.9055115611075, '519-372-3970', 'N4K 2B5'],</v>
      </c>
      <c r="H609" t="s">
        <v>1453</v>
      </c>
    </row>
    <row r="610" spans="1:8" x14ac:dyDescent="0.2">
      <c r="A610" t="s">
        <v>634</v>
      </c>
      <c r="B610" t="str">
        <f t="shared" si="54"/>
        <v>RONA</v>
      </c>
      <c r="C610" t="str">
        <f t="shared" si="55"/>
        <v>44.5652534</v>
      </c>
      <c r="D610" t="str">
        <f t="shared" si="56"/>
        <v>-80.9430214</v>
      </c>
      <c r="E610" t="str">
        <f t="shared" si="57"/>
        <v>519-376-7729</v>
      </c>
      <c r="F610" t="str">
        <f t="shared" si="58"/>
        <v>N4K 2H3</v>
      </c>
      <c r="G610" t="str">
        <f t="shared" si="59"/>
        <v>[ "RONA", 44.5652534, -80.9430214, '519-376-7729', 'N4K 2H3'],</v>
      </c>
      <c r="H610" t="s">
        <v>1454</v>
      </c>
    </row>
    <row r="611" spans="1:8" x14ac:dyDescent="0.2">
      <c r="A611" t="s">
        <v>635</v>
      </c>
      <c r="B611" t="str">
        <f t="shared" si="54"/>
        <v>Murrays Sharpening &amp; Tool Repair</v>
      </c>
      <c r="C611" t="str">
        <f t="shared" si="55"/>
        <v>44.5717094</v>
      </c>
      <c r="D611" t="str">
        <f t="shared" si="56"/>
        <v>-80.9408688</v>
      </c>
      <c r="E611" t="str">
        <f t="shared" si="57"/>
        <v>519-376-2495</v>
      </c>
      <c r="F611" t="str">
        <f t="shared" si="58"/>
        <v>N4K 2H9</v>
      </c>
      <c r="G611" t="str">
        <f t="shared" si="59"/>
        <v>[ "Murrays Sharpening &amp; Tool Repair", 44.5717094, -80.9408688, '519-376-2495', 'N4K 2H9'],</v>
      </c>
      <c r="H611" t="s">
        <v>1455</v>
      </c>
    </row>
    <row r="612" spans="1:8" x14ac:dyDescent="0.2">
      <c r="A612" t="s">
        <v>636</v>
      </c>
      <c r="B612" t="str">
        <f t="shared" si="54"/>
        <v>RONA</v>
      </c>
      <c r="C612" t="str">
        <f t="shared" si="55"/>
        <v>44.56692</v>
      </c>
      <c r="D612" t="str">
        <f t="shared" si="56"/>
        <v>-80.95044</v>
      </c>
      <c r="E612" t="str">
        <f t="shared" si="57"/>
        <v>519-376-3181</v>
      </c>
      <c r="F612" t="str">
        <f t="shared" si="58"/>
        <v>N4K 5R4</v>
      </c>
      <c r="G612" t="str">
        <f t="shared" si="59"/>
        <v>[ "RONA", 44.56692, -80.95044, '519-376-3181', 'N4K 5R4'],</v>
      </c>
      <c r="H612" t="s">
        <v>1456</v>
      </c>
    </row>
    <row r="613" spans="1:8" x14ac:dyDescent="0.2">
      <c r="A613" t="s">
        <v>637</v>
      </c>
      <c r="B613" t="str">
        <f t="shared" si="54"/>
        <v>RONA</v>
      </c>
      <c r="C613" t="str">
        <f t="shared" si="55"/>
        <v>44.56692</v>
      </c>
      <c r="D613" t="str">
        <f t="shared" si="56"/>
        <v>-80.95044</v>
      </c>
      <c r="E613" t="str">
        <f t="shared" si="57"/>
        <v>519-376-3181</v>
      </c>
      <c r="F613" t="str">
        <f t="shared" si="58"/>
        <v>N4K 5R4</v>
      </c>
      <c r="G613" t="str">
        <f t="shared" si="59"/>
        <v>[ "RONA", 44.56692, -80.95044, '519-376-3181', 'N4K 5R4'],</v>
      </c>
      <c r="H613" t="s">
        <v>1456</v>
      </c>
    </row>
    <row r="614" spans="1:8" x14ac:dyDescent="0.2">
      <c r="A614" t="s">
        <v>638</v>
      </c>
      <c r="B614" t="str">
        <f t="shared" si="54"/>
        <v>Murrays Sharpening &amp; Tool Repair</v>
      </c>
      <c r="C614" t="str">
        <f t="shared" si="55"/>
        <v>44.5717094</v>
      </c>
      <c r="D614" t="str">
        <f t="shared" si="56"/>
        <v>-80.9408688</v>
      </c>
      <c r="E614" t="str">
        <f t="shared" si="57"/>
        <v>519-376-2495</v>
      </c>
      <c r="F614" t="str">
        <f t="shared" si="58"/>
        <v>N4K 2H9</v>
      </c>
      <c r="G614" t="str">
        <f t="shared" si="59"/>
        <v>[ "Murrays Sharpening &amp; Tool Repair", 44.5717094, -80.9408688, '519-376-2495', 'N4K 2H9'],</v>
      </c>
      <c r="H614" t="s">
        <v>1455</v>
      </c>
    </row>
    <row r="615" spans="1:8" x14ac:dyDescent="0.2">
      <c r="A615" t="s">
        <v>639</v>
      </c>
      <c r="B615" t="str">
        <f t="shared" si="54"/>
        <v>RONA</v>
      </c>
      <c r="C615" t="str">
        <f t="shared" si="55"/>
        <v>44.5652534</v>
      </c>
      <c r="D615" t="str">
        <f t="shared" si="56"/>
        <v>-80.9430214</v>
      </c>
      <c r="E615" t="str">
        <f t="shared" si="57"/>
        <v>519-376-7729</v>
      </c>
      <c r="F615" t="str">
        <f t="shared" si="58"/>
        <v>N4K 2H3</v>
      </c>
      <c r="G615" t="str">
        <f t="shared" si="59"/>
        <v>[ "RONA", 44.5652534, -80.9430214, '519-376-7729', 'N4K 2H3'],</v>
      </c>
      <c r="H615" t="s">
        <v>1454</v>
      </c>
    </row>
    <row r="616" spans="1:8" x14ac:dyDescent="0.2">
      <c r="A616" t="s">
        <v>640</v>
      </c>
      <c r="B616" t="str">
        <f t="shared" si="54"/>
        <v>Sears (Canada)</v>
      </c>
      <c r="C616" t="str">
        <f t="shared" si="55"/>
        <v>44.5741628282828</v>
      </c>
      <c r="D616" t="str">
        <f t="shared" si="56"/>
        <v>-80.9216897979798</v>
      </c>
      <c r="E616" t="str">
        <f t="shared" si="57"/>
        <v>519-376-8080</v>
      </c>
      <c r="F616" t="str">
        <f t="shared" si="58"/>
        <v>N4K 6N7</v>
      </c>
      <c r="G616" t="str">
        <f t="shared" si="59"/>
        <v>[ "Sears (Canada)", 44.5741628282828, -80.9216897979798, '519-376-8080', 'N4K 6N7'],</v>
      </c>
      <c r="H616" t="s">
        <v>1451</v>
      </c>
    </row>
    <row r="617" spans="1:8" x14ac:dyDescent="0.2">
      <c r="A617" t="s">
        <v>641</v>
      </c>
      <c r="B617" t="str">
        <f t="shared" si="54"/>
        <v>Staples</v>
      </c>
      <c r="C617" t="str">
        <f t="shared" si="55"/>
        <v>44.57018</v>
      </c>
      <c r="D617" t="str">
        <f t="shared" si="56"/>
        <v>-80.92203</v>
      </c>
      <c r="E617" t="str">
        <f t="shared" si="57"/>
        <v>519-372-2228</v>
      </c>
      <c r="F617" t="str">
        <f t="shared" si="58"/>
        <v>N4K 5S2</v>
      </c>
      <c r="G617" t="str">
        <f t="shared" si="59"/>
        <v>[ "Staples", 44.57018, -80.92203, '519-372-2228', 'N4K 5S2'],</v>
      </c>
      <c r="H617" t="s">
        <v>1450</v>
      </c>
    </row>
    <row r="618" spans="1:8" x14ac:dyDescent="0.2">
      <c r="A618" t="s">
        <v>642</v>
      </c>
      <c r="B618" t="str">
        <f t="shared" si="54"/>
        <v>Home Depot</v>
      </c>
      <c r="C618" t="str">
        <f t="shared" si="55"/>
        <v>44.5832195483447</v>
      </c>
      <c r="D618" t="str">
        <f t="shared" si="56"/>
        <v>-80.9055115611075</v>
      </c>
      <c r="E618" t="str">
        <f t="shared" si="57"/>
        <v>519-372-3970</v>
      </c>
      <c r="F618" t="str">
        <f t="shared" si="58"/>
        <v>N4K 2B5</v>
      </c>
      <c r="G618" t="str">
        <f t="shared" si="59"/>
        <v>[ "Home Depot", 44.5832195483447, -80.9055115611075, '519-372-3970', 'N4K 2B5'],</v>
      </c>
      <c r="H618" t="s">
        <v>1453</v>
      </c>
    </row>
    <row r="619" spans="1:8" x14ac:dyDescent="0.2">
      <c r="A619" t="s">
        <v>643</v>
      </c>
      <c r="B619" t="str">
        <f t="shared" si="54"/>
        <v>City of Owen Sound</v>
      </c>
      <c r="C619" t="str">
        <f t="shared" si="55"/>
        <v>44.5838226929319</v>
      </c>
      <c r="D619" t="str">
        <f t="shared" si="56"/>
        <v>-80.9002807372817</v>
      </c>
      <c r="E619" t="str">
        <f t="shared" si="57"/>
        <v>519-376-4274</v>
      </c>
      <c r="F619" t="str">
        <f t="shared" si="58"/>
        <v>N4K 5N3</v>
      </c>
      <c r="G619" t="str">
        <f t="shared" si="59"/>
        <v>[ "City of Owen Sound", 44.5838226929319, -80.9002807372817, '519-376-4274', 'N4K 5N3'],</v>
      </c>
      <c r="H619" t="s">
        <v>1452</v>
      </c>
    </row>
    <row r="620" spans="1:8" x14ac:dyDescent="0.2">
      <c r="A620" t="s">
        <v>644</v>
      </c>
      <c r="B620" t="str">
        <f t="shared" si="54"/>
        <v>The Source</v>
      </c>
      <c r="C620" t="str">
        <f t="shared" si="55"/>
        <v>44.5756734802963</v>
      </c>
      <c r="D620" t="str">
        <f t="shared" si="56"/>
        <v>-80.9084239243326</v>
      </c>
      <c r="E620" t="str">
        <f t="shared" si="57"/>
        <v>519-376-5041</v>
      </c>
      <c r="F620" t="str">
        <f t="shared" si="58"/>
        <v>N4K 5N3</v>
      </c>
      <c r="G620" t="str">
        <f t="shared" si="59"/>
        <v>[ "The Source", 44.5756734802963, -80.9084239243326, '519-376-5041', 'N4K 5N3'],</v>
      </c>
      <c r="H620" t="s">
        <v>1449</v>
      </c>
    </row>
    <row r="621" spans="1:8" x14ac:dyDescent="0.2">
      <c r="A621" t="s">
        <v>645</v>
      </c>
      <c r="B621" t="str">
        <f t="shared" si="54"/>
        <v>Princess Auto</v>
      </c>
      <c r="C621" t="str">
        <f t="shared" si="55"/>
        <v>44.5766641395434</v>
      </c>
      <c r="D621" t="str">
        <f t="shared" si="56"/>
        <v>-80.8997548332625</v>
      </c>
      <c r="E621" t="str">
        <f t="shared" si="57"/>
        <v>226-256-8260</v>
      </c>
      <c r="F621" t="str">
        <f t="shared" si="58"/>
        <v>N4K 0E2</v>
      </c>
      <c r="G621" t="str">
        <f t="shared" si="59"/>
        <v>[ "Princess Auto", 44.5766641395434, -80.8997548332625, '226-256-8260', 'N4K 0E2'],</v>
      </c>
      <c r="H621" t="s">
        <v>1448</v>
      </c>
    </row>
    <row r="622" spans="1:8" x14ac:dyDescent="0.2">
      <c r="A622" t="s">
        <v>646</v>
      </c>
      <c r="B622" t="str">
        <f t="shared" si="54"/>
        <v>The Source</v>
      </c>
      <c r="C622" t="str">
        <f t="shared" si="55"/>
        <v>44.42609</v>
      </c>
      <c r="D622" t="str">
        <f t="shared" si="56"/>
        <v>-81.39685</v>
      </c>
      <c r="E622" t="str">
        <f t="shared" si="57"/>
        <v>519-832-3100</v>
      </c>
      <c r="F622" t="str">
        <f t="shared" si="58"/>
        <v>N0H 2C1</v>
      </c>
      <c r="G622" t="str">
        <f t="shared" si="59"/>
        <v>[ "The Source", 44.42609, -81.39685, '519-832-3100', 'N0H 2C1'],</v>
      </c>
      <c r="H622" t="s">
        <v>1457</v>
      </c>
    </row>
    <row r="623" spans="1:8" x14ac:dyDescent="0.2">
      <c r="A623" t="s">
        <v>647</v>
      </c>
      <c r="B623" t="str">
        <f t="shared" si="54"/>
        <v>Princess Auto</v>
      </c>
      <c r="C623" t="str">
        <f t="shared" si="55"/>
        <v>44.3394913947389</v>
      </c>
      <c r="D623" t="str">
        <f t="shared" si="56"/>
        <v>-79.6907598235247</v>
      </c>
      <c r="E623" t="str">
        <f t="shared" si="57"/>
        <v>705-739-0575</v>
      </c>
      <c r="F623" t="str">
        <f t="shared" si="58"/>
        <v>L4N 8V4</v>
      </c>
      <c r="G623" t="str">
        <f t="shared" si="59"/>
        <v>[ "Princess Auto", 44.3394913947389, -79.6907598235247, '705-739-0575', 'L4N 8V4'],</v>
      </c>
      <c r="H623" t="s">
        <v>1458</v>
      </c>
    </row>
    <row r="624" spans="1:8" x14ac:dyDescent="0.2">
      <c r="A624" t="s">
        <v>648</v>
      </c>
      <c r="B624" t="str">
        <f t="shared" si="54"/>
        <v>The Source</v>
      </c>
      <c r="C624" t="str">
        <f t="shared" si="55"/>
        <v>44.3345883986964</v>
      </c>
      <c r="D624" t="str">
        <f t="shared" si="56"/>
        <v>-79.6883767061378</v>
      </c>
      <c r="E624" t="str">
        <f t="shared" si="57"/>
        <v>705-726-6965</v>
      </c>
      <c r="F624" t="str">
        <f t="shared" si="58"/>
        <v>L4N 9H5</v>
      </c>
      <c r="G624" t="str">
        <f t="shared" si="59"/>
        <v>[ "The Source", 44.3345883986964, -79.6883767061378, '705-726-6965', 'L4N 9H5'],</v>
      </c>
      <c r="H624" t="s">
        <v>1459</v>
      </c>
    </row>
    <row r="625" spans="1:8" x14ac:dyDescent="0.2">
      <c r="A625" t="s">
        <v>649</v>
      </c>
      <c r="B625" t="str">
        <f t="shared" si="54"/>
        <v>Staples</v>
      </c>
      <c r="C625" t="str">
        <f t="shared" si="55"/>
        <v>44.3378780769231</v>
      </c>
      <c r="D625" t="str">
        <f t="shared" si="56"/>
        <v>-79.68763</v>
      </c>
      <c r="E625" t="str">
        <f t="shared" si="57"/>
        <v>705-733-3329</v>
      </c>
      <c r="F625" t="str">
        <f t="shared" si="58"/>
        <v>L4N 8V4</v>
      </c>
      <c r="G625" t="str">
        <f t="shared" si="59"/>
        <v>[ "Staples", 44.3378780769231, -79.68763, '705-733-3329', 'L4N 8V4'],</v>
      </c>
      <c r="H625" t="s">
        <v>1460</v>
      </c>
    </row>
    <row r="626" spans="1:8" x14ac:dyDescent="0.2">
      <c r="A626" t="s">
        <v>650</v>
      </c>
      <c r="B626" t="str">
        <f t="shared" si="54"/>
        <v>Mountain Equipment Co-op</v>
      </c>
      <c r="C626" t="str">
        <f t="shared" si="55"/>
        <v>44.3555056096924</v>
      </c>
      <c r="D626" t="str">
        <f t="shared" si="56"/>
        <v>-79.6950121487654</v>
      </c>
      <c r="E626" t="str">
        <f t="shared" si="57"/>
        <v>705-792-4675</v>
      </c>
      <c r="F626" t="str">
        <f t="shared" si="58"/>
        <v>L4N 8V8</v>
      </c>
      <c r="G626" t="str">
        <f t="shared" si="59"/>
        <v>[ "Mountain Equipment Co-op", 44.3555056096924, -79.6950121487654, '705-792-4675', 'L4N 8V8'],</v>
      </c>
      <c r="H626" t="s">
        <v>1461</v>
      </c>
    </row>
    <row r="627" spans="1:8" x14ac:dyDescent="0.2">
      <c r="A627" t="s">
        <v>651</v>
      </c>
      <c r="B627" t="str">
        <f t="shared" si="54"/>
        <v>Home Depot</v>
      </c>
      <c r="C627" t="str">
        <f t="shared" si="55"/>
        <v>44.3383230769231</v>
      </c>
      <c r="D627" t="str">
        <f t="shared" si="56"/>
        <v>-79.6875</v>
      </c>
      <c r="E627" t="str">
        <f t="shared" si="57"/>
        <v>705-733-2800</v>
      </c>
      <c r="F627" t="str">
        <f t="shared" si="58"/>
        <v>L4N 8V4</v>
      </c>
      <c r="G627" t="str">
        <f t="shared" si="59"/>
        <v>[ "Home Depot", 44.3383230769231, -79.6875, '705-733-2800', 'L4N 8V4'],</v>
      </c>
      <c r="H627" t="s">
        <v>1462</v>
      </c>
    </row>
    <row r="628" spans="1:8" x14ac:dyDescent="0.2">
      <c r="A628" t="s">
        <v>652</v>
      </c>
      <c r="B628" t="str">
        <f t="shared" si="54"/>
        <v>Henrys</v>
      </c>
      <c r="C628" t="str">
        <f t="shared" si="55"/>
        <v>44.3368537264172</v>
      </c>
      <c r="D628" t="str">
        <f t="shared" si="56"/>
        <v>-79.6809685624446</v>
      </c>
      <c r="E628" t="str">
        <f t="shared" si="57"/>
        <v>705-720-2300</v>
      </c>
      <c r="F628" t="str">
        <f t="shared" si="58"/>
        <v>L4N 6P1</v>
      </c>
      <c r="G628" t="str">
        <f t="shared" si="59"/>
        <v>[ "Henrys", 44.3368537264172, -79.6809685624446, '705-720-2300', 'L4N 6P1'],</v>
      </c>
      <c r="H628" t="s">
        <v>1463</v>
      </c>
    </row>
    <row r="629" spans="1:8" x14ac:dyDescent="0.2">
      <c r="A629" t="s">
        <v>653</v>
      </c>
      <c r="B629" t="str">
        <f t="shared" si="54"/>
        <v>RONA</v>
      </c>
      <c r="C629" t="str">
        <f t="shared" si="55"/>
        <v>44.3364375</v>
      </c>
      <c r="D629" t="str">
        <f t="shared" si="56"/>
        <v>-79.6802366666667</v>
      </c>
      <c r="E629" t="str">
        <f t="shared" si="57"/>
        <v>705-792-6670</v>
      </c>
      <c r="F629" t="str">
        <f t="shared" si="58"/>
        <v>L4N 9H5</v>
      </c>
      <c r="G629" t="str">
        <f t="shared" si="59"/>
        <v>[ "RONA", 44.3364375, -79.6802366666667, '705-792-6670', 'L4N 9H5'],</v>
      </c>
      <c r="H629" t="s">
        <v>1464</v>
      </c>
    </row>
    <row r="630" spans="1:8" x14ac:dyDescent="0.2">
      <c r="A630" t="s">
        <v>654</v>
      </c>
      <c r="B630" t="str">
        <f t="shared" si="54"/>
        <v>The Source</v>
      </c>
      <c r="C630" t="str">
        <f t="shared" si="55"/>
        <v>44.3552610195549</v>
      </c>
      <c r="D630" t="str">
        <f t="shared" si="56"/>
        <v>-79.6814634338286</v>
      </c>
      <c r="E630" t="str">
        <f t="shared" si="57"/>
        <v>705-728-4837</v>
      </c>
      <c r="F630" t="str">
        <f t="shared" si="58"/>
        <v>L4N 3N7</v>
      </c>
      <c r="G630" t="str">
        <f t="shared" si="59"/>
        <v>[ "The Source", 44.3552610195549, -79.6814634338286, '705-728-4837', 'L4N 3N7'],</v>
      </c>
      <c r="H630" t="s">
        <v>1465</v>
      </c>
    </row>
    <row r="631" spans="1:8" x14ac:dyDescent="0.2">
      <c r="A631" t="s">
        <v>655</v>
      </c>
      <c r="B631" t="str">
        <f t="shared" si="54"/>
        <v>Point to Point Communications</v>
      </c>
      <c r="C631" t="str">
        <f t="shared" si="55"/>
        <v>44.3355679294061</v>
      </c>
      <c r="D631" t="str">
        <f t="shared" si="56"/>
        <v>-79.6738948305988</v>
      </c>
      <c r="E631" t="str">
        <f t="shared" si="57"/>
        <v>705-721-9877</v>
      </c>
      <c r="F631" t="str">
        <f t="shared" si="58"/>
        <v>L4N 8Z9</v>
      </c>
      <c r="G631" t="str">
        <f t="shared" si="59"/>
        <v>[ "Point to Point Communications", 44.3355679294061, -79.6738948305988, '705-721-9877', 'L4N 8Z9'],</v>
      </c>
      <c r="H631" t="s">
        <v>1466</v>
      </c>
    </row>
    <row r="632" spans="1:8" x14ac:dyDescent="0.2">
      <c r="A632" t="s">
        <v>656</v>
      </c>
      <c r="B632" t="str">
        <f t="shared" si="54"/>
        <v>Canadian Tire</v>
      </c>
      <c r="C632" t="str">
        <f t="shared" si="55"/>
        <v>44.40157</v>
      </c>
      <c r="D632" t="str">
        <f t="shared" si="56"/>
        <v>-79.70077</v>
      </c>
      <c r="E632" t="str">
        <f t="shared" si="57"/>
        <v>705-726-6418</v>
      </c>
      <c r="F632" t="str">
        <f t="shared" si="58"/>
        <v>L4M 3C1</v>
      </c>
      <c r="G632" t="str">
        <f t="shared" si="59"/>
        <v>[ "Canadian Tire", 44.40157, -79.70077, '705-726-6418', 'L4M 3C1'],</v>
      </c>
      <c r="H632" t="s">
        <v>1467</v>
      </c>
    </row>
    <row r="633" spans="1:8" x14ac:dyDescent="0.2">
      <c r="A633" t="s">
        <v>657</v>
      </c>
      <c r="B633" t="str">
        <f t="shared" si="54"/>
        <v>The Source</v>
      </c>
      <c r="C633" t="str">
        <f t="shared" si="55"/>
        <v>44.41404</v>
      </c>
      <c r="D633" t="str">
        <f t="shared" si="56"/>
        <v>-79.71168</v>
      </c>
      <c r="E633" t="str">
        <f t="shared" si="57"/>
        <v>705-726-0987</v>
      </c>
      <c r="F633" t="str">
        <f t="shared" si="58"/>
        <v>L4M 4Z8</v>
      </c>
      <c r="G633" t="str">
        <f t="shared" si="59"/>
        <v>[ "The Source", 44.41404, -79.71168, '705-726-0987', 'L4M 4Z8'],</v>
      </c>
      <c r="H633" t="s">
        <v>1468</v>
      </c>
    </row>
    <row r="634" spans="1:8" x14ac:dyDescent="0.2">
      <c r="A634" t="s">
        <v>658</v>
      </c>
      <c r="B634" t="str">
        <f t="shared" si="54"/>
        <v>Sears (Canada)</v>
      </c>
      <c r="C634" t="str">
        <f t="shared" si="55"/>
        <v>44.4146266666667</v>
      </c>
      <c r="D634" t="str">
        <f t="shared" si="56"/>
        <v>-79.7121866666667</v>
      </c>
      <c r="E634" t="str">
        <f t="shared" si="57"/>
        <v>705-726-4451</v>
      </c>
      <c r="F634" t="str">
        <f t="shared" si="58"/>
        <v>L4M 4Z9</v>
      </c>
      <c r="G634" t="str">
        <f t="shared" si="59"/>
        <v>[ "Sears (Canada)", 44.4146266666667, -79.7121866666667, '705-726-4451', 'L4M 4Z9'],</v>
      </c>
      <c r="H634" t="s">
        <v>1469</v>
      </c>
    </row>
    <row r="635" spans="1:8" x14ac:dyDescent="0.2">
      <c r="A635" t="s">
        <v>659</v>
      </c>
      <c r="B635" t="str">
        <f t="shared" si="54"/>
        <v>Dashvapes Inc</v>
      </c>
      <c r="C635" t="str">
        <f t="shared" si="55"/>
        <v>44.4152877777778</v>
      </c>
      <c r="D635" t="str">
        <f t="shared" si="56"/>
        <v>-79.7127644444444</v>
      </c>
      <c r="E635" t="str">
        <f t="shared" si="57"/>
        <v>705-915-3274</v>
      </c>
      <c r="F635" t="str">
        <f t="shared" si="58"/>
        <v>L4M 4Z9</v>
      </c>
      <c r="G635" t="str">
        <f t="shared" si="59"/>
        <v>[ "Dashvapes Inc", 44.4152877777778, -79.7127644444444, '705-915-3274', 'L4M 4Z9'],</v>
      </c>
      <c r="H635" t="s">
        <v>1470</v>
      </c>
    </row>
    <row r="636" spans="1:8" x14ac:dyDescent="0.2">
      <c r="A636" t="s">
        <v>660</v>
      </c>
      <c r="B636" t="str">
        <f t="shared" si="54"/>
        <v>Staples</v>
      </c>
      <c r="C636" t="str">
        <f t="shared" si="55"/>
        <v>44.4170117391304</v>
      </c>
      <c r="D636" t="str">
        <f t="shared" si="56"/>
        <v>-79.7142417391304</v>
      </c>
      <c r="E636" t="str">
        <f t="shared" si="57"/>
        <v>705-735-4058</v>
      </c>
      <c r="F636" t="str">
        <f t="shared" si="58"/>
        <v>L4M 4Z9</v>
      </c>
      <c r="G636" t="str">
        <f t="shared" si="59"/>
        <v>[ "Staples", 44.4170117391304, -79.7142417391304, '705-735-4058', 'L4M 4Z9'],</v>
      </c>
      <c r="H636" t="s">
        <v>1471</v>
      </c>
    </row>
    <row r="637" spans="1:8" x14ac:dyDescent="0.2">
      <c r="A637" t="s">
        <v>661</v>
      </c>
      <c r="B637" t="str">
        <f t="shared" si="54"/>
        <v>ListenUp! Canada</v>
      </c>
      <c r="C637" t="str">
        <f t="shared" si="55"/>
        <v>44.415656122449</v>
      </c>
      <c r="D637" t="str">
        <f t="shared" si="56"/>
        <v>-79.6589920408163</v>
      </c>
      <c r="E637" t="str">
        <f t="shared" si="57"/>
        <v>705-719-7009</v>
      </c>
      <c r="F637" t="str">
        <f t="shared" si="58"/>
        <v>L4M 7G1</v>
      </c>
      <c r="G637" t="str">
        <f t="shared" si="59"/>
        <v>[ "ListenUp! Canada", 44.415656122449, -79.6589920408163, '705-719-7009', 'L4M 7G1'],</v>
      </c>
      <c r="H637" t="s">
        <v>1472</v>
      </c>
    </row>
    <row r="638" spans="1:8" x14ac:dyDescent="0.2">
      <c r="A638" t="s">
        <v>662</v>
      </c>
      <c r="B638" t="str">
        <f t="shared" si="54"/>
        <v>The Source</v>
      </c>
      <c r="C638" t="str">
        <f t="shared" si="55"/>
        <v>44.3083969623904</v>
      </c>
      <c r="D638" t="str">
        <f t="shared" si="56"/>
        <v>-79.5762149746913</v>
      </c>
      <c r="E638" t="str">
        <f t="shared" si="57"/>
        <v>705-436-4070</v>
      </c>
      <c r="F638" t="str">
        <f t="shared" si="58"/>
        <v>L9S 4B2</v>
      </c>
      <c r="G638" t="str">
        <f t="shared" si="59"/>
        <v>[ "The Source", 44.3083969623904, -79.5762149746913, '705-436-4070', 'L9S 4B2'],</v>
      </c>
      <c r="H638" t="s">
        <v>1473</v>
      </c>
    </row>
    <row r="639" spans="1:8" x14ac:dyDescent="0.2">
      <c r="A639" t="s">
        <v>663</v>
      </c>
      <c r="B639" t="str">
        <f t="shared" si="54"/>
        <v>The Source</v>
      </c>
      <c r="C639" t="str">
        <f t="shared" si="55"/>
        <v>44.14841</v>
      </c>
      <c r="D639" t="str">
        <f t="shared" si="56"/>
        <v>-79.88178</v>
      </c>
      <c r="E639" t="str">
        <f t="shared" si="57"/>
        <v>705-435-7102</v>
      </c>
      <c r="F639" t="str">
        <f t="shared" si="58"/>
        <v>L9R 1P8</v>
      </c>
      <c r="G639" t="str">
        <f t="shared" si="59"/>
        <v>[ "The Source", 44.14841, -79.88178, '705-435-7102', 'L9R 1P8'],</v>
      </c>
      <c r="H639" t="s">
        <v>1474</v>
      </c>
    </row>
    <row r="640" spans="1:8" x14ac:dyDescent="0.2">
      <c r="A640" t="s">
        <v>664</v>
      </c>
      <c r="B640" t="str">
        <f t="shared" si="54"/>
        <v>Staples</v>
      </c>
      <c r="C640" t="str">
        <f t="shared" si="55"/>
        <v>44.148355</v>
      </c>
      <c r="D640" t="str">
        <f t="shared" si="56"/>
        <v>-79.882015</v>
      </c>
      <c r="E640" t="str">
        <f t="shared" si="57"/>
        <v>705-434-4992</v>
      </c>
      <c r="F640" t="str">
        <f t="shared" si="58"/>
        <v>L9R 1P8</v>
      </c>
      <c r="G640" t="str">
        <f t="shared" si="59"/>
        <v>[ "Staples", 44.148355, -79.882015, '705-434-4992', 'L9R 1P8'],</v>
      </c>
      <c r="H640" t="s">
        <v>1475</v>
      </c>
    </row>
    <row r="641" spans="1:8" x14ac:dyDescent="0.2">
      <c r="A641" t="s">
        <v>665</v>
      </c>
      <c r="B641" t="str">
        <f t="shared" ref="B641:B704" si="60">MID(A641,SEARCH("name"&amp;CHAR(34)&amp;":"&amp;CHAR(34),A641)+7,SEARCH(CHAR(34)&amp;", "&amp;CHAR(34)&amp;"locationlinkurl",A641)-SEARCH("name"&amp;CHAR(34)&amp;":"&amp;CHAR(34),A641)-7)</f>
        <v>The Source</v>
      </c>
      <c r="C641" t="str">
        <f t="shared" ref="C641:C704" si="61">MID(A641,SEARCH(CHAR(34)&amp;"latitude"&amp;CHAR(34)&amp;":"&amp;CHAR(34),A641)+12,SEARCH(CHAR(34)&amp;", "&amp;CHAR(34)&amp;"url"&amp;CHAR(34),A641)-SEARCH(CHAR(34)&amp;"latitude"&amp;CHAR(34)&amp;":"&amp;CHAR(34),A641)-12)</f>
        <v>44.4292733333333</v>
      </c>
      <c r="D641" t="str">
        <f t="shared" ref="D641:D704" si="62">MID(A641,SEARCH(CHAR(34)&amp;"longitude"&amp;CHAR(34)&amp;":"&amp;CHAR(34),A641)+13,SEARCH(CHAR(34)&amp;", "&amp;CHAR(34)&amp;"uid"&amp;CHAR(34),A641)-SEARCH(CHAR(34)&amp;"longitude"&amp;CHAR(34)&amp;":"&amp;CHAR(34),A641)-13)</f>
        <v>-79.1527777777778</v>
      </c>
      <c r="E641" t="str">
        <f t="shared" ref="E641:E704" si="63">MID(A641,SEARCH(CHAR(34)&amp;"phone"&amp;CHAR(34)&amp;":"&amp;CHAR(34),A641)+9,SEARCH(CHAR(34)&amp;", "&amp;CHAR(34)&amp;"address2"&amp;CHAR(34),A641)-SEARCH(CHAR(34)&amp;"phone"&amp;CHAR(34)&amp;":"&amp;CHAR(34),A641)-9)</f>
        <v>705-426-7795</v>
      </c>
      <c r="F641" t="str">
        <f t="shared" ref="F641:F704" si="64">MID(A641,SEARCH(CHAR(34)&amp;"postalcode"&amp;CHAR(34)&amp;":"&amp;CHAR(34),A641)+14,SEARCH(CHAR(34)&amp;", "&amp;CHAR(34)&amp;"province"&amp;CHAR(34),A641)-SEARCH(CHAR(34)&amp;"postalcode"&amp;CHAR(34)&amp;":"&amp;CHAR(34),A641)-14)</f>
        <v>L0K 1A0</v>
      </c>
      <c r="G641" t="str">
        <f t="shared" ref="G641:G704" si="65">"[ "&amp;CHAR(34)&amp;B641&amp;CHAR(34)&amp;", "&amp;C641&amp;", "&amp;D641&amp;", '"&amp;E641&amp;"', '"&amp;F641&amp;"'],"</f>
        <v>[ "The Source", 44.4292733333333, -79.1527777777778, '705-426-7795', 'L0K 1A0'],</v>
      </c>
      <c r="H641" t="s">
        <v>1476</v>
      </c>
    </row>
    <row r="642" spans="1:8" x14ac:dyDescent="0.2">
      <c r="A642" t="s">
        <v>666</v>
      </c>
      <c r="B642" t="str">
        <f t="shared" si="60"/>
        <v>Staples</v>
      </c>
      <c r="C642" t="str">
        <f t="shared" si="61"/>
        <v>44.34876</v>
      </c>
      <c r="D642" t="str">
        <f t="shared" si="62"/>
        <v>-78.76655</v>
      </c>
      <c r="E642" t="str">
        <f t="shared" si="63"/>
        <v>705-328-3427</v>
      </c>
      <c r="F642" t="str">
        <f t="shared" si="64"/>
        <v>K9V 2Z7</v>
      </c>
      <c r="G642" t="str">
        <f t="shared" si="65"/>
        <v>[ "Staples", 44.34876, -78.76655, '705-328-3427', 'K9V 2Z7'],</v>
      </c>
      <c r="H642" t="s">
        <v>1477</v>
      </c>
    </row>
    <row r="643" spans="1:8" x14ac:dyDescent="0.2">
      <c r="A643" t="s">
        <v>667</v>
      </c>
      <c r="B643" t="str">
        <f t="shared" si="60"/>
        <v>The Source</v>
      </c>
      <c r="C643" t="str">
        <f t="shared" si="61"/>
        <v>44.35011</v>
      </c>
      <c r="D643" t="str">
        <f t="shared" si="62"/>
        <v>-78.7597</v>
      </c>
      <c r="E643" t="str">
        <f t="shared" si="63"/>
        <v>705-324-1901</v>
      </c>
      <c r="F643" t="str">
        <f t="shared" si="64"/>
        <v>K9V 4Z1</v>
      </c>
      <c r="G643" t="str">
        <f t="shared" si="65"/>
        <v>[ "The Source", 44.35011, -78.7597, '705-324-1901', 'K9V 4Z1'],</v>
      </c>
      <c r="H643" t="s">
        <v>1478</v>
      </c>
    </row>
    <row r="644" spans="1:8" x14ac:dyDescent="0.2">
      <c r="A644" t="s">
        <v>668</v>
      </c>
      <c r="B644" t="str">
        <f t="shared" si="60"/>
        <v>ListenUp! Canada</v>
      </c>
      <c r="C644" t="str">
        <f t="shared" si="61"/>
        <v>44.3533542857143</v>
      </c>
      <c r="D644" t="str">
        <f t="shared" si="62"/>
        <v>-78.7440314285714</v>
      </c>
      <c r="E644" t="str">
        <f t="shared" si="63"/>
        <v>705-328-9181</v>
      </c>
      <c r="F644" t="str">
        <f t="shared" si="64"/>
        <v>K9V 6A4</v>
      </c>
      <c r="G644" t="str">
        <f t="shared" si="65"/>
        <v>[ "ListenUp! Canada", 44.3533542857143, -78.7440314285714, '705-328-9181', 'K9V 6A4'],</v>
      </c>
      <c r="H644" t="s">
        <v>1479</v>
      </c>
    </row>
    <row r="645" spans="1:8" x14ac:dyDescent="0.2">
      <c r="A645" t="s">
        <v>669</v>
      </c>
      <c r="B645" t="str">
        <f t="shared" si="60"/>
        <v>Home Hardware</v>
      </c>
      <c r="C645" t="str">
        <f t="shared" si="61"/>
        <v>44.35381</v>
      </c>
      <c r="D645" t="str">
        <f t="shared" si="62"/>
        <v>-78.74207</v>
      </c>
      <c r="E645" t="str">
        <f t="shared" si="63"/>
        <v>705-324-4611</v>
      </c>
      <c r="F645" t="str">
        <f t="shared" si="64"/>
        <v>K9V 2Y9</v>
      </c>
      <c r="G645" t="str">
        <f t="shared" si="65"/>
        <v>[ "Home Hardware", 44.35381, -78.74207, '705-324-4611', 'K9V 2Y9'],</v>
      </c>
      <c r="H645" t="s">
        <v>1480</v>
      </c>
    </row>
    <row r="646" spans="1:8" x14ac:dyDescent="0.2">
      <c r="A646" t="s">
        <v>670</v>
      </c>
      <c r="B646" t="str">
        <f t="shared" si="60"/>
        <v>Home Building Center</v>
      </c>
      <c r="C646" t="str">
        <f t="shared" si="61"/>
        <v>44.34109</v>
      </c>
      <c r="D646" t="str">
        <f t="shared" si="62"/>
        <v>-78.72824</v>
      </c>
      <c r="E646" t="str">
        <f t="shared" si="63"/>
        <v>705-324-3516</v>
      </c>
      <c r="F646" t="str">
        <f t="shared" si="64"/>
        <v>K9V 2N3</v>
      </c>
      <c r="G646" t="str">
        <f t="shared" si="65"/>
        <v>[ "Home Building Center", 44.34109, -78.72824, '705-324-3516', 'K9V 2N3'],</v>
      </c>
      <c r="H646" t="s">
        <v>1481</v>
      </c>
    </row>
    <row r="647" spans="1:8" x14ac:dyDescent="0.2">
      <c r="A647" t="s">
        <v>672</v>
      </c>
      <c r="B647" t="str">
        <f t="shared" si="60"/>
        <v>RONA</v>
      </c>
      <c r="C647" t="str">
        <f t="shared" si="61"/>
        <v>44.421163</v>
      </c>
      <c r="D647" t="str">
        <f t="shared" si="62"/>
        <v>-78.271105</v>
      </c>
      <c r="E647" t="str">
        <f t="shared" si="63"/>
        <v>705-652-3347</v>
      </c>
      <c r="F647" t="str">
        <f t="shared" si="64"/>
        <v>K0L 2H0</v>
      </c>
      <c r="G647" t="str">
        <f t="shared" si="65"/>
        <v>[ "RONA", 44.421163, -78.271105, '705-652-3347', 'K0L 2H0'],</v>
      </c>
      <c r="H647" t="s">
        <v>1482</v>
      </c>
    </row>
    <row r="648" spans="1:8" x14ac:dyDescent="0.2">
      <c r="A648" t="s">
        <v>673</v>
      </c>
      <c r="B648" t="str">
        <f t="shared" si="60"/>
        <v>Kawartha Hardware Limited</v>
      </c>
      <c r="C648" t="str">
        <f t="shared" si="61"/>
        <v>44.42319</v>
      </c>
      <c r="D648" t="str">
        <f t="shared" si="62"/>
        <v>-78.2721875</v>
      </c>
      <c r="E648" t="str">
        <f t="shared" si="63"/>
        <v>705-652-3171</v>
      </c>
      <c r="F648" t="str">
        <f t="shared" si="64"/>
        <v>K0L 2H0</v>
      </c>
      <c r="G648" t="str">
        <f t="shared" si="65"/>
        <v>[ "Kawartha Hardware Limited", 44.42319, -78.2721875, '705-652-3171', 'K0L 2H0'],</v>
      </c>
      <c r="H648" t="s">
        <v>1483</v>
      </c>
    </row>
    <row r="649" spans="1:8" x14ac:dyDescent="0.2">
      <c r="A649" t="s">
        <v>674</v>
      </c>
      <c r="B649" t="str">
        <f t="shared" si="60"/>
        <v>ListenUp! Canada</v>
      </c>
      <c r="C649" t="str">
        <f t="shared" si="61"/>
        <v>44.30466</v>
      </c>
      <c r="D649" t="str">
        <f t="shared" si="62"/>
        <v>-78.31997</v>
      </c>
      <c r="E649" t="str">
        <f t="shared" si="63"/>
        <v>705-741-2947</v>
      </c>
      <c r="F649" t="str">
        <f t="shared" si="64"/>
        <v>K9H 3R2</v>
      </c>
      <c r="G649" t="str">
        <f t="shared" si="65"/>
        <v>[ "ListenUp! Canada", 44.30466, -78.31997, '705-741-2947', 'K9H 3R2'],</v>
      </c>
      <c r="H649" t="s">
        <v>1484</v>
      </c>
    </row>
    <row r="650" spans="1:8" x14ac:dyDescent="0.2">
      <c r="A650" t="s">
        <v>675</v>
      </c>
      <c r="B650" t="str">
        <f t="shared" si="60"/>
        <v>MNRF</v>
      </c>
      <c r="C650" t="str">
        <f t="shared" si="61"/>
        <v>44.3025876914989</v>
      </c>
      <c r="D650" t="str">
        <f t="shared" si="62"/>
        <v>-78.3189538463336</v>
      </c>
      <c r="E650" t="str">
        <f t="shared" si="63"/>
        <v>705-755-1740</v>
      </c>
      <c r="F650" t="str">
        <f t="shared" si="64"/>
        <v>K9J 3C7</v>
      </c>
      <c r="G650" t="str">
        <f t="shared" si="65"/>
        <v>[ "MNRF", 44.3025876914989, -78.3189538463336, '705-755-1740', 'K9J 3C7'],</v>
      </c>
      <c r="H650" t="s">
        <v>1485</v>
      </c>
    </row>
    <row r="651" spans="1:8" x14ac:dyDescent="0.2">
      <c r="A651" t="s">
        <v>676</v>
      </c>
      <c r="B651" t="str">
        <f t="shared" si="60"/>
        <v>Larry Electric Motor Service Ltd</v>
      </c>
      <c r="C651" t="str">
        <f t="shared" si="61"/>
        <v>44.3008138095238</v>
      </c>
      <c r="D651" t="str">
        <f t="shared" si="62"/>
        <v>-78.3198766666667</v>
      </c>
      <c r="E651" t="str">
        <f t="shared" si="63"/>
        <v>705-743-3167</v>
      </c>
      <c r="F651" t="str">
        <f t="shared" si="64"/>
        <v>K9J 2N3</v>
      </c>
      <c r="G651" t="str">
        <f t="shared" si="65"/>
        <v>[ "Larry Electric Motor Service Ltd", 44.3008138095238, -78.3198766666667, '705-743-3167', 'K9J 2N3'],</v>
      </c>
      <c r="H651" t="s">
        <v>1486</v>
      </c>
    </row>
    <row r="652" spans="1:8" x14ac:dyDescent="0.2">
      <c r="A652" t="s">
        <v>677</v>
      </c>
      <c r="B652" t="str">
        <f t="shared" si="60"/>
        <v>Staples</v>
      </c>
      <c r="C652" t="str">
        <f t="shared" si="61"/>
        <v>44.2896633333333</v>
      </c>
      <c r="D652" t="str">
        <f t="shared" si="62"/>
        <v>-78.3234533333333</v>
      </c>
      <c r="E652" t="str">
        <f t="shared" si="63"/>
        <v>705-741-1130</v>
      </c>
      <c r="F652" t="str">
        <f t="shared" si="64"/>
        <v>K9J 3R8</v>
      </c>
      <c r="G652" t="str">
        <f t="shared" si="65"/>
        <v>[ "Staples", 44.2896633333333, -78.3234533333333, '705-741-1130', 'K9J 3R8'],</v>
      </c>
      <c r="H652" t="s">
        <v>1487</v>
      </c>
    </row>
    <row r="653" spans="1:8" x14ac:dyDescent="0.2">
      <c r="A653" t="s">
        <v>678</v>
      </c>
      <c r="B653" t="str">
        <f t="shared" si="60"/>
        <v>Home Depot</v>
      </c>
      <c r="C653" t="str">
        <f t="shared" si="61"/>
        <v>44.2865753416109</v>
      </c>
      <c r="D653" t="str">
        <f t="shared" si="62"/>
        <v>-78.3271086335564</v>
      </c>
      <c r="E653" t="str">
        <f t="shared" si="63"/>
        <v>705-876-4560</v>
      </c>
      <c r="F653" t="str">
        <f t="shared" si="64"/>
        <v>K9J 8J7</v>
      </c>
      <c r="G653" t="str">
        <f t="shared" si="65"/>
        <v>[ "Home Depot", 44.2865753416109, -78.3271086335564, '705-876-4560', 'K9J 8J7'],</v>
      </c>
      <c r="H653" t="s">
        <v>1488</v>
      </c>
    </row>
    <row r="654" spans="1:8" x14ac:dyDescent="0.2">
      <c r="A654" t="s">
        <v>679</v>
      </c>
      <c r="B654" t="str">
        <f t="shared" si="60"/>
        <v>The Source</v>
      </c>
      <c r="C654" t="str">
        <f t="shared" si="61"/>
        <v>44.28491</v>
      </c>
      <c r="D654" t="str">
        <f t="shared" si="62"/>
        <v>-78.3334</v>
      </c>
      <c r="E654" t="str">
        <f t="shared" si="63"/>
        <v>705-743-2189</v>
      </c>
      <c r="F654" t="str">
        <f t="shared" si="64"/>
        <v>K9J 7Y5</v>
      </c>
      <c r="G654" t="str">
        <f t="shared" si="65"/>
        <v>[ "The Source", 44.28491, -78.3334, '705-743-2189', 'K9J 7Y5'],</v>
      </c>
      <c r="H654" t="s">
        <v>1489</v>
      </c>
    </row>
    <row r="655" spans="1:8" x14ac:dyDescent="0.2">
      <c r="A655" t="s">
        <v>680</v>
      </c>
      <c r="B655" t="str">
        <f t="shared" si="60"/>
        <v>ListenUp! Canada</v>
      </c>
      <c r="C655" t="str">
        <f t="shared" si="61"/>
        <v>44.284434</v>
      </c>
      <c r="D655" t="str">
        <f t="shared" si="62"/>
        <v>-78.350731</v>
      </c>
      <c r="E655" t="str">
        <f t="shared" si="63"/>
        <v>705-749-9180</v>
      </c>
      <c r="F655" t="str">
        <f t="shared" si="64"/>
        <v>K9J 5Y3</v>
      </c>
      <c r="G655" t="str">
        <f t="shared" si="65"/>
        <v>[ "ListenUp! Canada", 44.284434, -78.350731, '705-749-9180', 'K9J 5Y3'],</v>
      </c>
      <c r="H655" t="s">
        <v>1490</v>
      </c>
    </row>
    <row r="656" spans="1:8" x14ac:dyDescent="0.2">
      <c r="A656" t="s">
        <v>681</v>
      </c>
      <c r="B656" t="str">
        <f t="shared" si="60"/>
        <v>Best Buy Canada</v>
      </c>
      <c r="C656" t="str">
        <f t="shared" si="61"/>
        <v>44.28143</v>
      </c>
      <c r="D656" t="str">
        <f t="shared" si="62"/>
        <v>-78.34724</v>
      </c>
      <c r="E656" t="str">
        <f t="shared" si="63"/>
        <v>705-741-2081</v>
      </c>
      <c r="F656" t="str">
        <f t="shared" si="64"/>
        <v>K9J 7M2</v>
      </c>
      <c r="G656" t="str">
        <f t="shared" si="65"/>
        <v>[ "Best Buy Canada", 44.28143, -78.34724, '705-741-2081', 'K9J 7M2'],</v>
      </c>
      <c r="H656" t="s">
        <v>1491</v>
      </c>
    </row>
    <row r="657" spans="1:8" x14ac:dyDescent="0.2">
      <c r="A657" t="s">
        <v>682</v>
      </c>
      <c r="B657" t="str">
        <f t="shared" si="60"/>
        <v>Canadian Tire</v>
      </c>
      <c r="C657" t="str">
        <f t="shared" si="61"/>
        <v>44.28028625</v>
      </c>
      <c r="D657" t="str">
        <f t="shared" si="62"/>
        <v>-78.35212875</v>
      </c>
      <c r="E657" t="str">
        <f t="shared" si="63"/>
        <v>705-742-0406</v>
      </c>
      <c r="F657" t="str">
        <f t="shared" si="64"/>
        <v>K9J 2A1</v>
      </c>
      <c r="G657" t="str">
        <f t="shared" si="65"/>
        <v>[ "Canadian Tire", 44.28028625, -78.35212875, '705-742-0406', 'K9J 2A1'],</v>
      </c>
      <c r="H657" t="s">
        <v>1492</v>
      </c>
    </row>
    <row r="658" spans="1:8" x14ac:dyDescent="0.2">
      <c r="A658" t="s">
        <v>683</v>
      </c>
      <c r="B658" t="str">
        <f t="shared" si="60"/>
        <v>Township of Douro-Dummer</v>
      </c>
      <c r="C658" t="str">
        <f t="shared" si="61"/>
        <v>44.42824</v>
      </c>
      <c r="D658" t="str">
        <f t="shared" si="62"/>
        <v>-78.13654</v>
      </c>
      <c r="E658" t="str">
        <f t="shared" si="63"/>
        <v>705-652-8392</v>
      </c>
      <c r="F658" t="str">
        <f t="shared" si="64"/>
        <v>K0L 3A0</v>
      </c>
      <c r="G658" t="str">
        <f t="shared" si="65"/>
        <v>[ "Township of Douro-Dummer", 44.42824, -78.13654, '705-652-8392', 'K0L 3A0'],</v>
      </c>
      <c r="H658" t="s">
        <v>1493</v>
      </c>
    </row>
    <row r="659" spans="1:8" x14ac:dyDescent="0.2">
      <c r="A659" t="s">
        <v>685</v>
      </c>
      <c r="B659" t="str">
        <f t="shared" si="60"/>
        <v>Drummond Bldg Supplies</v>
      </c>
      <c r="C659" t="str">
        <f t="shared" si="61"/>
        <v>44.47863</v>
      </c>
      <c r="D659" t="str">
        <f t="shared" si="62"/>
        <v>-77.6922</v>
      </c>
      <c r="E659" t="str">
        <f t="shared" si="63"/>
        <v>613-472-2628</v>
      </c>
      <c r="F659" t="str">
        <f t="shared" si="64"/>
        <v>K0K 2M0</v>
      </c>
      <c r="G659" t="str">
        <f t="shared" si="65"/>
        <v>[ "Drummond Bldg Supplies", 44.47863, -77.6922, '613-472-2628', 'K0K 2M0'],</v>
      </c>
      <c r="H659" t="s">
        <v>1494</v>
      </c>
    </row>
    <row r="660" spans="1:8" x14ac:dyDescent="0.2">
      <c r="A660" t="s">
        <v>686</v>
      </c>
      <c r="B660" t="str">
        <f t="shared" si="60"/>
        <v>RONA Campbellford</v>
      </c>
      <c r="C660" t="str">
        <f t="shared" si="61"/>
        <v>44.2890461052992</v>
      </c>
      <c r="D660" t="str">
        <f t="shared" si="62"/>
        <v>-77.8092744786324</v>
      </c>
      <c r="E660" t="str">
        <f t="shared" si="63"/>
        <v>705-653-1440</v>
      </c>
      <c r="F660" t="str">
        <f t="shared" si="64"/>
        <v>K0L 1L0</v>
      </c>
      <c r="G660" t="str">
        <f t="shared" si="65"/>
        <v>[ "RONA Campbellford", 44.2890461052992, -77.8092744786324, '705-653-1440', 'K0L 1L0'],</v>
      </c>
      <c r="H660" t="s">
        <v>1021</v>
      </c>
    </row>
    <row r="661" spans="1:8" x14ac:dyDescent="0.2">
      <c r="A661" t="s">
        <v>687</v>
      </c>
      <c r="B661" t="str">
        <f t="shared" si="60"/>
        <v>RONA</v>
      </c>
      <c r="C661" t="str">
        <f t="shared" si="61"/>
        <v>44.2918933333333</v>
      </c>
      <c r="D661" t="str">
        <f t="shared" si="62"/>
        <v>-77.5647533333333</v>
      </c>
      <c r="E661" t="str">
        <f t="shared" si="63"/>
        <v>613-395-3361</v>
      </c>
      <c r="F661" t="str">
        <f t="shared" si="64"/>
        <v>K0K 3E0</v>
      </c>
      <c r="G661" t="str">
        <f t="shared" si="65"/>
        <v>[ "RONA", 44.2918933333333, -77.5647533333333, '613-395-3361', 'K0K 3E0'],</v>
      </c>
      <c r="H661" t="s">
        <v>1022</v>
      </c>
    </row>
    <row r="662" spans="1:8" x14ac:dyDescent="0.2">
      <c r="A662" t="s">
        <v>688</v>
      </c>
      <c r="B662" t="str">
        <f t="shared" si="60"/>
        <v>Newburgh Pharmacy</v>
      </c>
      <c r="C662" t="str">
        <f t="shared" si="61"/>
        <v>44.41552</v>
      </c>
      <c r="D662" t="str">
        <f t="shared" si="62"/>
        <v>-76.98359</v>
      </c>
      <c r="E662" t="str">
        <f t="shared" si="63"/>
        <v>613-378-2220</v>
      </c>
      <c r="F662" t="str">
        <f t="shared" si="64"/>
        <v>K0K 2S0</v>
      </c>
      <c r="G662" t="str">
        <f t="shared" si="65"/>
        <v>[ "Newburgh Pharmacy", 44.41552, -76.98359, '613-378-2220', 'K0K 2S0'],</v>
      </c>
      <c r="H662" t="s">
        <v>1016</v>
      </c>
    </row>
    <row r="663" spans="1:8" x14ac:dyDescent="0.2">
      <c r="A663" t="s">
        <v>689</v>
      </c>
      <c r="B663" t="str">
        <f t="shared" si="60"/>
        <v>Drummond Bldg Supplies</v>
      </c>
      <c r="C663" t="str">
        <f t="shared" si="61"/>
        <v>44.47863</v>
      </c>
      <c r="D663" t="str">
        <f t="shared" si="62"/>
        <v>-77.6922</v>
      </c>
      <c r="E663" t="str">
        <f t="shared" si="63"/>
        <v>613-472-2628</v>
      </c>
      <c r="F663" t="str">
        <f t="shared" si="64"/>
        <v>K0K 2M0</v>
      </c>
      <c r="G663" t="str">
        <f t="shared" si="65"/>
        <v>[ "Drummond Bldg Supplies", 44.47863, -77.6922, '613-472-2628', 'K0K 2M0'],</v>
      </c>
      <c r="H663" t="s">
        <v>1494</v>
      </c>
    </row>
    <row r="664" spans="1:8" x14ac:dyDescent="0.2">
      <c r="A664" t="s">
        <v>690</v>
      </c>
      <c r="B664" t="str">
        <f t="shared" si="60"/>
        <v>ListenUp! Canada</v>
      </c>
      <c r="C664" t="str">
        <f t="shared" si="61"/>
        <v>44.9048185713514</v>
      </c>
      <c r="D664" t="str">
        <f t="shared" si="62"/>
        <v>-76.2661892542424</v>
      </c>
      <c r="E664" t="str">
        <f t="shared" si="63"/>
        <v>613-267-4877</v>
      </c>
      <c r="F664" t="str">
        <f t="shared" si="64"/>
        <v>K7H 2Y4</v>
      </c>
      <c r="G664" t="str">
        <f t="shared" si="65"/>
        <v>[ "ListenUp! Canada", 44.9048185713514, -76.2661892542424, '613-267-4877', 'K7H 2Y4'],</v>
      </c>
      <c r="H664" t="s">
        <v>1495</v>
      </c>
    </row>
    <row r="665" spans="1:8" x14ac:dyDescent="0.2">
      <c r="A665" t="s">
        <v>691</v>
      </c>
      <c r="B665" t="str">
        <f t="shared" si="60"/>
        <v>Perth Home Hardware</v>
      </c>
      <c r="C665" t="str">
        <f t="shared" si="61"/>
        <v>44.9122139448057</v>
      </c>
      <c r="D665" t="str">
        <f t="shared" si="62"/>
        <v>-76.2617478896113</v>
      </c>
      <c r="E665" t="str">
        <f t="shared" si="63"/>
        <v>613-267-4501</v>
      </c>
      <c r="F665" t="str">
        <f t="shared" si="64"/>
        <v>K7H 2K8</v>
      </c>
      <c r="G665" t="str">
        <f t="shared" si="65"/>
        <v>[ "Perth Home Hardware", 44.9122139448057, -76.2617478896113, '613-267-4501', 'K7H 2K8'],</v>
      </c>
      <c r="H665" t="s">
        <v>1496</v>
      </c>
    </row>
    <row r="666" spans="1:8" x14ac:dyDescent="0.2">
      <c r="A666" t="s">
        <v>692</v>
      </c>
      <c r="B666" t="str">
        <f t="shared" si="60"/>
        <v>Newburgh Pharmacy</v>
      </c>
      <c r="C666" t="str">
        <f t="shared" si="61"/>
        <v>44.41552</v>
      </c>
      <c r="D666" t="str">
        <f t="shared" si="62"/>
        <v>-76.98359</v>
      </c>
      <c r="E666" t="str">
        <f t="shared" si="63"/>
        <v>613-378-2220</v>
      </c>
      <c r="F666" t="str">
        <f t="shared" si="64"/>
        <v>K0K 2S0</v>
      </c>
      <c r="G666" t="str">
        <f t="shared" si="65"/>
        <v>[ "Newburgh Pharmacy", 44.41552, -76.98359, '613-378-2220', 'K0K 2S0'],</v>
      </c>
      <c r="H666" t="s">
        <v>1016</v>
      </c>
    </row>
    <row r="667" spans="1:8" x14ac:dyDescent="0.2">
      <c r="A667" t="s">
        <v>693</v>
      </c>
      <c r="B667" t="str">
        <f t="shared" si="60"/>
        <v>Drummond North Elmsley Twnsp</v>
      </c>
      <c r="C667" t="str">
        <f t="shared" si="61"/>
        <v>44.8894447890205</v>
      </c>
      <c r="D667" t="str">
        <f t="shared" si="62"/>
        <v>-76.1313426391912</v>
      </c>
      <c r="E667" t="str">
        <f t="shared" si="63"/>
        <v>613-267-6565</v>
      </c>
      <c r="F667" t="str">
        <f t="shared" si="64"/>
        <v>K7H 3C7</v>
      </c>
      <c r="G667" t="str">
        <f t="shared" si="65"/>
        <v>[ "Drummond North Elmsley Twnsp", 44.8894447890205, -76.1313426391912, '613-267-6565', 'K7H 3C7'],</v>
      </c>
      <c r="H667" t="s">
        <v>1497</v>
      </c>
    </row>
    <row r="668" spans="1:8" x14ac:dyDescent="0.2">
      <c r="A668" t="s">
        <v>694</v>
      </c>
      <c r="B668" t="str">
        <f t="shared" si="60"/>
        <v>The Source</v>
      </c>
      <c r="C668" t="str">
        <f t="shared" si="61"/>
        <v>45.4733353838408</v>
      </c>
      <c r="D668" t="str">
        <f t="shared" si="62"/>
        <v>-76.6620634021754</v>
      </c>
      <c r="E668" t="str">
        <f t="shared" si="63"/>
        <v>613-433-8805</v>
      </c>
      <c r="F668" t="str">
        <f t="shared" si="64"/>
        <v>K7V 0B4</v>
      </c>
      <c r="G668" t="str">
        <f t="shared" si="65"/>
        <v>[ "The Source", 45.4733353838408, -76.6620634021754, '613-433-8805', 'K7V 0B4'],</v>
      </c>
      <c r="H668" t="s">
        <v>1498</v>
      </c>
    </row>
    <row r="669" spans="1:8" x14ac:dyDescent="0.2">
      <c r="A669" t="s">
        <v>695</v>
      </c>
      <c r="B669" t="str">
        <f t="shared" si="60"/>
        <v>Canadian Tire</v>
      </c>
      <c r="C669" t="str">
        <f t="shared" si="61"/>
        <v>45.4815908474576</v>
      </c>
      <c r="D669" t="str">
        <f t="shared" si="62"/>
        <v>-76.6472638983051</v>
      </c>
      <c r="E669" t="str">
        <f t="shared" si="63"/>
        <v>613-432-5821</v>
      </c>
      <c r="F669" t="str">
        <f t="shared" si="64"/>
        <v>K7V 3Z4</v>
      </c>
      <c r="G669" t="str">
        <f t="shared" si="65"/>
        <v>[ "Canadian Tire", 45.4815908474576, -76.6472638983051, '613-432-5821', 'K7V 3Z4'],</v>
      </c>
      <c r="H669" t="s">
        <v>1499</v>
      </c>
    </row>
    <row r="670" spans="1:8" x14ac:dyDescent="0.2">
      <c r="A670" t="s">
        <v>696</v>
      </c>
      <c r="B670" t="str">
        <f t="shared" si="60"/>
        <v>ListenUp! Canada</v>
      </c>
      <c r="C670" t="str">
        <f t="shared" si="61"/>
        <v>45.13467</v>
      </c>
      <c r="D670" t="str">
        <f t="shared" si="62"/>
        <v>-76.1395070588235</v>
      </c>
      <c r="E670" t="str">
        <f t="shared" si="63"/>
        <v>613-253-0877</v>
      </c>
      <c r="F670" t="str">
        <f t="shared" si="64"/>
        <v>K7C 2T7</v>
      </c>
      <c r="G670" t="str">
        <f t="shared" si="65"/>
        <v>[ "ListenUp! Canada", 45.13467, -76.1395070588235, '613-253-0877', 'K7C 2T7'],</v>
      </c>
      <c r="H670" t="s">
        <v>1500</v>
      </c>
    </row>
    <row r="671" spans="1:8" x14ac:dyDescent="0.2">
      <c r="A671" t="s">
        <v>697</v>
      </c>
      <c r="B671" t="str">
        <f t="shared" si="60"/>
        <v>Canadian Tire</v>
      </c>
      <c r="C671" t="str">
        <f t="shared" si="61"/>
        <v>45.13363</v>
      </c>
      <c r="D671" t="str">
        <f t="shared" si="62"/>
        <v>-76.12181</v>
      </c>
      <c r="E671" t="str">
        <f t="shared" si="63"/>
        <v>613-253-8473</v>
      </c>
      <c r="F671" t="str">
        <f t="shared" si="64"/>
        <v>K7C 4S6</v>
      </c>
      <c r="G671" t="str">
        <f t="shared" si="65"/>
        <v>[ "Canadian Tire", 45.13363, -76.12181, '613-253-8473', 'K7C 4S6'],</v>
      </c>
      <c r="H671" t="s">
        <v>1501</v>
      </c>
    </row>
    <row r="672" spans="1:8" x14ac:dyDescent="0.2">
      <c r="A672" t="s">
        <v>698</v>
      </c>
      <c r="B672" t="str">
        <f t="shared" si="60"/>
        <v>The Source</v>
      </c>
      <c r="C672" t="str">
        <f t="shared" si="61"/>
        <v>45.1332345557538</v>
      </c>
      <c r="D672" t="str">
        <f t="shared" si="62"/>
        <v>-76.1213763011819</v>
      </c>
      <c r="E672" t="str">
        <f t="shared" si="63"/>
        <v>613-253-7813</v>
      </c>
      <c r="F672" t="str">
        <f t="shared" si="64"/>
        <v>K7C 0A8</v>
      </c>
      <c r="G672" t="str">
        <f t="shared" si="65"/>
        <v>[ "The Source", 45.1332345557538, -76.1213763011819, '613-253-7813', 'K7C 0A8'],</v>
      </c>
      <c r="H672" t="s">
        <v>1502</v>
      </c>
    </row>
    <row r="673" spans="1:8" x14ac:dyDescent="0.2">
      <c r="A673" t="s">
        <v>699</v>
      </c>
      <c r="B673" t="str">
        <f t="shared" si="60"/>
        <v>Staples</v>
      </c>
      <c r="C673" t="str">
        <f t="shared" si="61"/>
        <v>45.1327560185777</v>
      </c>
      <c r="D673" t="str">
        <f t="shared" si="62"/>
        <v>-76.1207543897624</v>
      </c>
      <c r="E673" t="str">
        <f t="shared" si="63"/>
        <v>613-253-2400</v>
      </c>
      <c r="F673" t="str">
        <f t="shared" si="64"/>
        <v>K7C 0A8</v>
      </c>
      <c r="G673" t="str">
        <f t="shared" si="65"/>
        <v>[ "Staples", 45.1327560185777, -76.1207543897624, '613-253-2400', 'K7C 0A8'],</v>
      </c>
      <c r="H673" t="s">
        <v>1503</v>
      </c>
    </row>
    <row r="674" spans="1:8" x14ac:dyDescent="0.2">
      <c r="A674" t="s">
        <v>700</v>
      </c>
      <c r="B674" t="str">
        <f t="shared" si="60"/>
        <v>Home Depot</v>
      </c>
      <c r="C674" t="str">
        <f t="shared" si="61"/>
        <v>45.13223</v>
      </c>
      <c r="D674" t="str">
        <f t="shared" si="62"/>
        <v>-76.12007</v>
      </c>
      <c r="E674" t="str">
        <f t="shared" si="63"/>
        <v>613-253-3870</v>
      </c>
      <c r="F674" t="str">
        <f t="shared" si="64"/>
        <v>K7C 0A7</v>
      </c>
      <c r="G674" t="str">
        <f t="shared" si="65"/>
        <v>[ "Home Depot", 45.13223, -76.12007, '613-253-3870', 'K7C 0A7'],</v>
      </c>
      <c r="H674" t="s">
        <v>1504</v>
      </c>
    </row>
    <row r="675" spans="1:8" x14ac:dyDescent="0.2">
      <c r="A675" t="s">
        <v>701</v>
      </c>
      <c r="B675" t="str">
        <f t="shared" si="60"/>
        <v>Bancroft Home Hardware</v>
      </c>
      <c r="C675" t="str">
        <f t="shared" si="61"/>
        <v>45.0730625726286</v>
      </c>
      <c r="D675" t="str">
        <f t="shared" si="62"/>
        <v>-77.8625030411204</v>
      </c>
      <c r="E675" t="str">
        <f t="shared" si="63"/>
        <v>613-332-2060</v>
      </c>
      <c r="F675" t="str">
        <f t="shared" si="64"/>
        <v>K0L 1C0</v>
      </c>
      <c r="G675" t="str">
        <f t="shared" si="65"/>
        <v>[ "Bancroft Home Hardware", 45.0730625726286, -77.8625030411204, '613-332-2060', 'K0L 1C0'],</v>
      </c>
      <c r="H675" t="s">
        <v>1505</v>
      </c>
    </row>
    <row r="676" spans="1:8" x14ac:dyDescent="0.2">
      <c r="A676" t="s">
        <v>702</v>
      </c>
      <c r="B676" t="str">
        <f t="shared" si="60"/>
        <v>Canadian Tire</v>
      </c>
      <c r="C676" t="str">
        <f t="shared" si="61"/>
        <v>45.0827948913303</v>
      </c>
      <c r="D676" t="str">
        <f t="shared" si="62"/>
        <v>-77.8604298133936</v>
      </c>
      <c r="E676" t="str">
        <f t="shared" si="63"/>
        <v>613-332-1074</v>
      </c>
      <c r="F676" t="str">
        <f t="shared" si="64"/>
        <v>K0L 1C0</v>
      </c>
      <c r="G676" t="str">
        <f t="shared" si="65"/>
        <v>[ "Canadian Tire", 45.0827948913303, -77.8604298133936, '613-332-1074', 'K0L 1C0'],</v>
      </c>
      <c r="H676" t="s">
        <v>1506</v>
      </c>
    </row>
    <row r="677" spans="1:8" x14ac:dyDescent="0.2">
      <c r="A677" t="s">
        <v>703</v>
      </c>
      <c r="B677" t="str">
        <f t="shared" si="60"/>
        <v>The Source</v>
      </c>
      <c r="C677" t="str">
        <f t="shared" si="61"/>
        <v>44.2594669387755</v>
      </c>
      <c r="D677" t="str">
        <f t="shared" si="62"/>
        <v>-76.9696418367347</v>
      </c>
      <c r="E677" t="str">
        <f t="shared" si="63"/>
        <v>613-354-6366</v>
      </c>
      <c r="F677" t="str">
        <f t="shared" si="64"/>
        <v>K7R 3L2</v>
      </c>
      <c r="G677" t="str">
        <f t="shared" si="65"/>
        <v>[ "The Source", 44.2594669387755, -76.9696418367347, '613-354-6366', 'K7R 3L2'],</v>
      </c>
      <c r="H677" t="s">
        <v>1013</v>
      </c>
    </row>
    <row r="678" spans="1:8" x14ac:dyDescent="0.2">
      <c r="A678" t="s">
        <v>704</v>
      </c>
      <c r="B678" t="str">
        <f t="shared" si="60"/>
        <v>The Source</v>
      </c>
      <c r="C678" t="str">
        <f t="shared" si="61"/>
        <v>45.4221200682615</v>
      </c>
      <c r="D678" t="str">
        <f t="shared" si="62"/>
        <v>-76.3679568434674</v>
      </c>
      <c r="E678" t="str">
        <f t="shared" si="63"/>
        <v>613-623-9776</v>
      </c>
      <c r="F678" t="str">
        <f t="shared" si="64"/>
        <v>K7S 3G9</v>
      </c>
      <c r="G678" t="str">
        <f t="shared" si="65"/>
        <v>[ "The Source", 45.4221200682615, -76.3679568434674, '613-623-9776', 'K7S 3G9'],</v>
      </c>
      <c r="H678" t="s">
        <v>1507</v>
      </c>
    </row>
    <row r="679" spans="1:8" x14ac:dyDescent="0.2">
      <c r="A679" t="s">
        <v>705</v>
      </c>
      <c r="B679" t="str">
        <f t="shared" si="60"/>
        <v>ListenUp! Canada</v>
      </c>
      <c r="C679" t="str">
        <f t="shared" si="61"/>
        <v>44.9065194367056</v>
      </c>
      <c r="D679" t="str">
        <f t="shared" si="62"/>
        <v>-76.0257185705578</v>
      </c>
      <c r="E679" t="str">
        <f t="shared" si="63"/>
        <v>613-284-0877</v>
      </c>
      <c r="F679" t="str">
        <f t="shared" si="64"/>
        <v>K7A 5L3</v>
      </c>
      <c r="G679" t="str">
        <f t="shared" si="65"/>
        <v>[ "ListenUp! Canada", 44.9065194367056, -76.0257185705578, '613-284-0877', 'K7A 5L3'],</v>
      </c>
      <c r="H679" t="s">
        <v>1508</v>
      </c>
    </row>
    <row r="680" spans="1:8" x14ac:dyDescent="0.2">
      <c r="A680" t="s">
        <v>706</v>
      </c>
      <c r="B680" t="str">
        <f t="shared" si="60"/>
        <v>Town of Arnprior</v>
      </c>
      <c r="C680" t="str">
        <f t="shared" si="61"/>
        <v>45.4347</v>
      </c>
      <c r="D680" t="str">
        <f t="shared" si="62"/>
        <v>-76.3568</v>
      </c>
      <c r="E680" t="str">
        <f t="shared" si="63"/>
        <v>613-623-4231</v>
      </c>
      <c r="F680" t="str">
        <f t="shared" si="64"/>
        <v>K7S 0A8</v>
      </c>
      <c r="G680" t="str">
        <f t="shared" si="65"/>
        <v>[ "Town of Arnprior", 45.4347, -76.3568, '613-623-4231', 'K7S 0A8'],</v>
      </c>
      <c r="H680" t="s">
        <v>1509</v>
      </c>
    </row>
    <row r="681" spans="1:8" x14ac:dyDescent="0.2">
      <c r="A681" t="s">
        <v>707</v>
      </c>
      <c r="B681" t="str">
        <f t="shared" si="60"/>
        <v>ListenUp! Canada</v>
      </c>
      <c r="C681" t="str">
        <f t="shared" si="61"/>
        <v>44.24091</v>
      </c>
      <c r="D681" t="str">
        <f t="shared" si="62"/>
        <v>-76.96616</v>
      </c>
      <c r="E681" t="str">
        <f t="shared" si="63"/>
        <v>613-354-7000</v>
      </c>
      <c r="F681" t="str">
        <f t="shared" si="64"/>
        <v>K7R 3V3</v>
      </c>
      <c r="G681" t="str">
        <f t="shared" si="65"/>
        <v>[ "ListenUp! Canada", 44.24091, -76.96616, '613-354-7000', 'K7R 3V3'],</v>
      </c>
      <c r="H681" t="s">
        <v>1012</v>
      </c>
    </row>
    <row r="682" spans="1:8" x14ac:dyDescent="0.2">
      <c r="A682" t="s">
        <v>708</v>
      </c>
      <c r="B682" t="str">
        <f t="shared" si="60"/>
        <v>Drummond Bldg Supplies</v>
      </c>
      <c r="C682" t="str">
        <f t="shared" si="61"/>
        <v>44.47863</v>
      </c>
      <c r="D682" t="str">
        <f t="shared" si="62"/>
        <v>-77.6922</v>
      </c>
      <c r="E682" t="str">
        <f t="shared" si="63"/>
        <v>613-472-2628</v>
      </c>
      <c r="F682" t="str">
        <f t="shared" si="64"/>
        <v>K0K 2M0</v>
      </c>
      <c r="G682" t="str">
        <f t="shared" si="65"/>
        <v>[ "Drummond Bldg Supplies", 44.47863, -77.6922, '613-472-2628', 'K0K 2M0'],</v>
      </c>
      <c r="H682" t="s">
        <v>1494</v>
      </c>
    </row>
    <row r="683" spans="1:8" x14ac:dyDescent="0.2">
      <c r="A683" t="s">
        <v>709</v>
      </c>
      <c r="B683" t="str">
        <f t="shared" si="60"/>
        <v>Rona</v>
      </c>
      <c r="C683" t="str">
        <f t="shared" si="61"/>
        <v>45.42595</v>
      </c>
      <c r="D683" t="str">
        <f t="shared" si="62"/>
        <v>-76.32327</v>
      </c>
      <c r="E683" t="str">
        <f t="shared" si="63"/>
        <v>613-623-4791</v>
      </c>
      <c r="F683" t="str">
        <f t="shared" si="64"/>
        <v>K7S 3N2</v>
      </c>
      <c r="G683" t="str">
        <f t="shared" si="65"/>
        <v>[ "Rona", 45.42595, -76.32327, '613-623-4791', 'K7S 3N2'],</v>
      </c>
      <c r="H683" t="s">
        <v>1510</v>
      </c>
    </row>
    <row r="684" spans="1:8" x14ac:dyDescent="0.2">
      <c r="A684" t="s">
        <v>710</v>
      </c>
      <c r="B684" t="str">
        <f t="shared" si="60"/>
        <v>Christie and Walther</v>
      </c>
      <c r="C684" t="str">
        <f t="shared" si="61"/>
        <v>44.2742812222652</v>
      </c>
      <c r="D684" t="str">
        <f t="shared" si="62"/>
        <v>-76.5654773740755</v>
      </c>
      <c r="E684" t="str">
        <f t="shared" si="63"/>
        <v>613-634-3636</v>
      </c>
      <c r="F684" t="str">
        <f t="shared" si="64"/>
        <v>K7P 2T4</v>
      </c>
      <c r="G684" t="str">
        <f t="shared" si="65"/>
        <v>[ "Christie and Walther", 44.2742812222652, -76.5654773740755, '613-634-3636', 'K7P 2T4'],</v>
      </c>
      <c r="H684" t="s">
        <v>998</v>
      </c>
    </row>
    <row r="685" spans="1:8" x14ac:dyDescent="0.2">
      <c r="A685" t="s">
        <v>711</v>
      </c>
      <c r="B685" t="str">
        <f t="shared" si="60"/>
        <v>Lowes</v>
      </c>
      <c r="C685" t="str">
        <f t="shared" si="61"/>
        <v>44.261456779661</v>
      </c>
      <c r="D685" t="str">
        <f t="shared" si="62"/>
        <v>-76.5688013559322</v>
      </c>
      <c r="E685" t="str">
        <f t="shared" si="63"/>
        <v>613-634-5410</v>
      </c>
      <c r="F685" t="str">
        <f t="shared" si="64"/>
        <v>K7P 0G1</v>
      </c>
      <c r="G685" t="str">
        <f t="shared" si="65"/>
        <v>[ "Lowes", 44.261456779661, -76.5688013559322, '613-634-5410', 'K7P 0G1'],</v>
      </c>
      <c r="H685" t="s">
        <v>1004</v>
      </c>
    </row>
    <row r="686" spans="1:8" x14ac:dyDescent="0.2">
      <c r="A686" t="s">
        <v>712</v>
      </c>
      <c r="B686" t="str">
        <f t="shared" si="60"/>
        <v>Princess Auto</v>
      </c>
      <c r="C686" t="str">
        <f t="shared" si="61"/>
        <v>44.2617269559147</v>
      </c>
      <c r="D686" t="str">
        <f t="shared" si="62"/>
        <v>-76.559581905584</v>
      </c>
      <c r="E686" t="str">
        <f t="shared" si="63"/>
        <v>613-530-3790</v>
      </c>
      <c r="F686" t="str">
        <f t="shared" si="64"/>
        <v>K7P 2S5</v>
      </c>
      <c r="G686" t="str">
        <f t="shared" si="65"/>
        <v>[ "Princess Auto", 44.2617269559147, -76.559581905584, '613-530-3790', 'K7P 2S5'],</v>
      </c>
      <c r="H686" t="s">
        <v>1000</v>
      </c>
    </row>
    <row r="687" spans="1:8" x14ac:dyDescent="0.2">
      <c r="A687" t="s">
        <v>713</v>
      </c>
      <c r="B687" t="str">
        <f t="shared" si="60"/>
        <v>Fastenal</v>
      </c>
      <c r="C687" t="str">
        <f t="shared" si="61"/>
        <v>44.25836</v>
      </c>
      <c r="D687" t="str">
        <f t="shared" si="62"/>
        <v>-76.56869</v>
      </c>
      <c r="E687" t="str">
        <f t="shared" si="63"/>
        <v>613-389-3968</v>
      </c>
      <c r="F687" t="str">
        <f t="shared" si="64"/>
        <v>K7P 0G3</v>
      </c>
      <c r="G687" t="str">
        <f t="shared" si="65"/>
        <v>[ "Fastenal", 44.25836, -76.56869, '613-389-3968', 'K7P 0G3'],</v>
      </c>
      <c r="H687" t="s">
        <v>1005</v>
      </c>
    </row>
    <row r="688" spans="1:8" x14ac:dyDescent="0.2">
      <c r="A688" t="s">
        <v>714</v>
      </c>
      <c r="B688" t="str">
        <f t="shared" si="60"/>
        <v>The Source</v>
      </c>
      <c r="C688" t="str">
        <f t="shared" si="61"/>
        <v>44.2564347058824</v>
      </c>
      <c r="D688" t="str">
        <f t="shared" si="62"/>
        <v>-76.5687373529412</v>
      </c>
      <c r="E688" t="str">
        <f t="shared" si="63"/>
        <v>613-389-8201</v>
      </c>
      <c r="F688" t="str">
        <f t="shared" si="64"/>
        <v>K7M 7H4</v>
      </c>
      <c r="G688" t="str">
        <f t="shared" si="65"/>
        <v>[ "The Source", 44.2564347058824, -76.5687373529412, '613-389-8201', 'K7M 7H4'],</v>
      </c>
      <c r="H688" t="s">
        <v>1006</v>
      </c>
    </row>
    <row r="689" spans="1:8" x14ac:dyDescent="0.2">
      <c r="A689" t="s">
        <v>715</v>
      </c>
      <c r="B689" t="str">
        <f t="shared" si="60"/>
        <v>RONA</v>
      </c>
      <c r="C689" t="str">
        <f t="shared" si="61"/>
        <v>44.2581559259259</v>
      </c>
      <c r="D689" t="str">
        <f t="shared" si="62"/>
        <v>-76.5518459259259</v>
      </c>
      <c r="E689" t="str">
        <f t="shared" si="63"/>
        <v>613-531-6225</v>
      </c>
      <c r="F689" t="str">
        <f t="shared" si="64"/>
        <v>K7M 3G4</v>
      </c>
      <c r="G689" t="str">
        <f t="shared" si="65"/>
        <v>[ "RONA", 44.2581559259259, -76.5518459259259, '613-531-6225', 'K7M 3G4'],</v>
      </c>
      <c r="H689" t="s">
        <v>999</v>
      </c>
    </row>
    <row r="690" spans="1:8" x14ac:dyDescent="0.2">
      <c r="A690" t="s">
        <v>716</v>
      </c>
      <c r="B690" t="str">
        <f t="shared" si="60"/>
        <v>ListenUp! Canada</v>
      </c>
      <c r="C690" t="str">
        <f t="shared" si="61"/>
        <v>44.2509278198464</v>
      </c>
      <c r="D690" t="str">
        <f t="shared" si="62"/>
        <v>-76.5710049038168</v>
      </c>
      <c r="E690" t="str">
        <f t="shared" si="63"/>
        <v>613-634-0304</v>
      </c>
      <c r="F690" t="str">
        <f t="shared" si="64"/>
        <v>K7P 2N7</v>
      </c>
      <c r="G690" t="str">
        <f t="shared" si="65"/>
        <v>[ "ListenUp! Canada", 44.2509278198464, -76.5710049038168, '613-634-0304', 'K7P 2N7'],</v>
      </c>
      <c r="H690" t="s">
        <v>1008</v>
      </c>
    </row>
    <row r="691" spans="1:8" x14ac:dyDescent="0.2">
      <c r="A691" t="s">
        <v>717</v>
      </c>
      <c r="B691" t="str">
        <f t="shared" si="60"/>
        <v>Madawaska Library</v>
      </c>
      <c r="C691" t="str">
        <f t="shared" si="61"/>
        <v>45.53581</v>
      </c>
      <c r="D691" t="str">
        <f t="shared" si="62"/>
        <v>-78.0485</v>
      </c>
      <c r="E691" t="str">
        <f t="shared" si="63"/>
        <v>--</v>
      </c>
      <c r="F691" t="str">
        <f t="shared" si="64"/>
        <v>K0J 2C0</v>
      </c>
      <c r="G691" t="str">
        <f t="shared" si="65"/>
        <v>[ "Madawaska Library", 45.53581, -78.0485, '--', 'K0J 2C0'],</v>
      </c>
      <c r="H691" t="s">
        <v>1511</v>
      </c>
    </row>
    <row r="692" spans="1:8" x14ac:dyDescent="0.2">
      <c r="A692" t="s">
        <v>718</v>
      </c>
      <c r="B692" t="str">
        <f t="shared" si="60"/>
        <v>Lyell Landfill Site</v>
      </c>
      <c r="C692" t="str">
        <f t="shared" si="61"/>
        <v>45.48304</v>
      </c>
      <c r="D692" t="str">
        <f t="shared" si="62"/>
        <v>-77.9388</v>
      </c>
      <c r="E692" t="str">
        <f t="shared" si="63"/>
        <v>--</v>
      </c>
      <c r="F692" t="str">
        <f t="shared" si="64"/>
        <v>K0J 2C0</v>
      </c>
      <c r="G692" t="str">
        <f t="shared" si="65"/>
        <v>[ "Lyell Landfill Site", 45.48304, -77.9388, '--', 'K0J 2C0'],</v>
      </c>
      <c r="H692" t="s">
        <v>1512</v>
      </c>
    </row>
    <row r="693" spans="1:8" x14ac:dyDescent="0.2">
      <c r="A693" t="s">
        <v>719</v>
      </c>
      <c r="B693" t="str">
        <f t="shared" si="60"/>
        <v>Whitney Library</v>
      </c>
      <c r="C693" t="str">
        <f t="shared" si="61"/>
        <v>45.4600026</v>
      </c>
      <c r="D693" t="str">
        <f t="shared" si="62"/>
        <v>-78.1642873</v>
      </c>
      <c r="E693" t="str">
        <f t="shared" si="63"/>
        <v>--</v>
      </c>
      <c r="F693" t="str">
        <f t="shared" si="64"/>
        <v>K0J 2M0</v>
      </c>
      <c r="G693" t="str">
        <f t="shared" si="65"/>
        <v>[ "Whitney Library", 45.4600026, -78.1642873, '--', 'K0J 2M0'],</v>
      </c>
      <c r="H693" t="s">
        <v>1513</v>
      </c>
    </row>
    <row r="694" spans="1:8" x14ac:dyDescent="0.2">
      <c r="A694" t="s">
        <v>720</v>
      </c>
      <c r="B694" t="str">
        <f t="shared" si="60"/>
        <v>Halco Electronics</v>
      </c>
      <c r="C694" t="str">
        <f t="shared" si="61"/>
        <v>44.81319</v>
      </c>
      <c r="D694" t="str">
        <f t="shared" si="62"/>
        <v>-78.69893</v>
      </c>
      <c r="E694" t="str">
        <f t="shared" si="63"/>
        <v>705-457-1590</v>
      </c>
      <c r="F694" t="str">
        <f t="shared" si="64"/>
        <v>K0M 1S0</v>
      </c>
      <c r="G694" t="str">
        <f t="shared" si="65"/>
        <v>[ "Halco Electronics", 44.81319, -78.69893, '705-457-1590', 'K0M 1S0'],</v>
      </c>
      <c r="H694" t="s">
        <v>1514</v>
      </c>
    </row>
    <row r="695" spans="1:8" x14ac:dyDescent="0.2">
      <c r="A695" t="s">
        <v>721</v>
      </c>
      <c r="B695" t="str">
        <f t="shared" si="60"/>
        <v>The Source</v>
      </c>
      <c r="C695" t="str">
        <f t="shared" si="61"/>
        <v>44.633</v>
      </c>
      <c r="D695" t="str">
        <f t="shared" si="62"/>
        <v>-79.43521</v>
      </c>
      <c r="E695" t="str">
        <f t="shared" si="63"/>
        <v>705-327-0145</v>
      </c>
      <c r="F695" t="str">
        <f t="shared" si="64"/>
        <v>L3V 6H4</v>
      </c>
    </row>
    <row r="696" spans="1:8" x14ac:dyDescent="0.2">
      <c r="A696" t="s">
        <v>722</v>
      </c>
      <c r="B696" t="str">
        <f t="shared" si="60"/>
        <v>Canadian Tire</v>
      </c>
      <c r="C696" t="str">
        <f t="shared" si="61"/>
        <v>44.63189</v>
      </c>
      <c r="D696" t="str">
        <f t="shared" si="62"/>
        <v>-79.43708</v>
      </c>
      <c r="E696" t="str">
        <f t="shared" si="63"/>
        <v>705-325-7414</v>
      </c>
      <c r="F696" t="str">
        <f t="shared" si="64"/>
        <v>L3V 7X6</v>
      </c>
    </row>
    <row r="697" spans="1:8" x14ac:dyDescent="0.2">
      <c r="A697" t="s">
        <v>723</v>
      </c>
      <c r="B697" t="str">
        <f t="shared" si="60"/>
        <v>Staples Canada</v>
      </c>
      <c r="C697" t="str">
        <f t="shared" si="61"/>
        <v>44.6166</v>
      </c>
      <c r="D697" t="str">
        <f t="shared" si="62"/>
        <v>-79.44411</v>
      </c>
      <c r="E697" t="str">
        <f t="shared" si="63"/>
        <v>705-329-3074</v>
      </c>
      <c r="F697" t="str">
        <f t="shared" si="64"/>
        <v>L3V 0B5</v>
      </c>
    </row>
    <row r="698" spans="1:8" x14ac:dyDescent="0.2">
      <c r="A698" t="s">
        <v>724</v>
      </c>
      <c r="B698" t="str">
        <f t="shared" si="60"/>
        <v>Home Depot</v>
      </c>
      <c r="C698" t="str">
        <f t="shared" si="61"/>
        <v>44.6089418374835</v>
      </c>
      <c r="D698" t="str">
        <f t="shared" si="62"/>
        <v>-79.4537873782666</v>
      </c>
      <c r="E698" t="str">
        <f t="shared" si="63"/>
        <v>705-327-6500</v>
      </c>
      <c r="F698" t="str">
        <f t="shared" si="64"/>
        <v>L3V 7Z4</v>
      </c>
    </row>
    <row r="699" spans="1:8" x14ac:dyDescent="0.2">
      <c r="A699" t="s">
        <v>725</v>
      </c>
      <c r="B699" t="str">
        <f t="shared" si="60"/>
        <v>ListenUp! Canada</v>
      </c>
      <c r="C699" t="str">
        <f t="shared" si="61"/>
        <v>44.5996096201182</v>
      </c>
      <c r="D699" t="str">
        <f t="shared" si="62"/>
        <v>-79.4249081117356</v>
      </c>
      <c r="E699" t="str">
        <f t="shared" si="63"/>
        <v>705-326-9421</v>
      </c>
      <c r="F699" t="str">
        <f t="shared" si="64"/>
        <v>L3V 7M9</v>
      </c>
    </row>
    <row r="700" spans="1:8" x14ac:dyDescent="0.2">
      <c r="A700" t="s">
        <v>726</v>
      </c>
      <c r="B700" t="str">
        <f t="shared" si="60"/>
        <v>City of Orillia</v>
      </c>
      <c r="C700" t="str">
        <f t="shared" si="61"/>
        <v>44.59032</v>
      </c>
      <c r="D700" t="str">
        <f t="shared" si="62"/>
        <v>-79.41173</v>
      </c>
      <c r="E700" t="str">
        <f t="shared" si="63"/>
        <v>705-325-2325</v>
      </c>
      <c r="F700" t="str">
        <f t="shared" si="64"/>
        <v>L3V 6Z9</v>
      </c>
    </row>
    <row r="701" spans="1:8" x14ac:dyDescent="0.2">
      <c r="A701" t="s">
        <v>727</v>
      </c>
      <c r="B701" t="str">
        <f t="shared" si="60"/>
        <v>Staples</v>
      </c>
      <c r="C701" t="str">
        <f t="shared" si="61"/>
        <v>45.0435187961326</v>
      </c>
      <c r="D701" t="str">
        <f t="shared" si="62"/>
        <v>-79.3305916592164</v>
      </c>
      <c r="E701" t="str">
        <f t="shared" si="63"/>
        <v>705-646-2775</v>
      </c>
      <c r="F701" t="str">
        <f t="shared" si="64"/>
        <v>P1L 1X3</v>
      </c>
    </row>
    <row r="702" spans="1:8" x14ac:dyDescent="0.2">
      <c r="A702" t="s">
        <v>728</v>
      </c>
      <c r="B702" t="str">
        <f t="shared" si="60"/>
        <v>Canadian Tire</v>
      </c>
      <c r="C702" t="str">
        <f t="shared" si="61"/>
        <v>44.9962773</v>
      </c>
      <c r="D702" t="str">
        <f t="shared" si="62"/>
        <v>-79.3083362</v>
      </c>
      <c r="E702" t="str">
        <f t="shared" si="63"/>
        <v>705-645-5261</v>
      </c>
      <c r="F702" t="str">
        <f t="shared" si="64"/>
        <v>P1L 1V4</v>
      </c>
    </row>
    <row r="703" spans="1:8" x14ac:dyDescent="0.2">
      <c r="A703" t="s">
        <v>729</v>
      </c>
      <c r="B703" t="str">
        <f t="shared" si="60"/>
        <v>Home Depot</v>
      </c>
      <c r="C703" t="str">
        <f t="shared" si="61"/>
        <v>45.0498275</v>
      </c>
      <c r="D703" t="str">
        <f t="shared" si="62"/>
        <v>-79.292494375</v>
      </c>
      <c r="E703" t="str">
        <f t="shared" si="63"/>
        <v>705-646-5600</v>
      </c>
      <c r="F703" t="str">
        <f t="shared" si="64"/>
        <v>P1L 0A1</v>
      </c>
    </row>
    <row r="704" spans="1:8" x14ac:dyDescent="0.2">
      <c r="A704" t="s">
        <v>730</v>
      </c>
      <c r="B704" t="str">
        <f t="shared" si="60"/>
        <v>The Source</v>
      </c>
      <c r="C704" t="str">
        <f t="shared" si="61"/>
        <v>45.34407</v>
      </c>
      <c r="D704" t="str">
        <f t="shared" si="62"/>
        <v>-80.01031</v>
      </c>
      <c r="E704" t="str">
        <f t="shared" si="63"/>
        <v>705-746-8383</v>
      </c>
      <c r="F704" t="str">
        <f t="shared" si="64"/>
        <v>P2A 3C3</v>
      </c>
    </row>
    <row r="705" spans="1:6" x14ac:dyDescent="0.2">
      <c r="A705" t="s">
        <v>731</v>
      </c>
      <c r="B705" t="str">
        <f t="shared" ref="B705:B768" si="66">MID(A705,SEARCH("name"&amp;CHAR(34)&amp;":"&amp;CHAR(34),A705)+7,SEARCH(CHAR(34)&amp;", "&amp;CHAR(34)&amp;"locationlinkurl",A705)-SEARCH("name"&amp;CHAR(34)&amp;":"&amp;CHAR(34),A705)-7)</f>
        <v>Home Depot</v>
      </c>
      <c r="C705" t="str">
        <f t="shared" ref="C705:C768" si="67">MID(A705,SEARCH(CHAR(34)&amp;"latitude"&amp;CHAR(34)&amp;":"&amp;CHAR(34),A705)+12,SEARCH(CHAR(34)&amp;", "&amp;CHAR(34)&amp;"url"&amp;CHAR(34),A705)-SEARCH(CHAR(34)&amp;"latitude"&amp;CHAR(34)&amp;":"&amp;CHAR(34),A705)-12)</f>
        <v>45.3434048134126</v>
      </c>
      <c r="D705" t="str">
        <f t="shared" ref="D705:D768" si="68">MID(A705,SEARCH(CHAR(34)&amp;"longitude"&amp;CHAR(34)&amp;":"&amp;CHAR(34),A705)+13,SEARCH(CHAR(34)&amp;", "&amp;CHAR(34)&amp;"uid"&amp;CHAR(34),A705)-SEARCH(CHAR(34)&amp;"longitude"&amp;CHAR(34)&amp;":"&amp;CHAR(34),A705)-13)</f>
        <v>-80.0129387664976</v>
      </c>
      <c r="E705" t="str">
        <f t="shared" ref="E705:E768" si="69">MID(A705,SEARCH(CHAR(34)&amp;"phone"&amp;CHAR(34)&amp;":"&amp;CHAR(34),A705)+9,SEARCH(CHAR(34)&amp;", "&amp;CHAR(34)&amp;"address2"&amp;CHAR(34),A705)-SEARCH(CHAR(34)&amp;"phone"&amp;CHAR(34)&amp;":"&amp;CHAR(34),A705)-9)</f>
        <v>705-774-7000</v>
      </c>
      <c r="F705" t="str">
        <f t="shared" ref="F705:F768" si="70">MID(A705,SEARCH(CHAR(34)&amp;"postalcode"&amp;CHAR(34)&amp;":"&amp;CHAR(34),A705)+14,SEARCH(CHAR(34)&amp;", "&amp;CHAR(34)&amp;"province"&amp;CHAR(34),A705)-SEARCH(CHAR(34)&amp;"postalcode"&amp;CHAR(34)&amp;":"&amp;CHAR(34),A705)-14)</f>
        <v>P2A 2L7</v>
      </c>
    </row>
    <row r="706" spans="1:6" x14ac:dyDescent="0.2">
      <c r="A706" t="s">
        <v>732</v>
      </c>
      <c r="B706" t="str">
        <f t="shared" si="66"/>
        <v>Georgian Bay Software</v>
      </c>
      <c r="C706" t="str">
        <f t="shared" si="67"/>
        <v>45.344422</v>
      </c>
      <c r="D706" t="str">
        <f t="shared" si="68"/>
        <v>-80.035152</v>
      </c>
      <c r="E706" t="str">
        <f t="shared" si="69"/>
        <v>705-746-6943</v>
      </c>
      <c r="F706" t="str">
        <f t="shared" si="70"/>
        <v>P2A 1W9</v>
      </c>
    </row>
    <row r="707" spans="1:6" x14ac:dyDescent="0.2">
      <c r="A707" t="s">
        <v>733</v>
      </c>
      <c r="B707" t="str">
        <f t="shared" si="66"/>
        <v>MTO</v>
      </c>
      <c r="C707" t="str">
        <f t="shared" si="67"/>
        <v>45.31568</v>
      </c>
      <c r="D707" t="str">
        <f t="shared" si="68"/>
        <v>-79.24049</v>
      </c>
      <c r="E707" t="str">
        <f t="shared" si="69"/>
        <v>705-789-2392</v>
      </c>
      <c r="F707" t="str">
        <f t="shared" si="70"/>
        <v>P1H 1Z9</v>
      </c>
    </row>
    <row r="708" spans="1:6" x14ac:dyDescent="0.2">
      <c r="A708" t="s">
        <v>734</v>
      </c>
      <c r="B708" t="str">
        <f t="shared" si="66"/>
        <v>Home Depot</v>
      </c>
      <c r="C708" t="str">
        <f t="shared" si="67"/>
        <v>45.33947143545</v>
      </c>
      <c r="D708" t="str">
        <f t="shared" si="68"/>
        <v>-79.2202006280094</v>
      </c>
      <c r="E708" t="str">
        <f t="shared" si="69"/>
        <v>705-788-5000</v>
      </c>
      <c r="F708" t="str">
        <f t="shared" si="70"/>
        <v>P1H 0A2</v>
      </c>
    </row>
    <row r="709" spans="1:6" x14ac:dyDescent="0.2">
      <c r="A709" t="s">
        <v>735</v>
      </c>
      <c r="B709" t="str">
        <f t="shared" si="66"/>
        <v>ListenUp! Canada</v>
      </c>
      <c r="C709" t="str">
        <f t="shared" si="67"/>
        <v>45.3319224506029</v>
      </c>
      <c r="D709" t="str">
        <f t="shared" si="68"/>
        <v>-79.2084770905076</v>
      </c>
      <c r="E709" t="str">
        <f t="shared" si="69"/>
        <v>705-789-9293</v>
      </c>
      <c r="F709" t="str">
        <f t="shared" si="70"/>
        <v>P1H 1G3</v>
      </c>
    </row>
    <row r="710" spans="1:6" x14ac:dyDescent="0.2">
      <c r="A710" t="s">
        <v>736</v>
      </c>
      <c r="B710" t="str">
        <f t="shared" si="66"/>
        <v>The Source</v>
      </c>
      <c r="C710" t="str">
        <f t="shared" si="67"/>
        <v>45.33405</v>
      </c>
      <c r="D710" t="str">
        <f t="shared" si="68"/>
        <v>-79.20579</v>
      </c>
      <c r="E710" t="str">
        <f t="shared" si="69"/>
        <v>705-788-1357</v>
      </c>
      <c r="F710" t="str">
        <f t="shared" si="70"/>
        <v>P1H 2A5</v>
      </c>
    </row>
    <row r="711" spans="1:6" x14ac:dyDescent="0.2">
      <c r="A711" t="s">
        <v>737</v>
      </c>
      <c r="B711" t="str">
        <f t="shared" si="66"/>
        <v>Canadian Tire</v>
      </c>
      <c r="C711" t="str">
        <f t="shared" si="67"/>
        <v>45.334272814617</v>
      </c>
      <c r="D711" t="str">
        <f t="shared" si="68"/>
        <v>-79.2056134299262</v>
      </c>
      <c r="E711" t="str">
        <f t="shared" si="69"/>
        <v>705-789-5566</v>
      </c>
      <c r="F711" t="str">
        <f t="shared" si="70"/>
        <v>P1H 1E5</v>
      </c>
    </row>
    <row r="712" spans="1:6" x14ac:dyDescent="0.2">
      <c r="A712" t="s">
        <v>738</v>
      </c>
      <c r="B712" t="str">
        <f t="shared" si="66"/>
        <v>Staples</v>
      </c>
      <c r="C712" t="str">
        <f t="shared" si="67"/>
        <v>45.33458</v>
      </c>
      <c r="D712" t="str">
        <f t="shared" si="68"/>
        <v>-79.20537</v>
      </c>
      <c r="E712" t="str">
        <f t="shared" si="69"/>
        <v>705-789-5817</v>
      </c>
      <c r="F712" t="str">
        <f t="shared" si="70"/>
        <v>P1H 1G6</v>
      </c>
    </row>
    <row r="713" spans="1:6" x14ac:dyDescent="0.2">
      <c r="A713" t="s">
        <v>739</v>
      </c>
      <c r="B713" t="str">
        <f t="shared" si="66"/>
        <v>Staples</v>
      </c>
      <c r="C713" t="str">
        <f t="shared" si="67"/>
        <v>45.0435187961326</v>
      </c>
      <c r="D713" t="str">
        <f t="shared" si="68"/>
        <v>-79.3305916592164</v>
      </c>
      <c r="E713" t="str">
        <f t="shared" si="69"/>
        <v>705-646-2775</v>
      </c>
      <c r="F713" t="str">
        <f t="shared" si="70"/>
        <v>P1L 1X3</v>
      </c>
    </row>
    <row r="714" spans="1:6" x14ac:dyDescent="0.2">
      <c r="A714" t="s">
        <v>740</v>
      </c>
      <c r="B714" t="str">
        <f t="shared" si="66"/>
        <v>Georgian Bay Software</v>
      </c>
      <c r="C714" t="str">
        <f t="shared" si="67"/>
        <v>45.344422</v>
      </c>
      <c r="D714" t="str">
        <f t="shared" si="68"/>
        <v>-80.035152</v>
      </c>
      <c r="E714" t="str">
        <f t="shared" si="69"/>
        <v>705-746-6943</v>
      </c>
      <c r="F714" t="str">
        <f t="shared" si="70"/>
        <v>P2A 1W9</v>
      </c>
    </row>
    <row r="715" spans="1:6" x14ac:dyDescent="0.2">
      <c r="A715" t="s">
        <v>741</v>
      </c>
      <c r="B715" t="str">
        <f t="shared" si="66"/>
        <v>Home Depot</v>
      </c>
      <c r="C715" t="str">
        <f t="shared" si="67"/>
        <v>45.3434048134126</v>
      </c>
      <c r="D715" t="str">
        <f t="shared" si="68"/>
        <v>-80.0129387664976</v>
      </c>
      <c r="E715" t="str">
        <f t="shared" si="69"/>
        <v>705-774-7000</v>
      </c>
      <c r="F715" t="str">
        <f t="shared" si="70"/>
        <v>P2A 2L7</v>
      </c>
    </row>
    <row r="716" spans="1:6" x14ac:dyDescent="0.2">
      <c r="A716" t="s">
        <v>742</v>
      </c>
      <c r="B716" t="str">
        <f t="shared" si="66"/>
        <v>The Source</v>
      </c>
      <c r="C716" t="str">
        <f t="shared" si="67"/>
        <v>45.34407</v>
      </c>
      <c r="D716" t="str">
        <f t="shared" si="68"/>
        <v>-80.01031</v>
      </c>
      <c r="E716" t="str">
        <f t="shared" si="69"/>
        <v>705-746-8383</v>
      </c>
      <c r="F716" t="str">
        <f t="shared" si="70"/>
        <v>P2A 3C3</v>
      </c>
    </row>
    <row r="717" spans="1:6" x14ac:dyDescent="0.2">
      <c r="A717" t="s">
        <v>744</v>
      </c>
      <c r="B717" t="str">
        <f t="shared" si="66"/>
        <v>Georgian Bay Software</v>
      </c>
      <c r="C717" t="str">
        <f t="shared" si="67"/>
        <v>45.344422</v>
      </c>
      <c r="D717" t="str">
        <f t="shared" si="68"/>
        <v>-80.035152</v>
      </c>
      <c r="E717" t="str">
        <f t="shared" si="69"/>
        <v>705-746-6943</v>
      </c>
      <c r="F717" t="str">
        <f t="shared" si="70"/>
        <v>P2A 1W9</v>
      </c>
    </row>
    <row r="718" spans="1:6" x14ac:dyDescent="0.2">
      <c r="A718" t="s">
        <v>745</v>
      </c>
      <c r="B718" t="str">
        <f t="shared" si="66"/>
        <v>Home Depot</v>
      </c>
      <c r="C718" t="str">
        <f t="shared" si="67"/>
        <v>45.3434048134126</v>
      </c>
      <c r="D718" t="str">
        <f t="shared" si="68"/>
        <v>-80.0129387664976</v>
      </c>
      <c r="E718" t="str">
        <f t="shared" si="69"/>
        <v>705-774-7000</v>
      </c>
      <c r="F718" t="str">
        <f t="shared" si="70"/>
        <v>P2A 2L7</v>
      </c>
    </row>
    <row r="719" spans="1:6" x14ac:dyDescent="0.2">
      <c r="A719" t="s">
        <v>746</v>
      </c>
      <c r="B719" t="str">
        <f t="shared" si="66"/>
        <v>The Source</v>
      </c>
      <c r="C719" t="str">
        <f t="shared" si="67"/>
        <v>45.34407</v>
      </c>
      <c r="D719" t="str">
        <f t="shared" si="68"/>
        <v>-80.01031</v>
      </c>
      <c r="E719" t="str">
        <f t="shared" si="69"/>
        <v>705-746-8383</v>
      </c>
      <c r="F719" t="str">
        <f t="shared" si="70"/>
        <v>P2A 3C3</v>
      </c>
    </row>
    <row r="720" spans="1:6" x14ac:dyDescent="0.2">
      <c r="A720" t="s">
        <v>747</v>
      </c>
      <c r="B720" t="str">
        <f t="shared" si="66"/>
        <v>The Source</v>
      </c>
      <c r="C720" t="str">
        <f t="shared" si="67"/>
        <v>46.4510312859701</v>
      </c>
      <c r="D720" t="str">
        <f t="shared" si="68"/>
        <v>-81.0016696544131</v>
      </c>
      <c r="E720" t="str">
        <f t="shared" si="69"/>
        <v>705-522-1457</v>
      </c>
      <c r="F720" t="str">
        <f t="shared" si="70"/>
        <v>P3E 5R2</v>
      </c>
    </row>
    <row r="721" spans="1:6" x14ac:dyDescent="0.2">
      <c r="A721" t="s">
        <v>748</v>
      </c>
      <c r="B721" t="str">
        <f t="shared" si="66"/>
        <v>Fastenal</v>
      </c>
      <c r="C721" t="str">
        <f t="shared" si="67"/>
        <v>46.4719496466368</v>
      </c>
      <c r="D721" t="str">
        <f t="shared" si="68"/>
        <v>-81.0280557295891</v>
      </c>
      <c r="E721" t="str">
        <f t="shared" si="69"/>
        <v>705-675-6888</v>
      </c>
      <c r="F721" t="str">
        <f t="shared" si="70"/>
        <v>P3C 3B6</v>
      </c>
    </row>
    <row r="722" spans="1:6" x14ac:dyDescent="0.2">
      <c r="A722" t="s">
        <v>749</v>
      </c>
      <c r="B722" t="str">
        <f t="shared" si="66"/>
        <v>Home Depot</v>
      </c>
      <c r="C722" t="str">
        <f t="shared" si="67"/>
        <v>46.50216</v>
      </c>
      <c r="D722" t="str">
        <f t="shared" si="68"/>
        <v>-80.9413717053339</v>
      </c>
      <c r="E722" t="str">
        <f t="shared" si="69"/>
        <v>705-525-2960</v>
      </c>
      <c r="F722" t="str">
        <f t="shared" si="70"/>
        <v>P3B 4K5</v>
      </c>
    </row>
    <row r="723" spans="1:6" x14ac:dyDescent="0.2">
      <c r="A723" t="s">
        <v>750</v>
      </c>
      <c r="B723" t="str">
        <f t="shared" si="66"/>
        <v>City of Greater Sudbury</v>
      </c>
      <c r="C723" t="str">
        <f t="shared" si="67"/>
        <v>46.5057506247064</v>
      </c>
      <c r="D723" t="str">
        <f t="shared" si="68"/>
        <v>-80.9304913530085</v>
      </c>
      <c r="E723" t="str">
        <f t="shared" si="69"/>
        <v>705-671-2489</v>
      </c>
      <c r="F723" t="str">
        <f t="shared" si="70"/>
        <v>P3A 6C8</v>
      </c>
    </row>
    <row r="724" spans="1:6" x14ac:dyDescent="0.2">
      <c r="A724" t="s">
        <v>751</v>
      </c>
      <c r="B724" t="str">
        <f t="shared" si="66"/>
        <v>Lowes</v>
      </c>
      <c r="C724" t="str">
        <f t="shared" si="67"/>
        <v>46.5016862172095</v>
      </c>
      <c r="D724" t="str">
        <f t="shared" si="68"/>
        <v>-80.945430510575</v>
      </c>
      <c r="E724" t="str">
        <f t="shared" si="69"/>
        <v>705-521-7200</v>
      </c>
      <c r="F724" t="str">
        <f t="shared" si="70"/>
        <v>P3B 4K6</v>
      </c>
    </row>
    <row r="725" spans="1:6" x14ac:dyDescent="0.2">
      <c r="A725" t="s">
        <v>752</v>
      </c>
      <c r="B725" t="str">
        <f t="shared" si="66"/>
        <v>Powassan Home Hardware</v>
      </c>
      <c r="C725" t="str">
        <f t="shared" si="67"/>
        <v>46.0814266666667</v>
      </c>
      <c r="D725" t="str">
        <f t="shared" si="68"/>
        <v>-79.3612022222222</v>
      </c>
      <c r="E725" t="str">
        <f t="shared" si="69"/>
        <v>705-724-2810</v>
      </c>
      <c r="F725" t="str">
        <f t="shared" si="70"/>
        <v>P0H 1Z0</v>
      </c>
    </row>
    <row r="726" spans="1:6" x14ac:dyDescent="0.2">
      <c r="A726" t="s">
        <v>753</v>
      </c>
      <c r="B726" t="str">
        <f t="shared" si="66"/>
        <v>Powassan Home Hardware</v>
      </c>
      <c r="C726" t="str">
        <f t="shared" si="67"/>
        <v>46.0814266666667</v>
      </c>
      <c r="D726" t="str">
        <f t="shared" si="68"/>
        <v>-79.3612022222222</v>
      </c>
      <c r="E726" t="str">
        <f t="shared" si="69"/>
        <v>705-724-2810</v>
      </c>
      <c r="F726" t="str">
        <f t="shared" si="70"/>
        <v>P0H 1Z0</v>
      </c>
    </row>
    <row r="727" spans="1:6" x14ac:dyDescent="0.2">
      <c r="A727" t="s">
        <v>754</v>
      </c>
      <c r="B727" t="str">
        <f t="shared" si="66"/>
        <v>Home Depot</v>
      </c>
      <c r="C727" t="str">
        <f t="shared" si="67"/>
        <v>45.33947143545</v>
      </c>
      <c r="D727" t="str">
        <f t="shared" si="68"/>
        <v>-79.2202006280094</v>
      </c>
      <c r="E727" t="str">
        <f t="shared" si="69"/>
        <v>705-788-5000</v>
      </c>
      <c r="F727" t="str">
        <f t="shared" si="70"/>
        <v>P1H 0A2</v>
      </c>
    </row>
    <row r="728" spans="1:6" x14ac:dyDescent="0.2">
      <c r="A728" t="s">
        <v>755</v>
      </c>
      <c r="B728" t="str">
        <f t="shared" si="66"/>
        <v>Staples</v>
      </c>
      <c r="C728" t="str">
        <f t="shared" si="67"/>
        <v>45.33458</v>
      </c>
      <c r="D728" t="str">
        <f t="shared" si="68"/>
        <v>-79.20537</v>
      </c>
      <c r="E728" t="str">
        <f t="shared" si="69"/>
        <v>705-789-5817</v>
      </c>
      <c r="F728" t="str">
        <f t="shared" si="70"/>
        <v>P1H 1G6</v>
      </c>
    </row>
    <row r="729" spans="1:6" x14ac:dyDescent="0.2">
      <c r="A729" t="s">
        <v>756</v>
      </c>
      <c r="B729" t="str">
        <f t="shared" si="66"/>
        <v>Canadian Tire</v>
      </c>
      <c r="C729" t="str">
        <f t="shared" si="67"/>
        <v>45.334272814617</v>
      </c>
      <c r="D729" t="str">
        <f t="shared" si="68"/>
        <v>-79.2056134299262</v>
      </c>
      <c r="E729" t="str">
        <f t="shared" si="69"/>
        <v>705-789-5566</v>
      </c>
      <c r="F729" t="str">
        <f t="shared" si="70"/>
        <v>P1H 1E5</v>
      </c>
    </row>
    <row r="730" spans="1:6" x14ac:dyDescent="0.2">
      <c r="A730" t="s">
        <v>757</v>
      </c>
      <c r="B730" t="str">
        <f t="shared" si="66"/>
        <v>The Source</v>
      </c>
      <c r="C730" t="str">
        <f t="shared" si="67"/>
        <v>45.33405</v>
      </c>
      <c r="D730" t="str">
        <f t="shared" si="68"/>
        <v>-79.20579</v>
      </c>
      <c r="E730" t="str">
        <f t="shared" si="69"/>
        <v>705-788-1357</v>
      </c>
      <c r="F730" t="str">
        <f t="shared" si="70"/>
        <v>P1H 2A5</v>
      </c>
    </row>
    <row r="731" spans="1:6" x14ac:dyDescent="0.2">
      <c r="A731" t="s">
        <v>758</v>
      </c>
      <c r="B731" t="str">
        <f t="shared" si="66"/>
        <v>ListenUp! Canada</v>
      </c>
      <c r="C731" t="str">
        <f t="shared" si="67"/>
        <v>45.3319224506029</v>
      </c>
      <c r="D731" t="str">
        <f t="shared" si="68"/>
        <v>-79.2084770905076</v>
      </c>
      <c r="E731" t="str">
        <f t="shared" si="69"/>
        <v>705-789-9293</v>
      </c>
      <c r="F731" t="str">
        <f t="shared" si="70"/>
        <v>P1H 1G3</v>
      </c>
    </row>
    <row r="732" spans="1:6" x14ac:dyDescent="0.2">
      <c r="A732" t="s">
        <v>759</v>
      </c>
      <c r="B732" t="str">
        <f t="shared" si="66"/>
        <v>MTO</v>
      </c>
      <c r="C732" t="str">
        <f t="shared" si="67"/>
        <v>45.31568</v>
      </c>
      <c r="D732" t="str">
        <f t="shared" si="68"/>
        <v>-79.24049</v>
      </c>
      <c r="E732" t="str">
        <f t="shared" si="69"/>
        <v>705-789-2392</v>
      </c>
      <c r="F732" t="str">
        <f t="shared" si="70"/>
        <v>P1H 1Z9</v>
      </c>
    </row>
    <row r="733" spans="1:6" x14ac:dyDescent="0.2">
      <c r="A733" t="s">
        <v>760</v>
      </c>
      <c r="B733" t="str">
        <f t="shared" si="66"/>
        <v>Spectrum Telecom Group Ltd</v>
      </c>
      <c r="C733" t="str">
        <f t="shared" si="67"/>
        <v>46.2708855102041</v>
      </c>
      <c r="D733" t="str">
        <f t="shared" si="68"/>
        <v>-79.4103093877551</v>
      </c>
      <c r="E733" t="str">
        <f t="shared" si="69"/>
        <v>705-474-6368</v>
      </c>
      <c r="F733" t="str">
        <f t="shared" si="70"/>
        <v>P1A 4M5</v>
      </c>
    </row>
    <row r="734" spans="1:6" x14ac:dyDescent="0.2">
      <c r="A734" t="s">
        <v>761</v>
      </c>
      <c r="B734" t="str">
        <f t="shared" si="66"/>
        <v>The Source</v>
      </c>
      <c r="C734" t="str">
        <f t="shared" si="67"/>
        <v>46.2829</v>
      </c>
      <c r="D734" t="str">
        <f t="shared" si="68"/>
        <v>-79.44897</v>
      </c>
      <c r="E734" t="str">
        <f t="shared" si="69"/>
        <v>705-476-4486</v>
      </c>
      <c r="F734" t="str">
        <f t="shared" si="70"/>
        <v>P1A 3V2</v>
      </c>
    </row>
    <row r="735" spans="1:6" x14ac:dyDescent="0.2">
      <c r="A735" t="s">
        <v>762</v>
      </c>
      <c r="B735" t="str">
        <f t="shared" si="66"/>
        <v>Home Depot</v>
      </c>
      <c r="C735" t="str">
        <f t="shared" si="67"/>
        <v>46.3072931080718</v>
      </c>
      <c r="D735" t="str">
        <f t="shared" si="68"/>
        <v>-79.4389821007338</v>
      </c>
      <c r="E735" t="str">
        <f t="shared" si="69"/>
        <v>705-845-2300</v>
      </c>
      <c r="F735" t="str">
        <f t="shared" si="70"/>
        <v>P1B 9V6</v>
      </c>
    </row>
    <row r="736" spans="1:6" x14ac:dyDescent="0.2">
      <c r="A736" t="s">
        <v>763</v>
      </c>
      <c r="B736" t="str">
        <f t="shared" si="66"/>
        <v>City of North Bay</v>
      </c>
      <c r="C736" t="str">
        <f t="shared" si="67"/>
        <v>46.31202</v>
      </c>
      <c r="D736" t="str">
        <f t="shared" si="68"/>
        <v>-79.43825</v>
      </c>
      <c r="E736" t="str">
        <f t="shared" si="69"/>
        <v>705-474-0400</v>
      </c>
      <c r="F736" t="str">
        <f t="shared" si="70"/>
        <v>P1B 8G4</v>
      </c>
    </row>
    <row r="737" spans="1:6" x14ac:dyDescent="0.2">
      <c r="A737" t="s">
        <v>764</v>
      </c>
      <c r="B737" t="str">
        <f t="shared" si="66"/>
        <v>Sears (Canada)</v>
      </c>
      <c r="C737" t="str">
        <f t="shared" si="67"/>
        <v>46.31296</v>
      </c>
      <c r="D737" t="str">
        <f t="shared" si="68"/>
        <v>-79.44285</v>
      </c>
      <c r="E737" t="str">
        <f t="shared" si="69"/>
        <v>705-476-2119</v>
      </c>
      <c r="F737" t="str">
        <f t="shared" si="70"/>
        <v>P1B 2H3</v>
      </c>
    </row>
    <row r="738" spans="1:6" x14ac:dyDescent="0.2">
      <c r="A738" t="s">
        <v>765</v>
      </c>
      <c r="B738" t="str">
        <f t="shared" si="66"/>
        <v>Best Buy Canada</v>
      </c>
      <c r="C738" t="str">
        <f t="shared" si="67"/>
        <v>46.31296</v>
      </c>
      <c r="D738" t="str">
        <f t="shared" si="68"/>
        <v>-79.44285</v>
      </c>
      <c r="E738" t="str">
        <f t="shared" si="69"/>
        <v>705-472-2126</v>
      </c>
      <c r="F738" t="str">
        <f t="shared" si="70"/>
        <v>P1B 2H3</v>
      </c>
    </row>
    <row r="739" spans="1:6" x14ac:dyDescent="0.2">
      <c r="A739" t="s">
        <v>766</v>
      </c>
      <c r="B739" t="str">
        <f t="shared" si="66"/>
        <v>ListenUp! Canada</v>
      </c>
      <c r="C739" t="str">
        <f t="shared" si="67"/>
        <v>46.3179816161616</v>
      </c>
      <c r="D739" t="str">
        <f t="shared" si="68"/>
        <v>-79.4468766666667</v>
      </c>
      <c r="E739" t="str">
        <f t="shared" si="69"/>
        <v>705-474-3896</v>
      </c>
      <c r="F739" t="str">
        <f t="shared" si="70"/>
        <v>P1B 4C8</v>
      </c>
    </row>
    <row r="740" spans="1:6" x14ac:dyDescent="0.2">
      <c r="A740" t="s">
        <v>767</v>
      </c>
      <c r="B740" t="str">
        <f t="shared" si="66"/>
        <v>Gateway Professional Tools</v>
      </c>
      <c r="C740" t="str">
        <f t="shared" si="67"/>
        <v>46.3157196161105</v>
      </c>
      <c r="D740" t="str">
        <f t="shared" si="68"/>
        <v>-79.461210087138</v>
      </c>
      <c r="E740" t="str">
        <f t="shared" si="69"/>
        <v>705-495-4906</v>
      </c>
      <c r="F740" t="str">
        <f t="shared" si="70"/>
        <v>P1B 4A4</v>
      </c>
    </row>
    <row r="741" spans="1:6" x14ac:dyDescent="0.2">
      <c r="A741" t="s">
        <v>768</v>
      </c>
      <c r="B741" t="str">
        <f t="shared" si="66"/>
        <v>Staples</v>
      </c>
      <c r="C741" t="str">
        <f t="shared" si="67"/>
        <v>46.33246</v>
      </c>
      <c r="D741" t="str">
        <f t="shared" si="68"/>
        <v>-79.46608</v>
      </c>
      <c r="E741" t="str">
        <f t="shared" si="69"/>
        <v>705-472-7223</v>
      </c>
      <c r="F741" t="str">
        <f t="shared" si="70"/>
        <v>P1B 4Y8</v>
      </c>
    </row>
    <row r="742" spans="1:6" x14ac:dyDescent="0.2">
      <c r="A742" t="s">
        <v>769</v>
      </c>
      <c r="B742" t="str">
        <f t="shared" si="66"/>
        <v>Airy Landfill Site</v>
      </c>
      <c r="C742" t="str">
        <f t="shared" si="67"/>
        <v>45.49942</v>
      </c>
      <c r="D742" t="str">
        <f t="shared" si="68"/>
        <v>-78.23153</v>
      </c>
      <c r="E742" t="str">
        <f t="shared" si="69"/>
        <v>--</v>
      </c>
      <c r="F742" t="str">
        <f t="shared" si="70"/>
        <v>K0J 2M0</v>
      </c>
    </row>
    <row r="743" spans="1:6" x14ac:dyDescent="0.2">
      <c r="A743" t="s">
        <v>770</v>
      </c>
      <c r="B743" t="str">
        <f t="shared" si="66"/>
        <v>Township of South Algonquin</v>
      </c>
      <c r="C743" t="str">
        <f t="shared" si="67"/>
        <v>45.4860755</v>
      </c>
      <c r="D743" t="str">
        <f t="shared" si="68"/>
        <v>-78.2406405</v>
      </c>
      <c r="E743" t="str">
        <f t="shared" si="69"/>
        <v>613-637-2650</v>
      </c>
      <c r="F743" t="str">
        <f t="shared" si="70"/>
        <v>K0J 2M0</v>
      </c>
    </row>
    <row r="744" spans="1:6" x14ac:dyDescent="0.2">
      <c r="A744" t="s">
        <v>771</v>
      </c>
      <c r="B744" t="str">
        <f t="shared" si="66"/>
        <v>Whitney Municipal Office</v>
      </c>
      <c r="C744" t="str">
        <f t="shared" si="67"/>
        <v>45.4860755</v>
      </c>
      <c r="D744" t="str">
        <f t="shared" si="68"/>
        <v>-78.2406405</v>
      </c>
      <c r="E744" t="str">
        <f t="shared" si="69"/>
        <v>--</v>
      </c>
      <c r="F744" t="str">
        <f t="shared" si="70"/>
        <v>K0J 2M0</v>
      </c>
    </row>
    <row r="745" spans="1:6" x14ac:dyDescent="0.2">
      <c r="A745" t="s">
        <v>772</v>
      </c>
      <c r="B745" t="str">
        <f t="shared" si="66"/>
        <v>Whitney Library</v>
      </c>
      <c r="C745" t="str">
        <f t="shared" si="67"/>
        <v>45.4600026</v>
      </c>
      <c r="D745" t="str">
        <f t="shared" si="68"/>
        <v>-78.1642873</v>
      </c>
      <c r="E745" t="str">
        <f t="shared" si="69"/>
        <v>--</v>
      </c>
      <c r="F745" t="str">
        <f t="shared" si="70"/>
        <v>K0J 2M0</v>
      </c>
    </row>
    <row r="746" spans="1:6" x14ac:dyDescent="0.2">
      <c r="A746" t="s">
        <v>773</v>
      </c>
      <c r="B746" t="str">
        <f t="shared" si="66"/>
        <v>Staples</v>
      </c>
      <c r="C746" t="str">
        <f t="shared" si="67"/>
        <v>46.33246</v>
      </c>
      <c r="D746" t="str">
        <f t="shared" si="68"/>
        <v>-79.46608</v>
      </c>
      <c r="E746" t="str">
        <f t="shared" si="69"/>
        <v>705-472-7223</v>
      </c>
      <c r="F746" t="str">
        <f t="shared" si="70"/>
        <v>P1B 4Y8</v>
      </c>
    </row>
    <row r="747" spans="1:6" x14ac:dyDescent="0.2">
      <c r="A747" t="s">
        <v>774</v>
      </c>
      <c r="B747" t="str">
        <f t="shared" si="66"/>
        <v>Gateway Professional Tools</v>
      </c>
      <c r="C747" t="str">
        <f t="shared" si="67"/>
        <v>46.3157196161105</v>
      </c>
      <c r="D747" t="str">
        <f t="shared" si="68"/>
        <v>-79.461210087138</v>
      </c>
      <c r="E747" t="str">
        <f t="shared" si="69"/>
        <v>705-495-4906</v>
      </c>
      <c r="F747" t="str">
        <f t="shared" si="70"/>
        <v>P1B 4A4</v>
      </c>
    </row>
    <row r="748" spans="1:6" x14ac:dyDescent="0.2">
      <c r="A748" t="s">
        <v>775</v>
      </c>
      <c r="B748" t="str">
        <f t="shared" si="66"/>
        <v>ListenUp! Canada</v>
      </c>
      <c r="C748" t="str">
        <f t="shared" si="67"/>
        <v>46.3179816161616</v>
      </c>
      <c r="D748" t="str">
        <f t="shared" si="68"/>
        <v>-79.4468766666667</v>
      </c>
      <c r="E748" t="str">
        <f t="shared" si="69"/>
        <v>705-474-3896</v>
      </c>
      <c r="F748" t="str">
        <f t="shared" si="70"/>
        <v>P1B 4C8</v>
      </c>
    </row>
    <row r="749" spans="1:6" x14ac:dyDescent="0.2">
      <c r="A749" t="s">
        <v>776</v>
      </c>
      <c r="B749" t="str">
        <f t="shared" si="66"/>
        <v>Sears (Canada)</v>
      </c>
      <c r="C749" t="str">
        <f t="shared" si="67"/>
        <v>46.31296</v>
      </c>
      <c r="D749" t="str">
        <f t="shared" si="68"/>
        <v>-79.44285</v>
      </c>
      <c r="E749" t="str">
        <f t="shared" si="69"/>
        <v>705-476-2119</v>
      </c>
      <c r="F749" t="str">
        <f t="shared" si="70"/>
        <v>P1B 2H3</v>
      </c>
    </row>
    <row r="750" spans="1:6" x14ac:dyDescent="0.2">
      <c r="A750" t="s">
        <v>777</v>
      </c>
      <c r="B750" t="str">
        <f t="shared" si="66"/>
        <v>Best Buy Canada</v>
      </c>
      <c r="C750" t="str">
        <f t="shared" si="67"/>
        <v>46.31296</v>
      </c>
      <c r="D750" t="str">
        <f t="shared" si="68"/>
        <v>-79.44285</v>
      </c>
      <c r="E750" t="str">
        <f t="shared" si="69"/>
        <v>705-472-2126</v>
      </c>
      <c r="F750" t="str">
        <f t="shared" si="70"/>
        <v>P1B 2H3</v>
      </c>
    </row>
    <row r="751" spans="1:6" x14ac:dyDescent="0.2">
      <c r="A751" t="s">
        <v>778</v>
      </c>
      <c r="B751" t="str">
        <f t="shared" si="66"/>
        <v>City of North Bay</v>
      </c>
      <c r="C751" t="str">
        <f t="shared" si="67"/>
        <v>46.31202</v>
      </c>
      <c r="D751" t="str">
        <f t="shared" si="68"/>
        <v>-79.43825</v>
      </c>
      <c r="E751" t="str">
        <f t="shared" si="69"/>
        <v>705-474-0400</v>
      </c>
      <c r="F751" t="str">
        <f t="shared" si="70"/>
        <v>P1B 8G4</v>
      </c>
    </row>
    <row r="752" spans="1:6" x14ac:dyDescent="0.2">
      <c r="A752" t="s">
        <v>779</v>
      </c>
      <c r="B752" t="str">
        <f t="shared" si="66"/>
        <v>Home Depot</v>
      </c>
      <c r="C752" t="str">
        <f t="shared" si="67"/>
        <v>46.3072931080718</v>
      </c>
      <c r="D752" t="str">
        <f t="shared" si="68"/>
        <v>-79.4389821007338</v>
      </c>
      <c r="E752" t="str">
        <f t="shared" si="69"/>
        <v>705-845-2300</v>
      </c>
      <c r="F752" t="str">
        <f t="shared" si="70"/>
        <v>P1B 9V6</v>
      </c>
    </row>
    <row r="753" spans="1:6" x14ac:dyDescent="0.2">
      <c r="A753" t="s">
        <v>780</v>
      </c>
      <c r="B753" t="str">
        <f t="shared" si="66"/>
        <v>The Source</v>
      </c>
      <c r="C753" t="str">
        <f t="shared" si="67"/>
        <v>46.2829</v>
      </c>
      <c r="D753" t="str">
        <f t="shared" si="68"/>
        <v>-79.44897</v>
      </c>
      <c r="E753" t="str">
        <f t="shared" si="69"/>
        <v>705-476-4486</v>
      </c>
      <c r="F753" t="str">
        <f t="shared" si="70"/>
        <v>P1A 3V2</v>
      </c>
    </row>
    <row r="754" spans="1:6" x14ac:dyDescent="0.2">
      <c r="A754" t="s">
        <v>781</v>
      </c>
      <c r="B754" t="str">
        <f t="shared" si="66"/>
        <v>Spectrum Telecom Group Ltd</v>
      </c>
      <c r="C754" t="str">
        <f t="shared" si="67"/>
        <v>46.2708855102041</v>
      </c>
      <c r="D754" t="str">
        <f t="shared" si="68"/>
        <v>-79.4103093877551</v>
      </c>
      <c r="E754" t="str">
        <f t="shared" si="69"/>
        <v>705-474-6368</v>
      </c>
      <c r="F754" t="str">
        <f t="shared" si="70"/>
        <v>P1A 4M5</v>
      </c>
    </row>
    <row r="755" spans="1:6" x14ac:dyDescent="0.2">
      <c r="A755" t="s">
        <v>782</v>
      </c>
      <c r="B755" t="str">
        <f t="shared" si="66"/>
        <v>Dépôt Témiscaming</v>
      </c>
      <c r="C755" t="str">
        <f t="shared" si="67"/>
        <v>46.7213752941176</v>
      </c>
      <c r="D755" t="str">
        <f t="shared" si="68"/>
        <v>-79.0941994117647</v>
      </c>
      <c r="E755" t="str">
        <f t="shared" si="69"/>
        <v>--</v>
      </c>
      <c r="F755" t="str">
        <f t="shared" si="70"/>
        <v>J0Z 3R0</v>
      </c>
    </row>
    <row r="756" spans="1:6" x14ac:dyDescent="0.2">
      <c r="A756" t="s">
        <v>783</v>
      </c>
      <c r="B756" t="str">
        <f t="shared" si="66"/>
        <v>Uniprix</v>
      </c>
      <c r="C756" t="str">
        <f t="shared" si="67"/>
        <v>46.72788</v>
      </c>
      <c r="D756" t="str">
        <f t="shared" si="68"/>
        <v>-79.08898</v>
      </c>
      <c r="E756" t="str">
        <f t="shared" si="69"/>
        <v>819-627-3373</v>
      </c>
      <c r="F756" t="str">
        <f t="shared" si="70"/>
        <v>J0Z 3R0</v>
      </c>
    </row>
    <row r="757" spans="1:6" x14ac:dyDescent="0.2">
      <c r="A757" t="s">
        <v>784</v>
      </c>
      <c r="B757" t="str">
        <f t="shared" si="66"/>
        <v>Dépôt Kipawa</v>
      </c>
      <c r="C757" t="str">
        <f t="shared" si="67"/>
        <v>46.7461252321182</v>
      </c>
      <c r="D757" t="str">
        <f t="shared" si="68"/>
        <v>-79.0553109598523</v>
      </c>
      <c r="E757" t="str">
        <f t="shared" si="69"/>
        <v>--</v>
      </c>
      <c r="F757" t="str">
        <f t="shared" si="70"/>
        <v>J0Z 2H0</v>
      </c>
    </row>
    <row r="758" spans="1:6" x14ac:dyDescent="0.2">
      <c r="A758" t="s">
        <v>785</v>
      </c>
      <c r="B758" t="str">
        <f t="shared" si="66"/>
        <v>Dépôt Ville-Marie</v>
      </c>
      <c r="C758" t="str">
        <f t="shared" si="67"/>
        <v>47.3295261511659</v>
      </c>
      <c r="D758" t="str">
        <f t="shared" si="68"/>
        <v>-79.4347846046635</v>
      </c>
      <c r="E758" t="str">
        <f t="shared" si="69"/>
        <v>--</v>
      </c>
      <c r="F758" t="str">
        <f t="shared" si="70"/>
        <v>J9V 1A2</v>
      </c>
    </row>
    <row r="759" spans="1:6" x14ac:dyDescent="0.2">
      <c r="A759" t="s">
        <v>786</v>
      </c>
      <c r="B759" t="str">
        <f t="shared" si="66"/>
        <v>Dépôt Béarn</v>
      </c>
      <c r="C759" t="str">
        <f t="shared" si="67"/>
        <v>47.290527</v>
      </c>
      <c r="D759" t="str">
        <f t="shared" si="68"/>
        <v>-79.327876</v>
      </c>
      <c r="E759" t="str">
        <f t="shared" si="69"/>
        <v>--</v>
      </c>
      <c r="F759" t="str">
        <f t="shared" si="70"/>
        <v>J0Z 1G0</v>
      </c>
    </row>
    <row r="760" spans="1:6" x14ac:dyDescent="0.2">
      <c r="A760" t="s">
        <v>787</v>
      </c>
      <c r="B760" t="str">
        <f t="shared" si="66"/>
        <v>BMR J. Drolet &amp; Fils ltée</v>
      </c>
      <c r="C760" t="str">
        <f t="shared" si="67"/>
        <v>47.33069</v>
      </c>
      <c r="D760" t="str">
        <f t="shared" si="68"/>
        <v>-79.43604</v>
      </c>
      <c r="E760" t="str">
        <f t="shared" si="69"/>
        <v>819-629-2885</v>
      </c>
      <c r="F760" t="str">
        <f t="shared" si="70"/>
        <v>J9V 1J9</v>
      </c>
    </row>
    <row r="761" spans="1:6" x14ac:dyDescent="0.2">
      <c r="A761" t="s">
        <v>788</v>
      </c>
      <c r="B761" t="str">
        <f t="shared" si="66"/>
        <v>Bergeron Electronique</v>
      </c>
      <c r="C761" t="str">
        <f t="shared" si="67"/>
        <v>47.33723</v>
      </c>
      <c r="D761" t="str">
        <f t="shared" si="68"/>
        <v>-79.43704</v>
      </c>
      <c r="E761" t="str">
        <f t="shared" si="69"/>
        <v>819-629-3444</v>
      </c>
      <c r="F761" t="str">
        <f t="shared" si="70"/>
        <v>J9V 1J5</v>
      </c>
    </row>
    <row r="762" spans="1:6" x14ac:dyDescent="0.2">
      <c r="A762" t="s">
        <v>789</v>
      </c>
      <c r="B762" t="str">
        <f t="shared" si="66"/>
        <v>Powassan Home Hardware</v>
      </c>
      <c r="C762" t="str">
        <f t="shared" si="67"/>
        <v>46.0814266666667</v>
      </c>
      <c r="D762" t="str">
        <f t="shared" si="68"/>
        <v>-79.3612022222222</v>
      </c>
      <c r="E762" t="str">
        <f t="shared" si="69"/>
        <v>705-724-2810</v>
      </c>
      <c r="F762" t="str">
        <f t="shared" si="70"/>
        <v>P0H 1Z0</v>
      </c>
    </row>
    <row r="763" spans="1:6" x14ac:dyDescent="0.2">
      <c r="A763" t="s">
        <v>790</v>
      </c>
      <c r="B763" t="str">
        <f t="shared" si="66"/>
        <v>RONA</v>
      </c>
      <c r="C763" t="str">
        <f t="shared" si="67"/>
        <v>46.6085883728151</v>
      </c>
      <c r="D763" t="str">
        <f t="shared" si="68"/>
        <v>-81.0313502368903</v>
      </c>
      <c r="E763" t="str">
        <f t="shared" si="69"/>
        <v>705-897-2552</v>
      </c>
      <c r="F763" t="str">
        <f t="shared" si="70"/>
        <v>P3N 1B2</v>
      </c>
    </row>
    <row r="764" spans="1:6" x14ac:dyDescent="0.2">
      <c r="A764" t="s">
        <v>791</v>
      </c>
      <c r="B764" t="str">
        <f t="shared" si="66"/>
        <v>Jannatec Radio Technologies</v>
      </c>
      <c r="C764" t="str">
        <f t="shared" si="67"/>
        <v>46.53725</v>
      </c>
      <c r="D764" t="str">
        <f t="shared" si="68"/>
        <v>-80.93738</v>
      </c>
      <c r="E764" t="str">
        <f t="shared" si="69"/>
        <v>705-566-3939</v>
      </c>
      <c r="F764" t="str">
        <f t="shared" si="70"/>
        <v>P3A 4R7</v>
      </c>
    </row>
    <row r="765" spans="1:6" x14ac:dyDescent="0.2">
      <c r="A765" t="s">
        <v>792</v>
      </c>
      <c r="B765" t="str">
        <f t="shared" si="66"/>
        <v>Princess Auto</v>
      </c>
      <c r="C765" t="str">
        <f t="shared" si="67"/>
        <v>46.5220916317554</v>
      </c>
      <c r="D765" t="str">
        <f t="shared" si="68"/>
        <v>-80.960964597829</v>
      </c>
      <c r="E765" t="str">
        <f t="shared" si="69"/>
        <v>705-524-6500</v>
      </c>
      <c r="F765" t="str">
        <f t="shared" si="70"/>
        <v>P3A 1X7</v>
      </c>
    </row>
    <row r="766" spans="1:6" x14ac:dyDescent="0.2">
      <c r="A766" t="s">
        <v>793</v>
      </c>
      <c r="B766" t="str">
        <f t="shared" si="66"/>
        <v>The Source</v>
      </c>
      <c r="C766" t="str">
        <f t="shared" si="67"/>
        <v>46.52205</v>
      </c>
      <c r="D766" t="str">
        <f t="shared" si="68"/>
        <v>-80.94908</v>
      </c>
      <c r="E766" t="str">
        <f t="shared" si="69"/>
        <v>705-560-1669</v>
      </c>
      <c r="F766" t="str">
        <f t="shared" si="70"/>
        <v>P3A 1Z2</v>
      </c>
    </row>
    <row r="767" spans="1:6" x14ac:dyDescent="0.2">
      <c r="A767" t="s">
        <v>794</v>
      </c>
      <c r="B767" t="str">
        <f t="shared" si="66"/>
        <v>City of Greater Sudbury</v>
      </c>
      <c r="C767" t="str">
        <f t="shared" si="67"/>
        <v>46.5057506247064</v>
      </c>
      <c r="D767" t="str">
        <f t="shared" si="68"/>
        <v>-80.9304913530085</v>
      </c>
      <c r="E767" t="str">
        <f t="shared" si="69"/>
        <v>705-671-2489</v>
      </c>
      <c r="F767" t="str">
        <f t="shared" si="70"/>
        <v>P3A 6C8</v>
      </c>
    </row>
    <row r="768" spans="1:6" x14ac:dyDescent="0.2">
      <c r="A768" t="s">
        <v>795</v>
      </c>
      <c r="B768" t="str">
        <f t="shared" si="66"/>
        <v>Staples</v>
      </c>
      <c r="C768" t="str">
        <f t="shared" si="67"/>
        <v>46.5050268639053</v>
      </c>
      <c r="D768" t="str">
        <f t="shared" si="68"/>
        <v>-80.9460298816568</v>
      </c>
      <c r="E768" t="str">
        <f t="shared" si="69"/>
        <v>705-524-6227</v>
      </c>
      <c r="F768" t="str">
        <f t="shared" si="70"/>
        <v>P3B 0A2</v>
      </c>
    </row>
    <row r="769" spans="1:6" x14ac:dyDescent="0.2">
      <c r="A769" t="s">
        <v>796</v>
      </c>
      <c r="B769" t="str">
        <f t="shared" ref="B769:B832" si="71">MID(A769,SEARCH("name"&amp;CHAR(34)&amp;":"&amp;CHAR(34),A769)+7,SEARCH(CHAR(34)&amp;", "&amp;CHAR(34)&amp;"locationlinkurl",A769)-SEARCH("name"&amp;CHAR(34)&amp;":"&amp;CHAR(34),A769)-7)</f>
        <v>Spectrum Telecom Group Ltd</v>
      </c>
      <c r="C769" t="str">
        <f t="shared" ref="C769:C832" si="72">MID(A769,SEARCH(CHAR(34)&amp;"latitude"&amp;CHAR(34)&amp;":"&amp;CHAR(34),A769)+12,SEARCH(CHAR(34)&amp;", "&amp;CHAR(34)&amp;"url"&amp;CHAR(34),A769)-SEARCH(CHAR(34)&amp;"latitude"&amp;CHAR(34)&amp;":"&amp;CHAR(34),A769)-12)</f>
        <v>46.50585</v>
      </c>
      <c r="D769" t="str">
        <f t="shared" ref="D769:D832" si="73">MID(A769,SEARCH(CHAR(34)&amp;"longitude"&amp;CHAR(34)&amp;":"&amp;CHAR(34),A769)+13,SEARCH(CHAR(34)&amp;", "&amp;CHAR(34)&amp;"uid"&amp;CHAR(34),A769)-SEARCH(CHAR(34)&amp;"longitude"&amp;CHAR(34)&amp;":"&amp;CHAR(34),A769)-13)</f>
        <v>-81.00675</v>
      </c>
      <c r="E769" t="str">
        <f t="shared" ref="E769:E832" si="74">MID(A769,SEARCH(CHAR(34)&amp;"phone"&amp;CHAR(34)&amp;":"&amp;CHAR(34),A769)+9,SEARCH(CHAR(34)&amp;", "&amp;CHAR(34)&amp;"address2"&amp;CHAR(34),A769)-SEARCH(CHAR(34)&amp;"phone"&amp;CHAR(34)&amp;":"&amp;CHAR(34),A769)-9)</f>
        <v>705-673-6661</v>
      </c>
      <c r="F769" t="str">
        <f t="shared" ref="F769:F832" si="75">MID(A769,SEARCH(CHAR(34)&amp;"postalcode"&amp;CHAR(34)&amp;":"&amp;CHAR(34),A769)+14,SEARCH(CHAR(34)&amp;", "&amp;CHAR(34)&amp;"province"&amp;CHAR(34),A769)-SEARCH(CHAR(34)&amp;"postalcode"&amp;CHAR(34)&amp;":"&amp;CHAR(34),A769)-14)</f>
        <v>P3C 5A2</v>
      </c>
    </row>
    <row r="770" spans="1:6" x14ac:dyDescent="0.2">
      <c r="A770" t="s">
        <v>797</v>
      </c>
      <c r="B770" t="str">
        <f t="shared" si="71"/>
        <v>Home Depot</v>
      </c>
      <c r="C770" t="str">
        <f t="shared" si="72"/>
        <v>46.50216</v>
      </c>
      <c r="D770" t="str">
        <f t="shared" si="73"/>
        <v>-80.9413717053339</v>
      </c>
      <c r="E770" t="str">
        <f t="shared" si="74"/>
        <v>705-525-2960</v>
      </c>
      <c r="F770" t="str">
        <f t="shared" si="75"/>
        <v>P3B 4K5</v>
      </c>
    </row>
    <row r="771" spans="1:6" x14ac:dyDescent="0.2">
      <c r="A771" t="s">
        <v>798</v>
      </c>
      <c r="B771" t="str">
        <f t="shared" si="71"/>
        <v>Lowes</v>
      </c>
      <c r="C771" t="str">
        <f t="shared" si="72"/>
        <v>46.5016862172095</v>
      </c>
      <c r="D771" t="str">
        <f t="shared" si="73"/>
        <v>-80.945430510575</v>
      </c>
      <c r="E771" t="str">
        <f t="shared" si="74"/>
        <v>705-521-7200</v>
      </c>
      <c r="F771" t="str">
        <f t="shared" si="75"/>
        <v>P3B 4K6</v>
      </c>
    </row>
    <row r="772" spans="1:6" x14ac:dyDescent="0.2">
      <c r="A772" t="s">
        <v>799</v>
      </c>
      <c r="B772" t="str">
        <f t="shared" si="71"/>
        <v>ListenUp! Canada</v>
      </c>
      <c r="C772" t="str">
        <f t="shared" si="72"/>
        <v>46.4913295833333</v>
      </c>
      <c r="D772" t="str">
        <f t="shared" si="73"/>
        <v>-80.9930954166667</v>
      </c>
      <c r="E772" t="str">
        <f t="shared" si="74"/>
        <v>705-670-8250</v>
      </c>
      <c r="F772" t="str">
        <f t="shared" si="75"/>
        <v>P3E 1C1</v>
      </c>
    </row>
    <row r="773" spans="1:6" x14ac:dyDescent="0.2">
      <c r="A773" t="s">
        <v>800</v>
      </c>
      <c r="B773" t="str">
        <f t="shared" si="71"/>
        <v>Fastenal</v>
      </c>
      <c r="C773" t="str">
        <f t="shared" si="72"/>
        <v>46.4719496466368</v>
      </c>
      <c r="D773" t="str">
        <f t="shared" si="73"/>
        <v>-81.0280557295891</v>
      </c>
      <c r="E773" t="str">
        <f t="shared" si="74"/>
        <v>705-675-6888</v>
      </c>
      <c r="F773" t="str">
        <f t="shared" si="75"/>
        <v>P3C 3B6</v>
      </c>
    </row>
    <row r="774" spans="1:6" x14ac:dyDescent="0.2">
      <c r="A774" t="s">
        <v>801</v>
      </c>
      <c r="B774" t="str">
        <f t="shared" si="71"/>
        <v>The Source</v>
      </c>
      <c r="C774" t="str">
        <f t="shared" si="72"/>
        <v>46.4510312859701</v>
      </c>
      <c r="D774" t="str">
        <f t="shared" si="73"/>
        <v>-81.0016696544131</v>
      </c>
      <c r="E774" t="str">
        <f t="shared" si="74"/>
        <v>705-522-1457</v>
      </c>
      <c r="F774" t="str">
        <f t="shared" si="75"/>
        <v>P3E 5R2</v>
      </c>
    </row>
    <row r="775" spans="1:6" x14ac:dyDescent="0.2">
      <c r="A775" t="s">
        <v>802</v>
      </c>
      <c r="B775" t="str">
        <f t="shared" si="71"/>
        <v>Township of Sables-Spanish Rivers</v>
      </c>
      <c r="C775" t="str">
        <f t="shared" si="72"/>
        <v>46.21335</v>
      </c>
      <c r="D775" t="str">
        <f t="shared" si="73"/>
        <v>-82.06609</v>
      </c>
      <c r="E775" t="str">
        <f t="shared" si="74"/>
        <v>705-865-2646</v>
      </c>
      <c r="F775" t="str">
        <f t="shared" si="75"/>
        <v>P0P 1P0</v>
      </c>
    </row>
    <row r="776" spans="1:6" x14ac:dyDescent="0.2">
      <c r="A776" t="s">
        <v>803</v>
      </c>
      <c r="B776" t="str">
        <f t="shared" si="71"/>
        <v>Unicorn Stationery &amp; Gifts</v>
      </c>
      <c r="C776" t="str">
        <f t="shared" si="72"/>
        <v>46.18657</v>
      </c>
      <c r="D776" t="str">
        <f t="shared" si="73"/>
        <v>-82.95392</v>
      </c>
      <c r="E776" t="str">
        <f t="shared" si="74"/>
        <v>705-356-7424</v>
      </c>
      <c r="F776" t="str">
        <f t="shared" si="75"/>
        <v>P0R 1B0</v>
      </c>
    </row>
    <row r="777" spans="1:6" x14ac:dyDescent="0.2">
      <c r="A777" t="s">
        <v>804</v>
      </c>
      <c r="B777" t="str">
        <f t="shared" si="71"/>
        <v>Ritchie Electronics</v>
      </c>
      <c r="C777" t="str">
        <f t="shared" si="72"/>
        <v>46.2559011111111</v>
      </c>
      <c r="D777" t="str">
        <f t="shared" si="73"/>
        <v>-83.5571277777778</v>
      </c>
      <c r="E777" t="str">
        <f t="shared" si="74"/>
        <v>705-842-2060</v>
      </c>
      <c r="F777" t="str">
        <f t="shared" si="75"/>
        <v>P0R 1L0</v>
      </c>
    </row>
    <row r="778" spans="1:6" x14ac:dyDescent="0.2">
      <c r="A778" t="s">
        <v>805</v>
      </c>
      <c r="B778" t="str">
        <f t="shared" si="71"/>
        <v>ListenUp! Canada</v>
      </c>
      <c r="C778" t="str">
        <f t="shared" si="72"/>
        <v>46.52184</v>
      </c>
      <c r="D778" t="str">
        <f t="shared" si="73"/>
        <v>-84.31535</v>
      </c>
      <c r="E778" t="str">
        <f t="shared" si="74"/>
        <v>705-759-7453</v>
      </c>
      <c r="F778" t="str">
        <f t="shared" si="75"/>
        <v>P6B 1Y5</v>
      </c>
    </row>
    <row r="779" spans="1:6" x14ac:dyDescent="0.2">
      <c r="A779" t="s">
        <v>806</v>
      </c>
      <c r="B779" t="str">
        <f t="shared" si="71"/>
        <v>ListenUp! Canada</v>
      </c>
      <c r="C779" t="str">
        <f t="shared" si="72"/>
        <v>46.5299991676132</v>
      </c>
      <c r="D779" t="str">
        <f t="shared" si="73"/>
        <v>-84.3195214583807</v>
      </c>
      <c r="E779" t="str">
        <f t="shared" si="74"/>
        <v>705-942-6077</v>
      </c>
      <c r="F779" t="str">
        <f t="shared" si="75"/>
        <v>P6B 4Z1</v>
      </c>
    </row>
    <row r="780" spans="1:6" x14ac:dyDescent="0.2">
      <c r="A780" t="s">
        <v>807</v>
      </c>
      <c r="B780" t="str">
        <f t="shared" si="71"/>
        <v>Staples</v>
      </c>
      <c r="C780" t="str">
        <f t="shared" si="72"/>
        <v>46.5361208793104</v>
      </c>
      <c r="D780" t="str">
        <f t="shared" si="73"/>
        <v>-84.3188181318782</v>
      </c>
      <c r="E780" t="str">
        <f t="shared" si="74"/>
        <v>705-256-1466</v>
      </c>
      <c r="F780" t="str">
        <f t="shared" si="75"/>
        <v>P6B 4Z8</v>
      </c>
    </row>
    <row r="781" spans="1:6" x14ac:dyDescent="0.2">
      <c r="A781" t="s">
        <v>808</v>
      </c>
      <c r="B781" t="str">
        <f t="shared" si="71"/>
        <v>Home Depot</v>
      </c>
      <c r="C781" t="str">
        <f t="shared" si="72"/>
        <v>46.5437726873648</v>
      </c>
      <c r="D781" t="str">
        <f t="shared" si="73"/>
        <v>-84.31709</v>
      </c>
      <c r="E781" t="str">
        <f t="shared" si="74"/>
        <v>705-254-1150</v>
      </c>
      <c r="F781" t="str">
        <f t="shared" si="75"/>
        <v>P6B 4Z9</v>
      </c>
    </row>
    <row r="782" spans="1:6" x14ac:dyDescent="0.2">
      <c r="A782" t="s">
        <v>809</v>
      </c>
      <c r="B782" t="str">
        <f t="shared" si="71"/>
        <v>Best Buy Canada</v>
      </c>
      <c r="C782" t="str">
        <f t="shared" si="72"/>
        <v>46.54303</v>
      </c>
      <c r="D782" t="str">
        <f t="shared" si="73"/>
        <v>-84.31917</v>
      </c>
      <c r="E782" t="str">
        <f t="shared" si="74"/>
        <v>705-942-0722</v>
      </c>
      <c r="F782" t="str">
        <f t="shared" si="75"/>
        <v>P6B 4Z9</v>
      </c>
    </row>
    <row r="783" spans="1:6" x14ac:dyDescent="0.2">
      <c r="A783" t="s">
        <v>810</v>
      </c>
      <c r="B783" t="str">
        <f t="shared" si="71"/>
        <v>City of Sault Ste. Marie</v>
      </c>
      <c r="C783" t="str">
        <f t="shared" si="72"/>
        <v>46.5509722592981</v>
      </c>
      <c r="D783" t="str">
        <f t="shared" si="73"/>
        <v>-84.3273139340878</v>
      </c>
      <c r="E783" t="str">
        <f t="shared" si="74"/>
        <v>705-541-7049</v>
      </c>
      <c r="F783" t="str">
        <f t="shared" si="75"/>
        <v>P6B 5P3</v>
      </c>
    </row>
    <row r="784" spans="1:6" x14ac:dyDescent="0.2">
      <c r="A784" t="s">
        <v>811</v>
      </c>
      <c r="B784" t="str">
        <f t="shared" si="71"/>
        <v>Home Depot</v>
      </c>
      <c r="C784" t="str">
        <f t="shared" si="72"/>
        <v>46.5437726873648</v>
      </c>
      <c r="D784" t="str">
        <f t="shared" si="73"/>
        <v>-84.31709</v>
      </c>
      <c r="E784" t="str">
        <f t="shared" si="74"/>
        <v>705-254-1150</v>
      </c>
      <c r="F784" t="str">
        <f t="shared" si="75"/>
        <v>P6B 4Z9</v>
      </c>
    </row>
    <row r="785" spans="1:6" x14ac:dyDescent="0.2">
      <c r="A785" t="s">
        <v>812</v>
      </c>
      <c r="B785" t="str">
        <f t="shared" si="71"/>
        <v>Best Buy Canada</v>
      </c>
      <c r="C785" t="str">
        <f t="shared" si="72"/>
        <v>46.54303</v>
      </c>
      <c r="D785" t="str">
        <f t="shared" si="73"/>
        <v>-84.31917</v>
      </c>
      <c r="E785" t="str">
        <f t="shared" si="74"/>
        <v>705-942-0722</v>
      </c>
      <c r="F785" t="str">
        <f t="shared" si="75"/>
        <v>P6B 4Z9</v>
      </c>
    </row>
    <row r="786" spans="1:6" x14ac:dyDescent="0.2">
      <c r="A786" t="s">
        <v>813</v>
      </c>
      <c r="B786" t="str">
        <f t="shared" si="71"/>
        <v>Nor Bear Ltd</v>
      </c>
      <c r="C786" t="str">
        <f t="shared" si="72"/>
        <v>46.5381441</v>
      </c>
      <c r="D786" t="str">
        <f t="shared" si="73"/>
        <v>-84.3321697</v>
      </c>
      <c r="E786" t="str">
        <f t="shared" si="74"/>
        <v>705-254-3241</v>
      </c>
      <c r="F786" t="str">
        <f t="shared" si="75"/>
        <v>P6B 4J9</v>
      </c>
    </row>
    <row r="787" spans="1:6" x14ac:dyDescent="0.2">
      <c r="A787" t="s">
        <v>814</v>
      </c>
      <c r="B787" t="str">
        <f t="shared" si="71"/>
        <v>Spectrum Telecom Group Ltd</v>
      </c>
      <c r="C787" t="str">
        <f t="shared" si="72"/>
        <v>46.5373870562711</v>
      </c>
      <c r="D787" t="str">
        <f t="shared" si="73"/>
        <v>-84.3332230964698</v>
      </c>
      <c r="E787" t="str">
        <f t="shared" si="74"/>
        <v>705-759-0075</v>
      </c>
      <c r="F787" t="str">
        <f t="shared" si="75"/>
        <v>P6B 4J7</v>
      </c>
    </row>
    <row r="788" spans="1:6" x14ac:dyDescent="0.2">
      <c r="A788" t="s">
        <v>815</v>
      </c>
      <c r="B788" t="str">
        <f t="shared" si="71"/>
        <v>Staples</v>
      </c>
      <c r="C788" t="str">
        <f t="shared" si="72"/>
        <v>46.5361208793104</v>
      </c>
      <c r="D788" t="str">
        <f t="shared" si="73"/>
        <v>-84.3188181318782</v>
      </c>
      <c r="E788" t="str">
        <f t="shared" si="74"/>
        <v>705-256-1466</v>
      </c>
      <c r="F788" t="str">
        <f t="shared" si="75"/>
        <v>P6B 4Z8</v>
      </c>
    </row>
    <row r="789" spans="1:6" x14ac:dyDescent="0.2">
      <c r="A789" t="s">
        <v>816</v>
      </c>
      <c r="B789" t="str">
        <f t="shared" si="71"/>
        <v>ListenUp! Canada</v>
      </c>
      <c r="C789" t="str">
        <f t="shared" si="72"/>
        <v>46.5299991676132</v>
      </c>
      <c r="D789" t="str">
        <f t="shared" si="73"/>
        <v>-84.3195214583807</v>
      </c>
      <c r="E789" t="str">
        <f t="shared" si="74"/>
        <v>705-942-6077</v>
      </c>
      <c r="F789" t="str">
        <f t="shared" si="75"/>
        <v>P6B 4Z1</v>
      </c>
    </row>
    <row r="790" spans="1:6" x14ac:dyDescent="0.2">
      <c r="A790" t="s">
        <v>817</v>
      </c>
      <c r="B790" t="str">
        <f t="shared" si="71"/>
        <v>ListenUp! Canada</v>
      </c>
      <c r="C790" t="str">
        <f t="shared" si="72"/>
        <v>46.52184</v>
      </c>
      <c r="D790" t="str">
        <f t="shared" si="73"/>
        <v>-84.31535</v>
      </c>
      <c r="E790" t="str">
        <f t="shared" si="74"/>
        <v>705-759-7453</v>
      </c>
      <c r="F790" t="str">
        <f t="shared" si="75"/>
        <v>P6B 1Y5</v>
      </c>
    </row>
    <row r="791" spans="1:6" x14ac:dyDescent="0.2">
      <c r="A791" t="s">
        <v>818</v>
      </c>
      <c r="B791" t="str">
        <f t="shared" si="71"/>
        <v>Rona</v>
      </c>
      <c r="C791" t="str">
        <f t="shared" si="72"/>
        <v>49.7743958847974</v>
      </c>
      <c r="D791" t="str">
        <f t="shared" si="73"/>
        <v>-86.5374523574809</v>
      </c>
      <c r="E791" t="str">
        <f t="shared" si="74"/>
        <v>807-876-2294</v>
      </c>
      <c r="F791" t="str">
        <f t="shared" si="75"/>
        <v>P0T 2A0</v>
      </c>
    </row>
    <row r="792" spans="1:6" x14ac:dyDescent="0.2">
      <c r="A792" t="s">
        <v>819</v>
      </c>
      <c r="B792" t="str">
        <f t="shared" si="71"/>
        <v>Corporation du Canton de Dubreuilville</v>
      </c>
      <c r="C792" t="str">
        <f t="shared" si="72"/>
        <v>48.3511856670082</v>
      </c>
      <c r="D792" t="str">
        <f t="shared" si="73"/>
        <v>-84.5473311099727</v>
      </c>
      <c r="E792" t="str">
        <f t="shared" si="74"/>
        <v>705-884-2340</v>
      </c>
      <c r="F792" t="str">
        <f t="shared" si="75"/>
        <v>P0S 1B0</v>
      </c>
    </row>
    <row r="793" spans="1:6" x14ac:dyDescent="0.2">
      <c r="A793" t="s">
        <v>820</v>
      </c>
      <c r="B793" t="str">
        <f t="shared" si="71"/>
        <v>Township of Hornepayne</v>
      </c>
      <c r="C793" t="str">
        <f t="shared" si="72"/>
        <v>49.218</v>
      </c>
      <c r="D793" t="str">
        <f t="shared" si="73"/>
        <v>-84.77496</v>
      </c>
      <c r="E793" t="str">
        <f t="shared" si="74"/>
        <v>807-868-2020</v>
      </c>
      <c r="F793" t="str">
        <f t="shared" si="75"/>
        <v>P0M 1Z0</v>
      </c>
    </row>
    <row r="794" spans="1:6" x14ac:dyDescent="0.2">
      <c r="A794" t="s">
        <v>821</v>
      </c>
      <c r="B794" t="str">
        <f t="shared" si="71"/>
        <v>Township of Schreiber</v>
      </c>
      <c r="C794" t="str">
        <f t="shared" si="72"/>
        <v>48.8035821227083</v>
      </c>
      <c r="D794" t="str">
        <f t="shared" si="73"/>
        <v>-87.2659121731958</v>
      </c>
      <c r="E794" t="str">
        <f t="shared" si="74"/>
        <v>807-824-2711</v>
      </c>
      <c r="F794" t="str">
        <f t="shared" si="75"/>
        <v>P0T 2S0</v>
      </c>
    </row>
    <row r="795" spans="1:6" x14ac:dyDescent="0.2">
      <c r="A795" t="s">
        <v>822</v>
      </c>
      <c r="B795" t="str">
        <f t="shared" si="71"/>
        <v>Rona</v>
      </c>
      <c r="C795" t="str">
        <f t="shared" si="72"/>
        <v>49.7743958847974</v>
      </c>
      <c r="D795" t="str">
        <f t="shared" si="73"/>
        <v>-86.5374523574809</v>
      </c>
      <c r="E795" t="str">
        <f t="shared" si="74"/>
        <v>807-876-2294</v>
      </c>
      <c r="F795" t="str">
        <f t="shared" si="75"/>
        <v>P0T 2A0</v>
      </c>
    </row>
    <row r="796" spans="1:6" x14ac:dyDescent="0.2">
      <c r="A796" t="s">
        <v>823</v>
      </c>
      <c r="B796" t="str">
        <f t="shared" si="71"/>
        <v>Township of Schreiber</v>
      </c>
      <c r="C796" t="str">
        <f t="shared" si="72"/>
        <v>48.8035821227083</v>
      </c>
      <c r="D796" t="str">
        <f t="shared" si="73"/>
        <v>-87.2659121731958</v>
      </c>
      <c r="E796" t="str">
        <f t="shared" si="74"/>
        <v>807-824-2711</v>
      </c>
      <c r="F796" t="str">
        <f t="shared" si="75"/>
        <v>P0T 2S0</v>
      </c>
    </row>
    <row r="797" spans="1:6" x14ac:dyDescent="0.2">
      <c r="A797" t="s">
        <v>824</v>
      </c>
      <c r="B797" t="str">
        <f t="shared" si="71"/>
        <v>Matawa First Nations Management</v>
      </c>
      <c r="C797" t="str">
        <f t="shared" si="72"/>
        <v>48.4283174193548</v>
      </c>
      <c r="D797" t="str">
        <f t="shared" si="73"/>
        <v>-89.2296922580645</v>
      </c>
      <c r="E797" t="str">
        <f t="shared" si="74"/>
        <v>807-346-6509</v>
      </c>
      <c r="F797" t="str">
        <f t="shared" si="75"/>
        <v>P7B 2X9</v>
      </c>
    </row>
    <row r="798" spans="1:6" x14ac:dyDescent="0.2">
      <c r="A798" t="s">
        <v>825</v>
      </c>
      <c r="B798" t="str">
        <f t="shared" si="71"/>
        <v>Home Depot</v>
      </c>
      <c r="C798" t="str">
        <f t="shared" si="72"/>
        <v>48.4064211155068</v>
      </c>
      <c r="D798" t="str">
        <f t="shared" si="73"/>
        <v>-89.2319152214803</v>
      </c>
      <c r="E798" t="str">
        <f t="shared" si="74"/>
        <v>807-624-1100</v>
      </c>
      <c r="F798" t="str">
        <f t="shared" si="75"/>
        <v>P7B 5L6</v>
      </c>
    </row>
    <row r="799" spans="1:6" x14ac:dyDescent="0.2">
      <c r="A799" t="s">
        <v>826</v>
      </c>
      <c r="B799" t="str">
        <f t="shared" si="71"/>
        <v>Staples</v>
      </c>
      <c r="C799" t="str">
        <f t="shared" si="72"/>
        <v>48.4135605</v>
      </c>
      <c r="D799" t="str">
        <f t="shared" si="73"/>
        <v>-89.243708</v>
      </c>
      <c r="E799" t="str">
        <f t="shared" si="74"/>
        <v>807-343-2506</v>
      </c>
      <c r="F799" t="str">
        <f t="shared" si="75"/>
        <v>P7B 3Z7</v>
      </c>
    </row>
    <row r="800" spans="1:6" x14ac:dyDescent="0.2">
      <c r="A800" t="s">
        <v>827</v>
      </c>
      <c r="B800" t="str">
        <f t="shared" si="71"/>
        <v>The Source</v>
      </c>
      <c r="C800" t="str">
        <f t="shared" si="72"/>
        <v>48.4032962624325</v>
      </c>
      <c r="D800" t="str">
        <f t="shared" si="73"/>
        <v>-89.2420590365488</v>
      </c>
      <c r="E800" t="str">
        <f t="shared" si="74"/>
        <v>807-622-8530</v>
      </c>
      <c r="F800" t="str">
        <f t="shared" si="75"/>
        <v>P7B 6B9</v>
      </c>
    </row>
    <row r="801" spans="1:6" x14ac:dyDescent="0.2">
      <c r="A801" t="s">
        <v>828</v>
      </c>
      <c r="B801" t="str">
        <f t="shared" si="71"/>
        <v>Lakehead Communications</v>
      </c>
      <c r="C801" t="str">
        <f t="shared" si="72"/>
        <v>48.41559</v>
      </c>
      <c r="D801" t="str">
        <f t="shared" si="73"/>
        <v>-89.25468</v>
      </c>
      <c r="E801" t="str">
        <f t="shared" si="74"/>
        <v>807-628-0198</v>
      </c>
      <c r="F801" t="str">
        <f t="shared" si="75"/>
        <v>P7B 6G3</v>
      </c>
    </row>
    <row r="802" spans="1:6" x14ac:dyDescent="0.2">
      <c r="A802" t="s">
        <v>829</v>
      </c>
      <c r="B802" t="str">
        <f t="shared" si="71"/>
        <v>Thunder Bay Communications</v>
      </c>
      <c r="C802" t="str">
        <f t="shared" si="72"/>
        <v>48.41559</v>
      </c>
      <c r="D802" t="str">
        <f t="shared" si="73"/>
        <v>-89.25468</v>
      </c>
      <c r="E802" t="str">
        <f t="shared" si="74"/>
        <v>807-623-1211</v>
      </c>
      <c r="F802" t="str">
        <f t="shared" si="75"/>
        <v>P7B 6G3</v>
      </c>
    </row>
    <row r="803" spans="1:6" x14ac:dyDescent="0.2">
      <c r="A803" t="s">
        <v>830</v>
      </c>
      <c r="B803" t="str">
        <f t="shared" si="71"/>
        <v>CRC Communications</v>
      </c>
      <c r="C803" t="str">
        <f t="shared" si="72"/>
        <v>48.40407</v>
      </c>
      <c r="D803" t="str">
        <f t="shared" si="73"/>
        <v>-89.24738</v>
      </c>
      <c r="E803" t="str">
        <f t="shared" si="74"/>
        <v>807-622-3328</v>
      </c>
      <c r="F803" t="str">
        <f t="shared" si="75"/>
        <v>P7B 6S1</v>
      </c>
    </row>
    <row r="804" spans="1:6" x14ac:dyDescent="0.2">
      <c r="A804" t="s">
        <v>831</v>
      </c>
      <c r="B804" t="str">
        <f t="shared" si="71"/>
        <v>MAG</v>
      </c>
      <c r="C804" t="str">
        <f t="shared" si="72"/>
        <v>48.3836955102041</v>
      </c>
      <c r="D804" t="str">
        <f t="shared" si="73"/>
        <v>-89.2466328571429</v>
      </c>
      <c r="E804" t="str">
        <f t="shared" si="74"/>
        <v>807-626-7025</v>
      </c>
      <c r="F804" t="str">
        <f t="shared" si="75"/>
        <v>P7C 0A3</v>
      </c>
    </row>
    <row r="805" spans="1:6" x14ac:dyDescent="0.2">
      <c r="A805" t="s">
        <v>832</v>
      </c>
      <c r="B805" t="str">
        <f t="shared" si="71"/>
        <v>Canadian Tire</v>
      </c>
      <c r="C805" t="str">
        <f t="shared" si="72"/>
        <v>48.38084</v>
      </c>
      <c r="D805" t="str">
        <f t="shared" si="73"/>
        <v>-89.3126881564245</v>
      </c>
      <c r="E805" t="str">
        <f t="shared" si="74"/>
        <v>807-475-4235</v>
      </c>
      <c r="F805" t="str">
        <f t="shared" si="75"/>
        <v>P7K 1A7</v>
      </c>
    </row>
    <row r="806" spans="1:6" x14ac:dyDescent="0.2">
      <c r="A806" t="s">
        <v>833</v>
      </c>
      <c r="B806" t="str">
        <f t="shared" si="71"/>
        <v>Canadian Tire</v>
      </c>
      <c r="C806" t="str">
        <f t="shared" si="72"/>
        <v>48.38084</v>
      </c>
      <c r="D806" t="str">
        <f t="shared" si="73"/>
        <v>-89.3126881564245</v>
      </c>
      <c r="E806" t="str">
        <f t="shared" si="74"/>
        <v>807-475-4235</v>
      </c>
      <c r="F806" t="str">
        <f t="shared" si="75"/>
        <v>P7K 1A7</v>
      </c>
    </row>
    <row r="807" spans="1:6" x14ac:dyDescent="0.2">
      <c r="A807" t="s">
        <v>834</v>
      </c>
      <c r="B807" t="str">
        <f t="shared" si="71"/>
        <v>Bucks Hardware</v>
      </c>
      <c r="C807" t="str">
        <f t="shared" si="72"/>
        <v>47.7506</v>
      </c>
      <c r="D807" t="str">
        <f t="shared" si="73"/>
        <v>-90.33459</v>
      </c>
      <c r="E807" t="str">
        <f t="shared" si="74"/>
        <v>218-387-2280</v>
      </c>
      <c r="F807" t="str">
        <f t="shared" si="75"/>
        <v>55604</v>
      </c>
    </row>
    <row r="808" spans="1:6" x14ac:dyDescent="0.2">
      <c r="A808" t="s">
        <v>835</v>
      </c>
      <c r="B808" t="str">
        <f t="shared" si="71"/>
        <v>MAG</v>
      </c>
      <c r="C808" t="str">
        <f t="shared" si="72"/>
        <v>48.3836955102041</v>
      </c>
      <c r="D808" t="str">
        <f t="shared" si="73"/>
        <v>-89.2466328571429</v>
      </c>
      <c r="E808" t="str">
        <f t="shared" si="74"/>
        <v>807-626-7025</v>
      </c>
      <c r="F808" t="str">
        <f t="shared" si="75"/>
        <v>P7C 0A3</v>
      </c>
    </row>
    <row r="809" spans="1:6" x14ac:dyDescent="0.2">
      <c r="A809" t="s">
        <v>836</v>
      </c>
      <c r="B809" t="str">
        <f t="shared" si="71"/>
        <v>Lakehead Communications</v>
      </c>
      <c r="C809" t="str">
        <f t="shared" si="72"/>
        <v>48.41559</v>
      </c>
      <c r="D809" t="str">
        <f t="shared" si="73"/>
        <v>-89.25468</v>
      </c>
      <c r="E809" t="str">
        <f t="shared" si="74"/>
        <v>807-628-0198</v>
      </c>
      <c r="F809" t="str">
        <f t="shared" si="75"/>
        <v>P7B 6G3</v>
      </c>
    </row>
    <row r="810" spans="1:6" x14ac:dyDescent="0.2">
      <c r="A810" t="s">
        <v>837</v>
      </c>
      <c r="B810" t="str">
        <f t="shared" si="71"/>
        <v>Thunder Bay Communications</v>
      </c>
      <c r="C810" t="str">
        <f t="shared" si="72"/>
        <v>48.41559</v>
      </c>
      <c r="D810" t="str">
        <f t="shared" si="73"/>
        <v>-89.25468</v>
      </c>
      <c r="E810" t="str">
        <f t="shared" si="74"/>
        <v>807-623-1211</v>
      </c>
      <c r="F810" t="str">
        <f t="shared" si="75"/>
        <v>P7B 6G3</v>
      </c>
    </row>
    <row r="811" spans="1:6" x14ac:dyDescent="0.2">
      <c r="A811" t="s">
        <v>838</v>
      </c>
      <c r="B811" t="str">
        <f t="shared" si="71"/>
        <v>CRC Communications</v>
      </c>
      <c r="C811" t="str">
        <f t="shared" si="72"/>
        <v>48.40407</v>
      </c>
      <c r="D811" t="str">
        <f t="shared" si="73"/>
        <v>-89.24738</v>
      </c>
      <c r="E811" t="str">
        <f t="shared" si="74"/>
        <v>807-622-3328</v>
      </c>
      <c r="F811" t="str">
        <f t="shared" si="75"/>
        <v>P7B 6S1</v>
      </c>
    </row>
    <row r="812" spans="1:6" x14ac:dyDescent="0.2">
      <c r="A812" t="s">
        <v>839</v>
      </c>
      <c r="B812" t="str">
        <f t="shared" si="71"/>
        <v>The Source</v>
      </c>
      <c r="C812" t="str">
        <f t="shared" si="72"/>
        <v>48.4032962624325</v>
      </c>
      <c r="D812" t="str">
        <f t="shared" si="73"/>
        <v>-89.2420590365488</v>
      </c>
      <c r="E812" t="str">
        <f t="shared" si="74"/>
        <v>807-622-8530</v>
      </c>
      <c r="F812" t="str">
        <f t="shared" si="75"/>
        <v>P7B 6B9</v>
      </c>
    </row>
    <row r="813" spans="1:6" x14ac:dyDescent="0.2">
      <c r="A813" t="s">
        <v>840</v>
      </c>
      <c r="B813" t="str">
        <f t="shared" si="71"/>
        <v>Staples</v>
      </c>
      <c r="C813" t="str">
        <f t="shared" si="72"/>
        <v>48.4135605</v>
      </c>
      <c r="D813" t="str">
        <f t="shared" si="73"/>
        <v>-89.243708</v>
      </c>
      <c r="E813" t="str">
        <f t="shared" si="74"/>
        <v>807-343-2506</v>
      </c>
      <c r="F813" t="str">
        <f t="shared" si="75"/>
        <v>P7B 3Z7</v>
      </c>
    </row>
    <row r="814" spans="1:6" x14ac:dyDescent="0.2">
      <c r="A814" t="s">
        <v>841</v>
      </c>
      <c r="B814" t="str">
        <f t="shared" si="71"/>
        <v>Home Depot</v>
      </c>
      <c r="C814" t="str">
        <f t="shared" si="72"/>
        <v>48.4064211155068</v>
      </c>
      <c r="D814" t="str">
        <f t="shared" si="73"/>
        <v>-89.2319152214803</v>
      </c>
      <c r="E814" t="str">
        <f t="shared" si="74"/>
        <v>807-624-1100</v>
      </c>
      <c r="F814" t="str">
        <f t="shared" si="75"/>
        <v>P7B 5L6</v>
      </c>
    </row>
    <row r="815" spans="1:6" x14ac:dyDescent="0.2">
      <c r="A815" t="s">
        <v>842</v>
      </c>
      <c r="B815" t="str">
        <f t="shared" si="71"/>
        <v>Matawa First Nations Management</v>
      </c>
      <c r="C815" t="str">
        <f t="shared" si="72"/>
        <v>48.4283174193548</v>
      </c>
      <c r="D815" t="str">
        <f t="shared" si="73"/>
        <v>-89.2296922580645</v>
      </c>
      <c r="E815" t="str">
        <f t="shared" si="74"/>
        <v>807-346-6509</v>
      </c>
      <c r="F815" t="str">
        <f t="shared" si="75"/>
        <v>P7B 2X9</v>
      </c>
    </row>
    <row r="816" spans="1:6" x14ac:dyDescent="0.2">
      <c r="A816" t="s">
        <v>843</v>
      </c>
      <c r="B816" t="str">
        <f t="shared" si="71"/>
        <v>Bucks Hardware</v>
      </c>
      <c r="C816" t="str">
        <f t="shared" si="72"/>
        <v>47.7506</v>
      </c>
      <c r="D816" t="str">
        <f t="shared" si="73"/>
        <v>-90.33459</v>
      </c>
      <c r="E816" t="str">
        <f t="shared" si="74"/>
        <v>218-387-2280</v>
      </c>
      <c r="F816" t="str">
        <f t="shared" si="75"/>
        <v>55604</v>
      </c>
    </row>
    <row r="817" spans="1:6" x14ac:dyDescent="0.2">
      <c r="A817" t="s">
        <v>844</v>
      </c>
      <c r="B817" t="str">
        <f t="shared" si="71"/>
        <v>Canadian Tire</v>
      </c>
      <c r="C817" t="str">
        <f t="shared" si="72"/>
        <v>48.38084</v>
      </c>
      <c r="D817" t="str">
        <f t="shared" si="73"/>
        <v>-89.3126881564245</v>
      </c>
      <c r="E817" t="str">
        <f t="shared" si="74"/>
        <v>807-475-4235</v>
      </c>
      <c r="F817" t="str">
        <f t="shared" si="75"/>
        <v>P7K 1A7</v>
      </c>
    </row>
    <row r="818" spans="1:6" x14ac:dyDescent="0.2">
      <c r="A818" t="s">
        <v>845</v>
      </c>
      <c r="B818" t="str">
        <f t="shared" si="71"/>
        <v>Lakehead Communications</v>
      </c>
      <c r="C818" t="str">
        <f t="shared" si="72"/>
        <v>48.41559</v>
      </c>
      <c r="D818" t="str">
        <f t="shared" si="73"/>
        <v>-89.25468</v>
      </c>
      <c r="E818" t="str">
        <f t="shared" si="74"/>
        <v>807-628-0198</v>
      </c>
      <c r="F818" t="str">
        <f t="shared" si="75"/>
        <v>P7B 6G3</v>
      </c>
    </row>
    <row r="819" spans="1:6" x14ac:dyDescent="0.2">
      <c r="A819" t="s">
        <v>846</v>
      </c>
      <c r="B819" t="str">
        <f t="shared" si="71"/>
        <v>Thunder Bay Communications</v>
      </c>
      <c r="C819" t="str">
        <f t="shared" si="72"/>
        <v>48.41559</v>
      </c>
      <c r="D819" t="str">
        <f t="shared" si="73"/>
        <v>-89.25468</v>
      </c>
      <c r="E819" t="str">
        <f t="shared" si="74"/>
        <v>807-623-1211</v>
      </c>
      <c r="F819" t="str">
        <f t="shared" si="75"/>
        <v>P7B 6G3</v>
      </c>
    </row>
    <row r="820" spans="1:6" x14ac:dyDescent="0.2">
      <c r="A820" t="s">
        <v>847</v>
      </c>
      <c r="B820" t="str">
        <f t="shared" si="71"/>
        <v>Staples</v>
      </c>
      <c r="C820" t="str">
        <f t="shared" si="72"/>
        <v>48.4135605</v>
      </c>
      <c r="D820" t="str">
        <f t="shared" si="73"/>
        <v>-89.243708</v>
      </c>
      <c r="E820" t="str">
        <f t="shared" si="74"/>
        <v>807-343-2506</v>
      </c>
      <c r="F820" t="str">
        <f t="shared" si="75"/>
        <v>P7B 3Z7</v>
      </c>
    </row>
    <row r="821" spans="1:6" x14ac:dyDescent="0.2">
      <c r="A821" t="s">
        <v>848</v>
      </c>
      <c r="B821" t="str">
        <f t="shared" si="71"/>
        <v>CRC Communications</v>
      </c>
      <c r="C821" t="str">
        <f t="shared" si="72"/>
        <v>48.40407</v>
      </c>
      <c r="D821" t="str">
        <f t="shared" si="73"/>
        <v>-89.24738</v>
      </c>
      <c r="E821" t="str">
        <f t="shared" si="74"/>
        <v>807-622-3328</v>
      </c>
      <c r="F821" t="str">
        <f t="shared" si="75"/>
        <v>P7B 6S1</v>
      </c>
    </row>
    <row r="822" spans="1:6" x14ac:dyDescent="0.2">
      <c r="A822" t="s">
        <v>849</v>
      </c>
      <c r="B822" t="str">
        <f t="shared" si="71"/>
        <v>The Source</v>
      </c>
      <c r="C822" t="str">
        <f t="shared" si="72"/>
        <v>48.4032962624325</v>
      </c>
      <c r="D822" t="str">
        <f t="shared" si="73"/>
        <v>-89.2420590365488</v>
      </c>
      <c r="E822" t="str">
        <f t="shared" si="74"/>
        <v>807-622-8530</v>
      </c>
      <c r="F822" t="str">
        <f t="shared" si="75"/>
        <v>P7B 6B9</v>
      </c>
    </row>
    <row r="823" spans="1:6" x14ac:dyDescent="0.2">
      <c r="A823" t="s">
        <v>850</v>
      </c>
      <c r="B823" t="str">
        <f t="shared" si="71"/>
        <v>Matawa First Nations Management</v>
      </c>
      <c r="C823" t="str">
        <f t="shared" si="72"/>
        <v>48.4283174193548</v>
      </c>
      <c r="D823" t="str">
        <f t="shared" si="73"/>
        <v>-89.2296922580645</v>
      </c>
      <c r="E823" t="str">
        <f t="shared" si="74"/>
        <v>807-346-6509</v>
      </c>
      <c r="F823" t="str">
        <f t="shared" si="75"/>
        <v>P7B 2X9</v>
      </c>
    </row>
    <row r="824" spans="1:6" x14ac:dyDescent="0.2">
      <c r="A824" t="s">
        <v>851</v>
      </c>
      <c r="B824" t="str">
        <f t="shared" si="71"/>
        <v>MAG</v>
      </c>
      <c r="C824" t="str">
        <f t="shared" si="72"/>
        <v>48.3836955102041</v>
      </c>
      <c r="D824" t="str">
        <f t="shared" si="73"/>
        <v>-89.2466328571429</v>
      </c>
      <c r="E824" t="str">
        <f t="shared" si="74"/>
        <v>807-626-7025</v>
      </c>
      <c r="F824" t="str">
        <f t="shared" si="75"/>
        <v>P7C 0A3</v>
      </c>
    </row>
    <row r="825" spans="1:6" x14ac:dyDescent="0.2">
      <c r="A825" t="s">
        <v>852</v>
      </c>
      <c r="B825" t="str">
        <f t="shared" si="71"/>
        <v>Home Depot</v>
      </c>
      <c r="C825" t="str">
        <f t="shared" si="72"/>
        <v>48.4064211155068</v>
      </c>
      <c r="D825" t="str">
        <f t="shared" si="73"/>
        <v>-89.2319152214803</v>
      </c>
      <c r="E825" t="str">
        <f t="shared" si="74"/>
        <v>807-624-1100</v>
      </c>
      <c r="F825" t="str">
        <f t="shared" si="75"/>
        <v>P7B 5L6</v>
      </c>
    </row>
    <row r="826" spans="1:6" x14ac:dyDescent="0.2">
      <c r="A826" t="s">
        <v>853</v>
      </c>
      <c r="B826" t="str">
        <f t="shared" si="71"/>
        <v>Canadian Tire</v>
      </c>
      <c r="C826" t="str">
        <f t="shared" si="72"/>
        <v>48.60725</v>
      </c>
      <c r="D826" t="str">
        <f t="shared" si="73"/>
        <v>-93.42748</v>
      </c>
      <c r="E826" t="str">
        <f t="shared" si="74"/>
        <v>807-274-7711</v>
      </c>
      <c r="F826" t="str">
        <f t="shared" si="75"/>
        <v>P9A 2X6</v>
      </c>
    </row>
    <row r="827" spans="1:6" x14ac:dyDescent="0.2">
      <c r="A827" t="s">
        <v>854</v>
      </c>
      <c r="B827" t="str">
        <f t="shared" si="71"/>
        <v>Sound North</v>
      </c>
      <c r="C827" t="str">
        <f t="shared" si="72"/>
        <v>48.5798686080344</v>
      </c>
      <c r="D827" t="str">
        <f t="shared" si="73"/>
        <v>-93.4027900347991</v>
      </c>
      <c r="E827" t="str">
        <f t="shared" si="74"/>
        <v>218-283-9290</v>
      </c>
      <c r="F827" t="str">
        <f t="shared" si="75"/>
        <v>56649</v>
      </c>
    </row>
    <row r="828" spans="1:6" x14ac:dyDescent="0.2">
      <c r="A828" t="s">
        <v>855</v>
      </c>
      <c r="B828" t="str">
        <f t="shared" si="71"/>
        <v>Canadian Tire</v>
      </c>
      <c r="C828" t="str">
        <f t="shared" si="72"/>
        <v>49.7599093383811</v>
      </c>
      <c r="D828" t="str">
        <f t="shared" si="73"/>
        <v>-94.4716898710625</v>
      </c>
      <c r="E828" t="str">
        <f t="shared" si="74"/>
        <v>807-468-3014</v>
      </c>
      <c r="F828" t="str">
        <f t="shared" si="75"/>
        <v>P9N 1L9</v>
      </c>
    </row>
    <row r="829" spans="1:6" x14ac:dyDescent="0.2">
      <c r="A829" t="s">
        <v>856</v>
      </c>
      <c r="B829" t="str">
        <f t="shared" si="71"/>
        <v>Prairie Mobile Communications</v>
      </c>
      <c r="C829" t="str">
        <f t="shared" si="72"/>
        <v>49.7552345</v>
      </c>
      <c r="D829" t="str">
        <f t="shared" si="73"/>
        <v>-94.5633985</v>
      </c>
      <c r="E829" t="str">
        <f t="shared" si="74"/>
        <v>807-547-2929</v>
      </c>
      <c r="F829" t="str">
        <f t="shared" si="75"/>
        <v>P0X 1C0</v>
      </c>
    </row>
    <row r="830" spans="1:6" x14ac:dyDescent="0.2">
      <c r="A830" t="s">
        <v>857</v>
      </c>
      <c r="B830" t="str">
        <f t="shared" si="71"/>
        <v>Township of Pickle Lake</v>
      </c>
      <c r="C830" t="str">
        <f t="shared" si="72"/>
        <v>51.46791</v>
      </c>
      <c r="D830" t="str">
        <f t="shared" si="73"/>
        <v>-90.19242</v>
      </c>
      <c r="E830" t="str">
        <f t="shared" si="74"/>
        <v>807-928-2034</v>
      </c>
      <c r="F830" t="str">
        <f t="shared" si="75"/>
        <v>P0V 3A0</v>
      </c>
    </row>
    <row r="831" spans="1:6" x14ac:dyDescent="0.2">
      <c r="A831" t="s">
        <v>858</v>
      </c>
      <c r="B831" t="str">
        <f t="shared" si="71"/>
        <v>Timbermax Home &amp; Garden</v>
      </c>
      <c r="C831" t="str">
        <f t="shared" si="72"/>
        <v>49.7862262006702</v>
      </c>
      <c r="D831" t="str">
        <f t="shared" si="73"/>
        <v>-92.8356896388725</v>
      </c>
      <c r="E831" t="str">
        <f t="shared" si="74"/>
        <v>807-223-6699</v>
      </c>
      <c r="F831" t="str">
        <f t="shared" si="75"/>
        <v>P8N 2P4</v>
      </c>
    </row>
    <row r="832" spans="1:6" x14ac:dyDescent="0.2">
      <c r="A832" t="s">
        <v>859</v>
      </c>
      <c r="B832" t="str">
        <f t="shared" si="71"/>
        <v>Township of Pickle Lake</v>
      </c>
      <c r="C832" t="str">
        <f t="shared" si="72"/>
        <v>51.46791</v>
      </c>
      <c r="D832" t="str">
        <f t="shared" si="73"/>
        <v>-90.19242</v>
      </c>
      <c r="E832" t="str">
        <f t="shared" si="74"/>
        <v>807-928-2034</v>
      </c>
      <c r="F832" t="str">
        <f t="shared" si="75"/>
        <v>P0V 3A0</v>
      </c>
    </row>
    <row r="833" spans="1:6" x14ac:dyDescent="0.2">
      <c r="A833" t="s">
        <v>860</v>
      </c>
      <c r="B833" t="str">
        <f t="shared" ref="B833:B896" si="76">MID(A833,SEARCH("name"&amp;CHAR(34)&amp;":"&amp;CHAR(34),A833)+7,SEARCH(CHAR(34)&amp;", "&amp;CHAR(34)&amp;"locationlinkurl",A833)-SEARCH("name"&amp;CHAR(34)&amp;":"&amp;CHAR(34),A833)-7)</f>
        <v>Township of Pickle Lake</v>
      </c>
      <c r="C833" t="str">
        <f t="shared" ref="C833:C896" si="77">MID(A833,SEARCH(CHAR(34)&amp;"latitude"&amp;CHAR(34)&amp;":"&amp;CHAR(34),A833)+12,SEARCH(CHAR(34)&amp;", "&amp;CHAR(34)&amp;"url"&amp;CHAR(34),A833)-SEARCH(CHAR(34)&amp;"latitude"&amp;CHAR(34)&amp;":"&amp;CHAR(34),A833)-12)</f>
        <v>51.46791</v>
      </c>
      <c r="D833" t="str">
        <f t="shared" ref="D833:D896" si="78">MID(A833,SEARCH(CHAR(34)&amp;"longitude"&amp;CHAR(34)&amp;":"&amp;CHAR(34),A833)+13,SEARCH(CHAR(34)&amp;", "&amp;CHAR(34)&amp;"uid"&amp;CHAR(34),A833)-SEARCH(CHAR(34)&amp;"longitude"&amp;CHAR(34)&amp;":"&amp;CHAR(34),A833)-13)</f>
        <v>-90.19242</v>
      </c>
      <c r="E833" t="str">
        <f t="shared" ref="E833:E896" si="79">MID(A833,SEARCH(CHAR(34)&amp;"phone"&amp;CHAR(34)&amp;":"&amp;CHAR(34),A833)+9,SEARCH(CHAR(34)&amp;", "&amp;CHAR(34)&amp;"address2"&amp;CHAR(34),A833)-SEARCH(CHAR(34)&amp;"phone"&amp;CHAR(34)&amp;":"&amp;CHAR(34),A833)-9)</f>
        <v>807-928-2034</v>
      </c>
      <c r="F833" t="str">
        <f t="shared" ref="F833:F896" si="80">MID(A833,SEARCH(CHAR(34)&amp;"postalcode"&amp;CHAR(34)&amp;":"&amp;CHAR(34),A833)+14,SEARCH(CHAR(34)&amp;", "&amp;CHAR(34)&amp;"province"&amp;CHAR(34),A833)-SEARCH(CHAR(34)&amp;"postalcode"&amp;CHAR(34)&amp;":"&amp;CHAR(34),A833)-14)</f>
        <v>P0V 3A0</v>
      </c>
    </row>
    <row r="834" spans="1:6" x14ac:dyDescent="0.2">
      <c r="A834" t="s">
        <v>861</v>
      </c>
      <c r="B834" t="str">
        <f t="shared" si="76"/>
        <v>Pauls Music World</v>
      </c>
      <c r="C834" t="str">
        <f t="shared" si="77"/>
        <v>49.7964</v>
      </c>
      <c r="D834" t="str">
        <f t="shared" si="78"/>
        <v>-83.66066</v>
      </c>
      <c r="E834" t="str">
        <f t="shared" si="79"/>
        <v>705-362-5779</v>
      </c>
      <c r="F834" t="str">
        <f t="shared" si="80"/>
        <v>P0L 1N0</v>
      </c>
    </row>
    <row r="835" spans="1:6" x14ac:dyDescent="0.2">
      <c r="A835" t="s">
        <v>862</v>
      </c>
      <c r="B835" t="str">
        <f t="shared" si="76"/>
        <v>Hearst Lumber Co.Ltd.</v>
      </c>
      <c r="C835" t="str">
        <f t="shared" si="77"/>
        <v>49.6884745463573</v>
      </c>
      <c r="D835" t="str">
        <f t="shared" si="78"/>
        <v>-83.6604700049651</v>
      </c>
      <c r="E835" t="str">
        <f t="shared" si="79"/>
        <v>705-362-4325</v>
      </c>
      <c r="F835" t="str">
        <f t="shared" si="80"/>
        <v>P0L 1N0</v>
      </c>
    </row>
    <row r="836" spans="1:6" x14ac:dyDescent="0.2">
      <c r="A836" t="s">
        <v>863</v>
      </c>
      <c r="B836" t="str">
        <f t="shared" si="76"/>
        <v>Hearst Public Library</v>
      </c>
      <c r="C836" t="str">
        <f t="shared" si="77"/>
        <v>49.68876</v>
      </c>
      <c r="D836" t="str">
        <f t="shared" si="78"/>
        <v>-83.66251</v>
      </c>
      <c r="E836" t="str">
        <f t="shared" si="79"/>
        <v>705-372-2843</v>
      </c>
      <c r="F836" t="str">
        <f t="shared" si="80"/>
        <v>P0L 1N0</v>
      </c>
    </row>
    <row r="837" spans="1:6" x14ac:dyDescent="0.2">
      <c r="A837" t="s">
        <v>864</v>
      </c>
      <c r="B837" t="str">
        <f t="shared" si="76"/>
        <v>The Source</v>
      </c>
      <c r="C837" t="str">
        <f t="shared" si="77"/>
        <v>49.4200538028779</v>
      </c>
      <c r="D837" t="str">
        <f t="shared" si="78"/>
        <v>-82.4197553660716</v>
      </c>
      <c r="E837" t="str">
        <f t="shared" si="79"/>
        <v>705-335-8787</v>
      </c>
      <c r="F837" t="str">
        <f t="shared" si="80"/>
        <v>P5N 2E9</v>
      </c>
    </row>
    <row r="838" spans="1:6" x14ac:dyDescent="0.2">
      <c r="A838" t="s">
        <v>865</v>
      </c>
      <c r="B838" t="str">
        <f t="shared" si="76"/>
        <v>Canadian Tire</v>
      </c>
      <c r="C838" t="str">
        <f t="shared" si="77"/>
        <v>49.0600608</v>
      </c>
      <c r="D838" t="str">
        <f t="shared" si="78"/>
        <v>-81.045488</v>
      </c>
      <c r="E838" t="str">
        <f t="shared" si="79"/>
        <v>705-272-4341</v>
      </c>
      <c r="F838" t="str">
        <f t="shared" si="80"/>
        <v>P0L 1C0</v>
      </c>
    </row>
    <row r="839" spans="1:6" x14ac:dyDescent="0.2">
      <c r="A839" t="s">
        <v>866</v>
      </c>
      <c r="B839" t="str">
        <f t="shared" si="76"/>
        <v>Town of Cochrane</v>
      </c>
      <c r="C839" t="str">
        <f t="shared" si="77"/>
        <v>49.0632506818182</v>
      </c>
      <c r="D839" t="str">
        <f t="shared" si="78"/>
        <v>-81.0281920454545</v>
      </c>
      <c r="E839" t="str">
        <f t="shared" si="79"/>
        <v>705-272-4361</v>
      </c>
      <c r="F839" t="str">
        <f t="shared" si="80"/>
        <v>P0L 1C0</v>
      </c>
    </row>
    <row r="840" spans="1:6" x14ac:dyDescent="0.2">
      <c r="A840" t="s">
        <v>867</v>
      </c>
      <c r="B840" t="str">
        <f t="shared" si="76"/>
        <v>Cree Nation of Chisasibi</v>
      </c>
      <c r="C840" t="str">
        <f t="shared" si="77"/>
        <v>52.24531</v>
      </c>
      <c r="D840" t="str">
        <f t="shared" si="78"/>
        <v>-78.48449</v>
      </c>
      <c r="E840" t="str">
        <f t="shared" si="79"/>
        <v>819-855-2878</v>
      </c>
      <c r="F840" t="str">
        <f t="shared" si="80"/>
        <v>J0M 1E0</v>
      </c>
    </row>
    <row r="841" spans="1:6" x14ac:dyDescent="0.2">
      <c r="A841" t="s">
        <v>868</v>
      </c>
      <c r="B841" t="str">
        <f t="shared" si="76"/>
        <v>Town of Cochrane</v>
      </c>
      <c r="C841" t="str">
        <f t="shared" si="77"/>
        <v>49.060500625</v>
      </c>
      <c r="D841" t="str">
        <f t="shared" si="78"/>
        <v>-81.029883125</v>
      </c>
      <c r="E841" t="str">
        <f t="shared" si="79"/>
        <v>705-272-5086</v>
      </c>
      <c r="F841" t="str">
        <f t="shared" si="80"/>
        <v>P0L 1C0</v>
      </c>
    </row>
    <row r="842" spans="1:6" x14ac:dyDescent="0.2">
      <c r="A842" t="s">
        <v>869</v>
      </c>
      <c r="B842" t="str">
        <f t="shared" si="76"/>
        <v>Township of Hornepayne</v>
      </c>
      <c r="C842" t="str">
        <f t="shared" si="77"/>
        <v>49.218</v>
      </c>
      <c r="D842" t="str">
        <f t="shared" si="78"/>
        <v>-84.77496</v>
      </c>
      <c r="E842" t="str">
        <f t="shared" si="79"/>
        <v>807-868-2020</v>
      </c>
      <c r="F842" t="str">
        <f t="shared" si="80"/>
        <v>P0M 1Z0</v>
      </c>
    </row>
    <row r="843" spans="1:6" x14ac:dyDescent="0.2">
      <c r="A843" t="s">
        <v>870</v>
      </c>
      <c r="B843" t="str">
        <f t="shared" si="76"/>
        <v>Ricks Hi-Fi &amp; Decorating</v>
      </c>
      <c r="C843" t="str">
        <f t="shared" si="77"/>
        <v>48.75815325</v>
      </c>
      <c r="D843" t="str">
        <f t="shared" si="78"/>
        <v>-80.68585225</v>
      </c>
      <c r="E843" t="str">
        <f t="shared" si="79"/>
        <v>705-232-5557</v>
      </c>
      <c r="F843" t="str">
        <f t="shared" si="80"/>
        <v>P0K 1G0</v>
      </c>
    </row>
    <row r="844" spans="1:6" x14ac:dyDescent="0.2">
      <c r="A844" t="s">
        <v>871</v>
      </c>
      <c r="B844" t="str">
        <f t="shared" si="76"/>
        <v>Home Depot</v>
      </c>
      <c r="C844" t="str">
        <f t="shared" si="77"/>
        <v>48.4698689144691</v>
      </c>
      <c r="D844" t="str">
        <f t="shared" si="78"/>
        <v>-81.4223946969216</v>
      </c>
      <c r="E844" t="str">
        <f t="shared" si="79"/>
        <v>705-360-8750</v>
      </c>
      <c r="F844" t="str">
        <f t="shared" si="80"/>
        <v>P4R 0A1</v>
      </c>
    </row>
    <row r="845" spans="1:6" x14ac:dyDescent="0.2">
      <c r="A845" t="s">
        <v>872</v>
      </c>
      <c r="B845" t="str">
        <f t="shared" si="76"/>
        <v>Staples</v>
      </c>
      <c r="C845" t="str">
        <f t="shared" si="77"/>
        <v>48.4725132307692</v>
      </c>
      <c r="D845" t="str">
        <f t="shared" si="78"/>
        <v>-81.3808703076923</v>
      </c>
      <c r="E845" t="str">
        <f t="shared" si="79"/>
        <v>705-360-4200</v>
      </c>
      <c r="F845" t="str">
        <f t="shared" si="80"/>
        <v>P4R 1M8</v>
      </c>
    </row>
    <row r="846" spans="1:6" x14ac:dyDescent="0.2">
      <c r="A846" t="s">
        <v>873</v>
      </c>
      <c r="B846" t="str">
        <f t="shared" si="76"/>
        <v>Best Buy Canada</v>
      </c>
      <c r="C846" t="str">
        <f t="shared" si="77"/>
        <v>48.4725115789474</v>
      </c>
      <c r="D846" t="str">
        <f t="shared" si="78"/>
        <v>-81.3782257894737</v>
      </c>
      <c r="E846" t="str">
        <f t="shared" si="79"/>
        <v>705-268-9111</v>
      </c>
      <c r="F846" t="str">
        <f t="shared" si="80"/>
        <v>P4R 1A5</v>
      </c>
    </row>
    <row r="847" spans="1:6" x14ac:dyDescent="0.2">
      <c r="A847" t="s">
        <v>874</v>
      </c>
      <c r="B847" t="str">
        <f t="shared" si="76"/>
        <v>Spectrum Telecom Group Ltd</v>
      </c>
      <c r="C847" t="str">
        <f t="shared" si="77"/>
        <v>48.4763985714286</v>
      </c>
      <c r="D847" t="str">
        <f t="shared" si="78"/>
        <v>-81.3026775510204</v>
      </c>
      <c r="E847" t="str">
        <f t="shared" si="79"/>
        <v>705-268-9090</v>
      </c>
      <c r="F847" t="str">
        <f t="shared" si="80"/>
        <v>P0N 1G0</v>
      </c>
    </row>
    <row r="848" spans="1:6" x14ac:dyDescent="0.2">
      <c r="A848" t="s">
        <v>875</v>
      </c>
      <c r="B848" t="str">
        <f t="shared" si="76"/>
        <v>Rona</v>
      </c>
      <c r="C848" t="str">
        <f t="shared" si="77"/>
        <v>49.7743958847974</v>
      </c>
      <c r="D848" t="str">
        <f t="shared" si="78"/>
        <v>-86.5374523574809</v>
      </c>
      <c r="E848" t="str">
        <f t="shared" si="79"/>
        <v>807-876-2294</v>
      </c>
      <c r="F848" t="str">
        <f t="shared" si="80"/>
        <v>P0T 2A0</v>
      </c>
    </row>
    <row r="849" spans="1:6" x14ac:dyDescent="0.2">
      <c r="A849" t="s">
        <v>876</v>
      </c>
      <c r="B849" t="str">
        <f t="shared" si="76"/>
        <v>Jean Coutu</v>
      </c>
      <c r="C849" t="str">
        <f t="shared" si="77"/>
        <v>48.8053180769231</v>
      </c>
      <c r="D849" t="str">
        <f t="shared" si="78"/>
        <v>-79.2010484615385</v>
      </c>
      <c r="E849" t="str">
        <f t="shared" si="79"/>
        <v>819-333-1160</v>
      </c>
      <c r="F849" t="str">
        <f t="shared" si="80"/>
        <v>J9Z 1K9</v>
      </c>
    </row>
    <row r="850" spans="1:6" x14ac:dyDescent="0.2">
      <c r="A850" t="s">
        <v>877</v>
      </c>
      <c r="B850" t="str">
        <f t="shared" si="76"/>
        <v>Roberge &amp; Fils Inc</v>
      </c>
      <c r="C850" t="str">
        <f t="shared" si="77"/>
        <v>48.80318</v>
      </c>
      <c r="D850" t="str">
        <f t="shared" si="78"/>
        <v>-79.2029</v>
      </c>
      <c r="E850" t="str">
        <f t="shared" si="79"/>
        <v>819-333-5405</v>
      </c>
      <c r="F850" t="str">
        <f t="shared" si="80"/>
        <v>J9Z 1M5</v>
      </c>
    </row>
    <row r="851" spans="1:6" x14ac:dyDescent="0.2">
      <c r="A851" t="s">
        <v>878</v>
      </c>
      <c r="B851" t="str">
        <f t="shared" si="76"/>
        <v>Corporation du Canton de Dubreuilville</v>
      </c>
      <c r="C851" t="str">
        <f t="shared" si="77"/>
        <v>48.3511856670082</v>
      </c>
      <c r="D851" t="str">
        <f t="shared" si="78"/>
        <v>-84.5473311099727</v>
      </c>
      <c r="E851" t="str">
        <f t="shared" si="79"/>
        <v>705-884-2340</v>
      </c>
      <c r="F851" t="str">
        <f t="shared" si="80"/>
        <v>P0S 1B0</v>
      </c>
    </row>
    <row r="852" spans="1:6" x14ac:dyDescent="0.2">
      <c r="A852" t="s">
        <v>879</v>
      </c>
      <c r="B852" t="str">
        <f t="shared" si="76"/>
        <v>BMR Matériaux Abitibi ltée</v>
      </c>
      <c r="C852" t="str">
        <f t="shared" si="77"/>
        <v>48.75642</v>
      </c>
      <c r="D852" t="str">
        <f t="shared" si="78"/>
        <v>-79.0066658333333</v>
      </c>
      <c r="E852" t="str">
        <f t="shared" si="79"/>
        <v>819-782-4611</v>
      </c>
      <c r="F852" t="str">
        <f t="shared" si="80"/>
        <v>J0Z 2S0</v>
      </c>
    </row>
    <row r="853" spans="1:6" x14ac:dyDescent="0.2">
      <c r="A853" t="s">
        <v>880</v>
      </c>
      <c r="B853" t="str">
        <f t="shared" si="76"/>
        <v>Dépôt Nédélec</v>
      </c>
      <c r="C853" t="str">
        <f t="shared" si="77"/>
        <v>48.75043</v>
      </c>
      <c r="D853" t="str">
        <f t="shared" si="78"/>
        <v>-79.00223</v>
      </c>
      <c r="E853" t="str">
        <f t="shared" si="79"/>
        <v>--</v>
      </c>
      <c r="F853" t="str">
        <f t="shared" si="80"/>
        <v>J0Z 2Z0</v>
      </c>
    </row>
    <row r="854" spans="1:6" x14ac:dyDescent="0.2">
      <c r="A854" t="s">
        <v>881</v>
      </c>
      <c r="B854" t="str">
        <f t="shared" si="76"/>
        <v>Dépôt Ste-Germaine-Boulé</v>
      </c>
      <c r="C854" t="str">
        <f t="shared" si="77"/>
        <v>48.6025182</v>
      </c>
      <c r="D854" t="str">
        <f t="shared" si="78"/>
        <v>-79.11541</v>
      </c>
      <c r="E854" t="str">
        <f t="shared" si="79"/>
        <v>--</v>
      </c>
      <c r="F854" t="str">
        <f t="shared" si="80"/>
        <v>J0Z 1M0</v>
      </c>
    </row>
    <row r="855" spans="1:6" x14ac:dyDescent="0.2">
      <c r="A855" t="s">
        <v>882</v>
      </c>
      <c r="B855" t="str">
        <f t="shared" si="76"/>
        <v>The Source</v>
      </c>
      <c r="C855" t="str">
        <f t="shared" si="77"/>
        <v>48.14718</v>
      </c>
      <c r="D855" t="str">
        <f t="shared" si="78"/>
        <v>-80.0469</v>
      </c>
      <c r="E855" t="str">
        <f t="shared" si="79"/>
        <v>705-567-3060</v>
      </c>
      <c r="F855" t="str">
        <f t="shared" si="80"/>
        <v>P2N 2E9</v>
      </c>
    </row>
    <row r="856" spans="1:6" x14ac:dyDescent="0.2">
      <c r="A856" t="s">
        <v>894</v>
      </c>
      <c r="B856" t="str">
        <f t="shared" si="76"/>
        <v>Jean Coutu</v>
      </c>
      <c r="C856" t="str">
        <f t="shared" si="77"/>
        <v>45.32124</v>
      </c>
      <c r="D856" t="str">
        <f t="shared" si="78"/>
        <v>-75.10929</v>
      </c>
      <c r="E856" t="str">
        <f t="shared" si="79"/>
        <v>613-764-5455</v>
      </c>
      <c r="F856" t="str">
        <f t="shared" si="80"/>
        <v>K0A 1M0</v>
      </c>
    </row>
    <row r="857" spans="1:6" x14ac:dyDescent="0.2">
      <c r="A857" t="s">
        <v>895</v>
      </c>
      <c r="B857" t="str">
        <f t="shared" si="76"/>
        <v>Canadian Tire</v>
      </c>
      <c r="C857" t="str">
        <f t="shared" si="77"/>
        <v>45.3048483</v>
      </c>
      <c r="D857" t="str">
        <f t="shared" si="78"/>
        <v>-75.0842176</v>
      </c>
      <c r="E857" t="str">
        <f t="shared" si="79"/>
        <v>613-764-0401</v>
      </c>
      <c r="F857" t="str">
        <f t="shared" si="80"/>
        <v>K0A 1M0</v>
      </c>
    </row>
    <row r="858" spans="1:6" x14ac:dyDescent="0.2">
      <c r="A858" t="s">
        <v>896</v>
      </c>
      <c r="B858" t="str">
        <f t="shared" si="76"/>
        <v>The Source</v>
      </c>
      <c r="C858" t="str">
        <f t="shared" si="77"/>
        <v>45.30585</v>
      </c>
      <c r="D858" t="str">
        <f t="shared" si="78"/>
        <v>-75.08342</v>
      </c>
      <c r="E858" t="str">
        <f t="shared" si="79"/>
        <v>613-764-2023</v>
      </c>
      <c r="F858" t="str">
        <f t="shared" si="80"/>
        <v>K0A 1M0</v>
      </c>
    </row>
    <row r="859" spans="1:6" x14ac:dyDescent="0.2">
      <c r="A859" t="s">
        <v>897</v>
      </c>
      <c r="B859" t="str">
        <f t="shared" si="76"/>
        <v>The Source</v>
      </c>
      <c r="C859" t="str">
        <f t="shared" si="77"/>
        <v>45.26869</v>
      </c>
      <c r="D859" t="str">
        <f t="shared" si="78"/>
        <v>-75.29589</v>
      </c>
      <c r="E859" t="str">
        <f t="shared" si="79"/>
        <v>613-443-5642</v>
      </c>
      <c r="F859" t="str">
        <f t="shared" si="80"/>
        <v>K0A 1W1</v>
      </c>
    </row>
    <row r="860" spans="1:6" x14ac:dyDescent="0.2">
      <c r="A860" t="s">
        <v>898</v>
      </c>
      <c r="B860" t="str">
        <f t="shared" si="76"/>
        <v>Township of Russell</v>
      </c>
      <c r="C860" t="str">
        <f t="shared" si="77"/>
        <v>45.2672597504255</v>
      </c>
      <c r="D860" t="str">
        <f t="shared" si="78"/>
        <v>-75.3059172717022</v>
      </c>
      <c r="E860" t="str">
        <f t="shared" si="79"/>
        <v>613-443-3066</v>
      </c>
      <c r="F860" t="str">
        <f t="shared" si="80"/>
        <v>K0A 1W1</v>
      </c>
    </row>
    <row r="861" spans="1:6" x14ac:dyDescent="0.2">
      <c r="A861" t="s">
        <v>899</v>
      </c>
      <c r="B861" t="str">
        <f t="shared" si="76"/>
        <v>Barrys Home Hardware</v>
      </c>
      <c r="C861" t="str">
        <f t="shared" si="77"/>
        <v>45.25691</v>
      </c>
      <c r="D861" t="str">
        <f t="shared" si="78"/>
        <v>-75.3704</v>
      </c>
      <c r="E861" t="str">
        <f t="shared" si="79"/>
        <v>613-445-2171</v>
      </c>
      <c r="F861" t="str">
        <f t="shared" si="80"/>
        <v>K4R 1A1</v>
      </c>
    </row>
    <row r="862" spans="1:6" x14ac:dyDescent="0.2">
      <c r="A862" t="s">
        <v>900</v>
      </c>
      <c r="B862" t="str">
        <f t="shared" si="76"/>
        <v>The Nation Municipality</v>
      </c>
      <c r="C862" t="str">
        <f t="shared" si="77"/>
        <v>45.4316955</v>
      </c>
      <c r="D862" t="str">
        <f t="shared" si="78"/>
        <v>-74.9317283</v>
      </c>
      <c r="E862" t="str">
        <f t="shared" si="79"/>
        <v>613-223-4855</v>
      </c>
      <c r="F862" t="str">
        <f t="shared" si="80"/>
        <v>K0B 1G0</v>
      </c>
    </row>
    <row r="863" spans="1:6" x14ac:dyDescent="0.2">
      <c r="A863" t="s">
        <v>901</v>
      </c>
      <c r="B863" t="str">
        <f t="shared" si="76"/>
        <v>Canadian Tire</v>
      </c>
      <c r="C863" t="str">
        <f t="shared" si="77"/>
        <v>45.5252195</v>
      </c>
      <c r="D863" t="str">
        <f t="shared" si="78"/>
        <v>-75.3334153</v>
      </c>
      <c r="E863" t="str">
        <f t="shared" si="79"/>
        <v>613-446-4410</v>
      </c>
      <c r="F863" t="str">
        <f t="shared" si="80"/>
        <v>K4C 1R7</v>
      </c>
    </row>
    <row r="864" spans="1:6" x14ac:dyDescent="0.2">
      <c r="A864" t="s">
        <v>903</v>
      </c>
      <c r="B864" t="str">
        <f t="shared" si="76"/>
        <v>The Source</v>
      </c>
      <c r="C864" t="str">
        <f t="shared" si="77"/>
        <v>45.30585</v>
      </c>
      <c r="D864" t="str">
        <f t="shared" si="78"/>
        <v>-75.08342</v>
      </c>
      <c r="E864" t="str">
        <f t="shared" si="79"/>
        <v>613-764-2023</v>
      </c>
      <c r="F864" t="str">
        <f t="shared" si="80"/>
        <v>K0A 1M0</v>
      </c>
    </row>
    <row r="865" spans="1:6" x14ac:dyDescent="0.2">
      <c r="A865" t="s">
        <v>904</v>
      </c>
      <c r="B865" t="str">
        <f t="shared" si="76"/>
        <v>Canadian Tire</v>
      </c>
      <c r="C865" t="str">
        <f t="shared" si="77"/>
        <v>45.3048483</v>
      </c>
      <c r="D865" t="str">
        <f t="shared" si="78"/>
        <v>-75.0842176</v>
      </c>
      <c r="E865" t="str">
        <f t="shared" si="79"/>
        <v>613-764-0401</v>
      </c>
      <c r="F865" t="str">
        <f t="shared" si="80"/>
        <v>K0A 1M0</v>
      </c>
    </row>
    <row r="866" spans="1:6" x14ac:dyDescent="0.2">
      <c r="A866" t="s">
        <v>905</v>
      </c>
      <c r="B866" t="str">
        <f t="shared" si="76"/>
        <v>Jean Coutu</v>
      </c>
      <c r="C866" t="str">
        <f t="shared" si="77"/>
        <v>45.32124</v>
      </c>
      <c r="D866" t="str">
        <f t="shared" si="78"/>
        <v>-75.10929</v>
      </c>
      <c r="E866" t="str">
        <f t="shared" si="79"/>
        <v>613-764-5455</v>
      </c>
      <c r="F866" t="str">
        <f t="shared" si="80"/>
        <v>K0A 1M0</v>
      </c>
    </row>
    <row r="867" spans="1:6" x14ac:dyDescent="0.2">
      <c r="A867" t="s">
        <v>906</v>
      </c>
      <c r="B867" t="str">
        <f t="shared" si="76"/>
        <v>The Nation Municipality</v>
      </c>
      <c r="C867" t="str">
        <f t="shared" si="77"/>
        <v>45.4316955</v>
      </c>
      <c r="D867" t="str">
        <f t="shared" si="78"/>
        <v>-74.9317283</v>
      </c>
      <c r="E867" t="str">
        <f t="shared" si="79"/>
        <v>613-223-4855</v>
      </c>
      <c r="F867" t="str">
        <f t="shared" si="80"/>
        <v>K0B 1G0</v>
      </c>
    </row>
    <row r="868" spans="1:6" x14ac:dyDescent="0.2">
      <c r="A868" t="s">
        <v>908</v>
      </c>
      <c r="B868" t="str">
        <f t="shared" si="76"/>
        <v>G&amp;S Tech-Tronics</v>
      </c>
      <c r="C868" t="str">
        <f t="shared" si="77"/>
        <v>45.30137</v>
      </c>
      <c r="D868" t="str">
        <f t="shared" si="78"/>
        <v>-74.62865</v>
      </c>
      <c r="E868" t="str">
        <f t="shared" si="79"/>
        <v>613-525-3852</v>
      </c>
      <c r="F868" t="str">
        <f t="shared" si="80"/>
        <v>K0C 1A0</v>
      </c>
    </row>
    <row r="869" spans="1:6" x14ac:dyDescent="0.2">
      <c r="A869" t="s">
        <v>909</v>
      </c>
      <c r="B869" t="str">
        <f t="shared" si="76"/>
        <v>The Nation Municipality</v>
      </c>
      <c r="C869" t="str">
        <f t="shared" si="77"/>
        <v>45.4316955</v>
      </c>
      <c r="D869" t="str">
        <f t="shared" si="78"/>
        <v>-74.9317283</v>
      </c>
      <c r="E869" t="str">
        <f t="shared" si="79"/>
        <v>613-223-4855</v>
      </c>
      <c r="F869" t="str">
        <f t="shared" si="80"/>
        <v>K0B 1G0</v>
      </c>
    </row>
    <row r="870" spans="1:6" x14ac:dyDescent="0.2">
      <c r="A870" t="s">
        <v>911</v>
      </c>
      <c r="B870" t="str">
        <f t="shared" si="76"/>
        <v>Home Depot</v>
      </c>
      <c r="C870" t="str">
        <f t="shared" si="77"/>
        <v>45.0379267646816</v>
      </c>
      <c r="D870" t="str">
        <f t="shared" si="78"/>
        <v>-74.7607134190964</v>
      </c>
      <c r="E870" t="str">
        <f t="shared" si="79"/>
        <v>613-930-4470</v>
      </c>
      <c r="F870" t="str">
        <f t="shared" si="80"/>
        <v>K6J 5X7</v>
      </c>
    </row>
    <row r="871" spans="1:6" x14ac:dyDescent="0.2">
      <c r="A871" t="s">
        <v>912</v>
      </c>
      <c r="B871" t="str">
        <f t="shared" si="76"/>
        <v>City of Cornwall Depot</v>
      </c>
      <c r="C871" t="str">
        <f t="shared" si="77"/>
        <v>45.0381247435396</v>
      </c>
      <c r="D871" t="str">
        <f t="shared" si="78"/>
        <v>-74.8168842447786</v>
      </c>
      <c r="E871" t="str">
        <f t="shared" si="79"/>
        <v>613-930-2787</v>
      </c>
      <c r="F871" t="str">
        <f t="shared" si="80"/>
        <v>K0C 1P0</v>
      </c>
    </row>
    <row r="872" spans="1:6" x14ac:dyDescent="0.2">
      <c r="A872" t="s">
        <v>913</v>
      </c>
      <c r="B872" t="str">
        <f t="shared" si="76"/>
        <v>RONA</v>
      </c>
      <c r="C872" t="str">
        <f t="shared" si="77"/>
        <v>45.03381</v>
      </c>
      <c r="D872" t="str">
        <f t="shared" si="78"/>
        <v>-74.71658</v>
      </c>
      <c r="E872" t="str">
        <f t="shared" si="79"/>
        <v>613-938-3300</v>
      </c>
      <c r="F872" t="str">
        <f t="shared" si="80"/>
        <v>K6H 2W8</v>
      </c>
    </row>
    <row r="873" spans="1:6" x14ac:dyDescent="0.2">
      <c r="A873" t="s">
        <v>914</v>
      </c>
      <c r="B873" t="str">
        <f t="shared" si="76"/>
        <v>Staples</v>
      </c>
      <c r="C873" t="str">
        <f t="shared" si="77"/>
        <v>45.0287936</v>
      </c>
      <c r="D873" t="str">
        <f t="shared" si="78"/>
        <v>-74.7346015</v>
      </c>
      <c r="E873" t="str">
        <f t="shared" si="79"/>
        <v>613-936-6952</v>
      </c>
      <c r="F873" t="str">
        <f t="shared" si="80"/>
        <v>K6H 6R3</v>
      </c>
    </row>
    <row r="874" spans="1:6" x14ac:dyDescent="0.2">
      <c r="A874" t="s">
        <v>915</v>
      </c>
      <c r="B874" t="str">
        <f t="shared" si="76"/>
        <v>ListenUp! Canada</v>
      </c>
      <c r="C874" t="str">
        <f t="shared" si="77"/>
        <v>45.0199628571429</v>
      </c>
      <c r="D874" t="str">
        <f t="shared" si="78"/>
        <v>-74.7296728571429</v>
      </c>
      <c r="E874" t="str">
        <f t="shared" si="79"/>
        <v>613-937-0519</v>
      </c>
      <c r="F874" t="str">
        <f t="shared" si="80"/>
        <v>K6J 3R1</v>
      </c>
    </row>
    <row r="875" spans="1:6" x14ac:dyDescent="0.2">
      <c r="A875" t="s">
        <v>916</v>
      </c>
      <c r="B875" t="str">
        <f t="shared" si="76"/>
        <v>G&amp;S Tech-Tronics</v>
      </c>
      <c r="C875" t="str">
        <f t="shared" si="77"/>
        <v>45.30137</v>
      </c>
      <c r="D875" t="str">
        <f t="shared" si="78"/>
        <v>-74.62865</v>
      </c>
      <c r="E875" t="str">
        <f t="shared" si="79"/>
        <v>613-525-3852</v>
      </c>
      <c r="F875" t="str">
        <f t="shared" si="80"/>
        <v>K0C 1A0</v>
      </c>
    </row>
    <row r="876" spans="1:6" x14ac:dyDescent="0.2">
      <c r="A876" t="s">
        <v>918</v>
      </c>
      <c r="B876" t="str">
        <f t="shared" si="76"/>
        <v>City of Cornwall Depot</v>
      </c>
      <c r="C876" t="str">
        <f t="shared" si="77"/>
        <v>45.0381247435396</v>
      </c>
      <c r="D876" t="str">
        <f t="shared" si="78"/>
        <v>-74.8168842447786</v>
      </c>
      <c r="E876" t="str">
        <f t="shared" si="79"/>
        <v>613-930-2787</v>
      </c>
      <c r="F876" t="str">
        <f t="shared" si="80"/>
        <v>K0C 1P0</v>
      </c>
    </row>
    <row r="877" spans="1:6" x14ac:dyDescent="0.2">
      <c r="A877" t="s">
        <v>919</v>
      </c>
      <c r="B877" t="str">
        <f t="shared" si="76"/>
        <v>W.L.SMITH HARDWARE</v>
      </c>
      <c r="C877" t="str">
        <f t="shared" si="77"/>
        <v>44.9298593573576</v>
      </c>
      <c r="D877" t="str">
        <f t="shared" si="78"/>
        <v>-74.8905959717505</v>
      </c>
      <c r="E877" t="str">
        <f t="shared" si="79"/>
        <v>315-769-2408</v>
      </c>
      <c r="F877" t="str">
        <f t="shared" si="80"/>
        <v>13662</v>
      </c>
    </row>
    <row r="878" spans="1:6" x14ac:dyDescent="0.2">
      <c r="A878" t="s">
        <v>920</v>
      </c>
      <c r="B878" t="str">
        <f t="shared" si="76"/>
        <v>Home Depot</v>
      </c>
      <c r="C878" t="str">
        <f t="shared" si="77"/>
        <v>45.0379267646816</v>
      </c>
      <c r="D878" t="str">
        <f t="shared" si="78"/>
        <v>-74.7607134190964</v>
      </c>
      <c r="E878" t="str">
        <f t="shared" si="79"/>
        <v>613-930-4470</v>
      </c>
      <c r="F878" t="str">
        <f t="shared" si="80"/>
        <v>K6J 5X7</v>
      </c>
    </row>
    <row r="879" spans="1:6" x14ac:dyDescent="0.2">
      <c r="A879" t="s">
        <v>921</v>
      </c>
      <c r="B879" t="str">
        <f t="shared" si="76"/>
        <v>The Home Depot</v>
      </c>
      <c r="C879" t="str">
        <f t="shared" si="77"/>
        <v>44.9258016326531</v>
      </c>
      <c r="D879" t="str">
        <f t="shared" si="78"/>
        <v>-74.8749063265306</v>
      </c>
      <c r="E879" t="str">
        <f t="shared" si="79"/>
        <v>315-764-9930</v>
      </c>
      <c r="F879" t="str">
        <f t="shared" si="80"/>
        <v>13662</v>
      </c>
    </row>
    <row r="880" spans="1:6" x14ac:dyDescent="0.2">
      <c r="A880" t="s">
        <v>922</v>
      </c>
      <c r="B880" t="str">
        <f t="shared" si="76"/>
        <v>Staples</v>
      </c>
      <c r="C880" t="str">
        <f t="shared" si="77"/>
        <v>45.0287936</v>
      </c>
      <c r="D880" t="str">
        <f t="shared" si="78"/>
        <v>-74.7346015</v>
      </c>
      <c r="E880" t="str">
        <f t="shared" si="79"/>
        <v>613-936-6952</v>
      </c>
      <c r="F880" t="str">
        <f t="shared" si="80"/>
        <v>K6H 6R3</v>
      </c>
    </row>
    <row r="881" spans="1:6" x14ac:dyDescent="0.2">
      <c r="A881" t="s">
        <v>923</v>
      </c>
      <c r="B881" t="str">
        <f t="shared" si="76"/>
        <v>ListenUp! Canada</v>
      </c>
      <c r="C881" t="str">
        <f t="shared" si="77"/>
        <v>45.0199628571429</v>
      </c>
      <c r="D881" t="str">
        <f t="shared" si="78"/>
        <v>-74.7296728571429</v>
      </c>
      <c r="E881" t="str">
        <f t="shared" si="79"/>
        <v>613-937-0519</v>
      </c>
      <c r="F881" t="str">
        <f t="shared" si="80"/>
        <v>K6J 3R1</v>
      </c>
    </row>
    <row r="882" spans="1:6" x14ac:dyDescent="0.2">
      <c r="A882" t="s">
        <v>924</v>
      </c>
      <c r="B882" t="str">
        <f t="shared" si="76"/>
        <v>Massena Transfer Station</v>
      </c>
      <c r="C882" t="str">
        <f t="shared" si="77"/>
        <v>44.896373301664</v>
      </c>
      <c r="D882" t="str">
        <f t="shared" si="78"/>
        <v>-74.879431337665</v>
      </c>
      <c r="E882" t="str">
        <f t="shared" si="79"/>
        <v>315-764-7312</v>
      </c>
      <c r="F882" t="str">
        <f t="shared" si="80"/>
        <v>13662</v>
      </c>
    </row>
    <row r="883" spans="1:6" x14ac:dyDescent="0.2">
      <c r="A883" t="s">
        <v>925</v>
      </c>
      <c r="B883" t="str">
        <f t="shared" si="76"/>
        <v>RONA</v>
      </c>
      <c r="C883" t="str">
        <f t="shared" si="77"/>
        <v>45.03381</v>
      </c>
      <c r="D883" t="str">
        <f t="shared" si="78"/>
        <v>-74.71658</v>
      </c>
      <c r="E883" t="str">
        <f t="shared" si="79"/>
        <v>613-938-3300</v>
      </c>
      <c r="F883" t="str">
        <f t="shared" si="80"/>
        <v>K6H 2W8</v>
      </c>
    </row>
    <row r="884" spans="1:6" x14ac:dyDescent="0.2">
      <c r="A884" t="s">
        <v>927</v>
      </c>
      <c r="B884" t="str">
        <f t="shared" si="76"/>
        <v>Township of North Dundas</v>
      </c>
      <c r="C884" t="str">
        <f t="shared" si="77"/>
        <v>45.1045758467051</v>
      </c>
      <c r="D884" t="str">
        <f t="shared" si="78"/>
        <v>-75.3214423553231</v>
      </c>
      <c r="E884" t="str">
        <f t="shared" si="79"/>
        <v>613-774-5157</v>
      </c>
      <c r="F884" t="str">
        <f t="shared" si="80"/>
        <v>K0C 2K0</v>
      </c>
    </row>
    <row r="885" spans="1:6" x14ac:dyDescent="0.2">
      <c r="A885" t="s">
        <v>928</v>
      </c>
      <c r="B885" t="str">
        <f t="shared" si="76"/>
        <v>Barrys Home Hardware</v>
      </c>
      <c r="C885" t="str">
        <f t="shared" si="77"/>
        <v>45.25691</v>
      </c>
      <c r="D885" t="str">
        <f t="shared" si="78"/>
        <v>-75.3704</v>
      </c>
      <c r="E885" t="str">
        <f t="shared" si="79"/>
        <v>613-445-2171</v>
      </c>
      <c r="F885" t="str">
        <f t="shared" si="80"/>
        <v>K4R 1A1</v>
      </c>
    </row>
    <row r="886" spans="1:6" x14ac:dyDescent="0.2">
      <c r="A886" t="s">
        <v>929</v>
      </c>
      <c r="B886" t="str">
        <f t="shared" si="76"/>
        <v>Township of Russell</v>
      </c>
      <c r="C886" t="str">
        <f t="shared" si="77"/>
        <v>45.2672597504255</v>
      </c>
      <c r="D886" t="str">
        <f t="shared" si="78"/>
        <v>-75.3059172717022</v>
      </c>
      <c r="E886" t="str">
        <f t="shared" si="79"/>
        <v>613-443-3066</v>
      </c>
      <c r="F886" t="str">
        <f t="shared" si="80"/>
        <v>K0A 1W1</v>
      </c>
    </row>
    <row r="887" spans="1:6" x14ac:dyDescent="0.2">
      <c r="A887" t="s">
        <v>930</v>
      </c>
      <c r="B887" t="str">
        <f t="shared" si="76"/>
        <v>The Source</v>
      </c>
      <c r="C887" t="str">
        <f t="shared" si="77"/>
        <v>45.26869</v>
      </c>
      <c r="D887" t="str">
        <f t="shared" si="78"/>
        <v>-75.29589</v>
      </c>
      <c r="E887" t="str">
        <f t="shared" si="79"/>
        <v>613-443-5642</v>
      </c>
      <c r="F887" t="str">
        <f t="shared" si="80"/>
        <v>K0A 1W1</v>
      </c>
    </row>
    <row r="888" spans="1:6" x14ac:dyDescent="0.2">
      <c r="A888" t="s">
        <v>4</v>
      </c>
      <c r="B888" t="str">
        <f t="shared" si="76"/>
        <v>Ottawa Fastener Supply Ltd</v>
      </c>
      <c r="C888" t="str">
        <f t="shared" si="77"/>
        <v>45.31561</v>
      </c>
      <c r="D888" t="str">
        <f t="shared" si="78"/>
        <v>-75.84883</v>
      </c>
      <c r="E888" t="str">
        <f t="shared" si="79"/>
        <v>613-828-4117</v>
      </c>
      <c r="F888" t="str">
        <f t="shared" si="80"/>
        <v>K2H 5Z2</v>
      </c>
    </row>
    <row r="889" spans="1:6" x14ac:dyDescent="0.2">
      <c r="A889" t="s">
        <v>5</v>
      </c>
      <c r="B889" t="str">
        <f t="shared" si="76"/>
        <v>Canadian Tire</v>
      </c>
      <c r="C889" t="str">
        <f t="shared" si="77"/>
        <v>45.31561</v>
      </c>
      <c r="D889" t="str">
        <f t="shared" si="78"/>
        <v>-75.84883</v>
      </c>
      <c r="E889" t="str">
        <f t="shared" si="79"/>
        <v>613-829-9580</v>
      </c>
      <c r="F889" t="str">
        <f t="shared" si="80"/>
        <v>K2H 5Z2</v>
      </c>
    </row>
    <row r="890" spans="1:6" x14ac:dyDescent="0.2">
      <c r="A890" t="s">
        <v>6</v>
      </c>
      <c r="B890" t="str">
        <f t="shared" si="76"/>
        <v>The Source</v>
      </c>
      <c r="C890" t="str">
        <f t="shared" si="77"/>
        <v>45.30262</v>
      </c>
      <c r="D890" t="str">
        <f t="shared" si="78"/>
        <v>-75.876055</v>
      </c>
      <c r="E890" t="str">
        <f t="shared" si="79"/>
        <v>613-254-7298</v>
      </c>
      <c r="F890" t="str">
        <f t="shared" si="80"/>
        <v>K2M 1C9</v>
      </c>
    </row>
    <row r="891" spans="1:6" x14ac:dyDescent="0.2">
      <c r="A891" t="s">
        <v>7</v>
      </c>
      <c r="B891" t="str">
        <f t="shared" si="76"/>
        <v>Foxy Recycle</v>
      </c>
      <c r="C891" t="str">
        <f t="shared" si="77"/>
        <v>45.3361577807865</v>
      </c>
      <c r="D891" t="str">
        <f t="shared" si="78"/>
        <v>-75.7994028475483</v>
      </c>
      <c r="E891" t="str">
        <f t="shared" si="79"/>
        <v>613-726-3699</v>
      </c>
      <c r="F891" t="str">
        <f t="shared" si="80"/>
        <v>K2H 7T3</v>
      </c>
    </row>
    <row r="892" spans="1:6" x14ac:dyDescent="0.2">
      <c r="A892" t="s">
        <v>8</v>
      </c>
      <c r="B892" t="str">
        <f t="shared" si="76"/>
        <v>Best Buy Canada</v>
      </c>
      <c r="C892" t="str">
        <f t="shared" si="77"/>
        <v>45.2686415669868</v>
      </c>
      <c r="D892" t="str">
        <f t="shared" si="78"/>
        <v>-75.7511392975935</v>
      </c>
      <c r="E892" t="str">
        <f t="shared" si="79"/>
        <v>613-843-5625</v>
      </c>
      <c r="F892" t="str">
        <f t="shared" si="80"/>
        <v>K2J 4B1</v>
      </c>
    </row>
    <row r="893" spans="1:6" x14ac:dyDescent="0.2">
      <c r="A893" t="s">
        <v>9</v>
      </c>
      <c r="B893" t="str">
        <f t="shared" si="76"/>
        <v>Home Depot</v>
      </c>
      <c r="C893" t="str">
        <f t="shared" si="77"/>
        <v>45.2686323504802</v>
      </c>
      <c r="D893" t="str">
        <f t="shared" si="78"/>
        <v>-75.7511639463902</v>
      </c>
      <c r="E893" t="str">
        <f t="shared" si="79"/>
        <v>613-843-7900</v>
      </c>
      <c r="F893" t="str">
        <f t="shared" si="80"/>
        <v>K2J 5M4</v>
      </c>
    </row>
    <row r="894" spans="1:6" x14ac:dyDescent="0.2">
      <c r="A894" t="s">
        <v>10</v>
      </c>
      <c r="B894" t="str">
        <f t="shared" si="76"/>
        <v>Canadian Tire</v>
      </c>
      <c r="C894" t="str">
        <f t="shared" si="77"/>
        <v>45.27155</v>
      </c>
      <c r="D894" t="str">
        <f t="shared" si="78"/>
        <v>-75.74702</v>
      </c>
      <c r="E894" t="str">
        <f t="shared" si="79"/>
        <v>613-823-5278</v>
      </c>
      <c r="F894" t="str">
        <f t="shared" si="80"/>
        <v>K2J 4Y6</v>
      </c>
    </row>
    <row r="895" spans="1:6" x14ac:dyDescent="0.2">
      <c r="A895" t="s">
        <v>11</v>
      </c>
      <c r="B895" t="str">
        <f t="shared" si="76"/>
        <v>The Source</v>
      </c>
      <c r="C895" t="str">
        <f t="shared" si="77"/>
        <v>45.27028</v>
      </c>
      <c r="D895" t="str">
        <f t="shared" si="78"/>
        <v>-75.74192</v>
      </c>
      <c r="E895" t="str">
        <f t="shared" si="79"/>
        <v>613-823-1995</v>
      </c>
      <c r="F895" t="str">
        <f t="shared" si="80"/>
        <v>K2J 5G5</v>
      </c>
    </row>
    <row r="896" spans="1:6" x14ac:dyDescent="0.2">
      <c r="A896" t="s">
        <v>12</v>
      </c>
      <c r="B896" t="str">
        <f t="shared" si="76"/>
        <v>Staples</v>
      </c>
      <c r="C896" t="str">
        <f t="shared" si="77"/>
        <v>45.27069125</v>
      </c>
      <c r="D896" t="str">
        <f t="shared" si="78"/>
        <v>-75.7408525</v>
      </c>
      <c r="E896" t="str">
        <f t="shared" si="79"/>
        <v>613-825-0457</v>
      </c>
      <c r="F896" t="str">
        <f t="shared" si="80"/>
        <v>K2J 5G5</v>
      </c>
    </row>
    <row r="897" spans="1:6" x14ac:dyDescent="0.2">
      <c r="A897" t="s">
        <v>13</v>
      </c>
      <c r="B897" t="str">
        <f t="shared" ref="B897:B960" si="81">MID(A897,SEARCH("name"&amp;CHAR(34)&amp;":"&amp;CHAR(34),A897)+7,SEARCH(CHAR(34)&amp;", "&amp;CHAR(34)&amp;"locationlinkurl",A897)-SEARCH("name"&amp;CHAR(34)&amp;":"&amp;CHAR(34),A897)-7)</f>
        <v>The Source</v>
      </c>
      <c r="C897" t="str">
        <f t="shared" ref="C897:C960" si="82">MID(A897,SEARCH(CHAR(34)&amp;"latitude"&amp;CHAR(34)&amp;":"&amp;CHAR(34),A897)+12,SEARCH(CHAR(34)&amp;", "&amp;CHAR(34)&amp;"url"&amp;CHAR(34),A897)-SEARCH(CHAR(34)&amp;"latitude"&amp;CHAR(34)&amp;":"&amp;CHAR(34),A897)-12)</f>
        <v>45.34921</v>
      </c>
      <c r="D897" t="str">
        <f t="shared" ref="D897:D960" si="83">MID(A897,SEARCH(CHAR(34)&amp;"longitude"&amp;CHAR(34)&amp;":"&amp;CHAR(34),A897)+13,SEARCH(CHAR(34)&amp;", "&amp;CHAR(34)&amp;"uid"&amp;CHAR(34),A897)-SEARCH(CHAR(34)&amp;"longitude"&amp;CHAR(34)&amp;":"&amp;CHAR(34),A897)-13)</f>
        <v>-75.80515</v>
      </c>
      <c r="E897" t="str">
        <f t="shared" ref="E897:E960" si="84">MID(A897,SEARCH(CHAR(34)&amp;"phone"&amp;CHAR(34)&amp;":"&amp;CHAR(34),A897)+9,SEARCH(CHAR(34)&amp;", "&amp;CHAR(34)&amp;"address2"&amp;CHAR(34),A897)-SEARCH(CHAR(34)&amp;"phone"&amp;CHAR(34)&amp;":"&amp;CHAR(34),A897)-9)</f>
        <v>613-820-6194</v>
      </c>
      <c r="F897" t="str">
        <f t="shared" ref="F897:F960" si="85">MID(A897,SEARCH(CHAR(34)&amp;"postalcode"&amp;CHAR(34)&amp;":"&amp;CHAR(34),A897)+14,SEARCH(CHAR(34)&amp;", "&amp;CHAR(34)&amp;"province"&amp;CHAR(34),A897)-SEARCH(CHAR(34)&amp;"postalcode"&amp;CHAR(34)&amp;":"&amp;CHAR(34),A897)-14)</f>
        <v>K2B 8C1</v>
      </c>
    </row>
    <row r="898" spans="1:6" x14ac:dyDescent="0.2">
      <c r="A898" t="s">
        <v>14</v>
      </c>
      <c r="B898" t="str">
        <f t="shared" si="81"/>
        <v>Franklin Empire</v>
      </c>
      <c r="C898" t="str">
        <f t="shared" si="82"/>
        <v>45.3169700050834</v>
      </c>
      <c r="D898" t="str">
        <f t="shared" si="83"/>
        <v>-75.8900513218109</v>
      </c>
      <c r="E898" t="str">
        <f t="shared" si="84"/>
        <v>613-596-1144</v>
      </c>
      <c r="F898" t="str">
        <f t="shared" si="85"/>
        <v>K2L 4E9</v>
      </c>
    </row>
    <row r="899" spans="1:6" x14ac:dyDescent="0.2">
      <c r="A899" t="s">
        <v>15</v>
      </c>
      <c r="B899" t="str">
        <f t="shared" si="81"/>
        <v>ListenUp! Canada</v>
      </c>
      <c r="C899" t="str">
        <f t="shared" si="82"/>
        <v>45.3481964767298</v>
      </c>
      <c r="D899" t="str">
        <f t="shared" si="83"/>
        <v>-75.7863466375104</v>
      </c>
      <c r="E899" t="str">
        <f t="shared" si="84"/>
        <v>613-721-1052</v>
      </c>
      <c r="F899" t="str">
        <f t="shared" si="85"/>
        <v>K2C 1E6</v>
      </c>
    </row>
    <row r="900" spans="1:6" x14ac:dyDescent="0.2">
      <c r="A900" t="s">
        <v>16</v>
      </c>
      <c r="B900" t="str">
        <f t="shared" si="81"/>
        <v>The Source</v>
      </c>
      <c r="C900" t="str">
        <f t="shared" si="82"/>
        <v>45.3488851541784</v>
      </c>
      <c r="D900" t="str">
        <f t="shared" si="83"/>
        <v>-75.7608445840817</v>
      </c>
      <c r="E900" t="str">
        <f t="shared" si="84"/>
        <v>613-224-1683</v>
      </c>
      <c r="F900" t="str">
        <f t="shared" si="85"/>
        <v>K2G 1V7</v>
      </c>
    </row>
    <row r="901" spans="1:6" x14ac:dyDescent="0.2">
      <c r="A901" t="s">
        <v>17</v>
      </c>
      <c r="B901" t="str">
        <f t="shared" si="81"/>
        <v>Home Depot</v>
      </c>
      <c r="C901" t="str">
        <f t="shared" si="82"/>
        <v>45.3022741666667</v>
      </c>
      <c r="D901" t="str">
        <f t="shared" si="83"/>
        <v>-75.9142483333333</v>
      </c>
      <c r="E901" t="str">
        <f t="shared" si="84"/>
        <v>613-271-7577</v>
      </c>
      <c r="F901" t="str">
        <f t="shared" si="85"/>
        <v>K2T 1C4</v>
      </c>
    </row>
    <row r="902" spans="1:6" x14ac:dyDescent="0.2">
      <c r="A902" t="s">
        <v>18</v>
      </c>
      <c r="B902" t="str">
        <f t="shared" si="81"/>
        <v>RONA</v>
      </c>
      <c r="C902" t="str">
        <f t="shared" si="82"/>
        <v>45.33296</v>
      </c>
      <c r="D902" t="str">
        <f t="shared" si="83"/>
        <v>-75.72896</v>
      </c>
      <c r="E902" t="str">
        <f t="shared" si="84"/>
        <v>613-226-5636</v>
      </c>
      <c r="F902" t="str">
        <f t="shared" si="85"/>
        <v>K2G 5X6</v>
      </c>
    </row>
    <row r="903" spans="1:6" x14ac:dyDescent="0.2">
      <c r="A903" t="s">
        <v>19</v>
      </c>
      <c r="B903" t="str">
        <f t="shared" si="81"/>
        <v>Home Depot</v>
      </c>
      <c r="C903" t="str">
        <f t="shared" si="82"/>
        <v>45.3529242478139</v>
      </c>
      <c r="D903" t="str">
        <f t="shared" si="83"/>
        <v>-75.7593245369859</v>
      </c>
      <c r="E903" t="str">
        <f t="shared" si="84"/>
        <v>613-723-5900</v>
      </c>
      <c r="F903" t="str">
        <f t="shared" si="85"/>
        <v>K2C 0C6</v>
      </c>
    </row>
    <row r="904" spans="1:6" x14ac:dyDescent="0.2">
      <c r="A904" t="s">
        <v>20</v>
      </c>
      <c r="B904" t="str">
        <f t="shared" si="81"/>
        <v>Interstate Batteries of Ont</v>
      </c>
      <c r="C904" t="str">
        <f t="shared" si="82"/>
        <v>45.3247075</v>
      </c>
      <c r="D904" t="str">
        <f t="shared" si="83"/>
        <v>-75.71596875</v>
      </c>
      <c r="E904" t="str">
        <f t="shared" si="84"/>
        <v>613-798-9700</v>
      </c>
      <c r="F904" t="str">
        <f t="shared" si="85"/>
        <v>K2E 6V4</v>
      </c>
    </row>
    <row r="905" spans="1:6" x14ac:dyDescent="0.2">
      <c r="A905" t="s">
        <v>21</v>
      </c>
      <c r="B905" t="str">
        <f t="shared" si="81"/>
        <v>Canadian Tire</v>
      </c>
      <c r="C905" t="str">
        <f t="shared" si="82"/>
        <v>45.3362070935906</v>
      </c>
      <c r="D905" t="str">
        <f t="shared" si="83"/>
        <v>-75.7250272826182</v>
      </c>
      <c r="E905" t="str">
        <f t="shared" si="84"/>
        <v>613-224-9330</v>
      </c>
      <c r="F905" t="str">
        <f t="shared" si="85"/>
        <v>K2G 1E6</v>
      </c>
    </row>
    <row r="906" spans="1:6" x14ac:dyDescent="0.2">
      <c r="A906" t="s">
        <v>22</v>
      </c>
      <c r="B906" t="str">
        <f t="shared" si="81"/>
        <v>Staples</v>
      </c>
      <c r="C906" t="str">
        <f t="shared" si="82"/>
        <v>45.3077106580804</v>
      </c>
      <c r="D906" t="str">
        <f t="shared" si="83"/>
        <v>-75.9191627451347</v>
      </c>
      <c r="E906" t="str">
        <f t="shared" si="84"/>
        <v>613-592-3538</v>
      </c>
      <c r="F906" t="str">
        <f t="shared" si="85"/>
        <v>K2T 1B7</v>
      </c>
    </row>
    <row r="907" spans="1:6" x14ac:dyDescent="0.2">
      <c r="A907" t="s">
        <v>23</v>
      </c>
      <c r="B907" t="str">
        <f t="shared" si="81"/>
        <v>Canadian Tire</v>
      </c>
      <c r="C907" t="str">
        <f t="shared" si="82"/>
        <v>45.307406755956</v>
      </c>
      <c r="D907" t="str">
        <f t="shared" si="83"/>
        <v>-75.9196711967659</v>
      </c>
      <c r="E907" t="str">
        <f t="shared" si="84"/>
        <v>613-599-5105</v>
      </c>
      <c r="F907" t="str">
        <f t="shared" si="85"/>
        <v>K2T 1B7</v>
      </c>
    </row>
    <row r="908" spans="1:6" x14ac:dyDescent="0.2">
      <c r="A908" t="s">
        <v>24</v>
      </c>
      <c r="B908" t="str">
        <f t="shared" si="81"/>
        <v>The Source</v>
      </c>
      <c r="C908" t="str">
        <f t="shared" si="82"/>
        <v>45.3456195926914</v>
      </c>
      <c r="D908" t="str">
        <f t="shared" si="83"/>
        <v>-75.7304456845579</v>
      </c>
      <c r="E908" t="str">
        <f t="shared" si="84"/>
        <v>613-224-9648</v>
      </c>
      <c r="F908" t="str">
        <f t="shared" si="85"/>
        <v>K2G 4A1</v>
      </c>
    </row>
    <row r="909" spans="1:6" x14ac:dyDescent="0.2">
      <c r="A909" t="s">
        <v>25</v>
      </c>
      <c r="B909" t="str">
        <f t="shared" si="81"/>
        <v>uBreakiFix</v>
      </c>
      <c r="C909" t="str">
        <f t="shared" si="82"/>
        <v>45.3489677777778</v>
      </c>
      <c r="D909" t="str">
        <f t="shared" si="83"/>
        <v>-75.7324555555556</v>
      </c>
      <c r="E909" t="str">
        <f t="shared" si="84"/>
        <v>613-422-8243</v>
      </c>
      <c r="F909" t="str">
        <f t="shared" si="85"/>
        <v>K2G 5J8</v>
      </c>
    </row>
    <row r="910" spans="1:6" x14ac:dyDescent="0.2">
      <c r="A910" t="s">
        <v>26</v>
      </c>
      <c r="B910" t="str">
        <f t="shared" si="81"/>
        <v>ListenUp! Canada</v>
      </c>
      <c r="C910" t="str">
        <f t="shared" si="82"/>
        <v>45.35091</v>
      </c>
      <c r="D910" t="str">
        <f t="shared" si="83"/>
        <v>-75.73358</v>
      </c>
      <c r="E910" t="str">
        <f t="shared" si="84"/>
        <v>613-727-3132</v>
      </c>
      <c r="F910" t="str">
        <f t="shared" si="85"/>
        <v>K2G 4B5</v>
      </c>
    </row>
    <row r="911" spans="1:6" x14ac:dyDescent="0.2">
      <c r="A911" t="s">
        <v>27</v>
      </c>
      <c r="B911" t="str">
        <f t="shared" si="81"/>
        <v>Staples</v>
      </c>
      <c r="C911" t="str">
        <f t="shared" si="82"/>
        <v>45.35311</v>
      </c>
      <c r="D911" t="str">
        <f t="shared" si="83"/>
        <v>-75.73469</v>
      </c>
      <c r="E911" t="str">
        <f t="shared" si="84"/>
        <v>613-226-7989</v>
      </c>
      <c r="F911" t="str">
        <f t="shared" si="85"/>
        <v>K2G 3J4</v>
      </c>
    </row>
    <row r="912" spans="1:6" x14ac:dyDescent="0.2">
      <c r="A912" t="s">
        <v>28</v>
      </c>
      <c r="B912" t="str">
        <f t="shared" si="81"/>
        <v>Sears (Canada)</v>
      </c>
      <c r="C912" t="str">
        <f t="shared" si="82"/>
        <v>45.3705308333333</v>
      </c>
      <c r="D912" t="str">
        <f t="shared" si="83"/>
        <v>-75.7700666666667</v>
      </c>
      <c r="E912" t="str">
        <f t="shared" si="84"/>
        <v>613-729-2561</v>
      </c>
      <c r="F912" t="str">
        <f t="shared" si="85"/>
        <v>K2A 1H2</v>
      </c>
    </row>
    <row r="913" spans="1:6" x14ac:dyDescent="0.2">
      <c r="A913" t="s">
        <v>29</v>
      </c>
      <c r="B913" t="str">
        <f t="shared" si="81"/>
        <v>Staples</v>
      </c>
      <c r="C913" t="str">
        <f t="shared" si="82"/>
        <v>45.37061</v>
      </c>
      <c r="D913" t="str">
        <f t="shared" si="83"/>
        <v>-75.76937</v>
      </c>
      <c r="E913" t="str">
        <f t="shared" si="84"/>
        <v>613-729-4585</v>
      </c>
      <c r="F913" t="str">
        <f t="shared" si="85"/>
        <v>K2A 1H1</v>
      </c>
    </row>
    <row r="914" spans="1:6" x14ac:dyDescent="0.2">
      <c r="A914" t="s">
        <v>30</v>
      </c>
      <c r="B914" t="str">
        <f t="shared" si="81"/>
        <v>The Source</v>
      </c>
      <c r="C914" t="str">
        <f t="shared" si="82"/>
        <v>45.3710585714286</v>
      </c>
      <c r="D914" t="str">
        <f t="shared" si="83"/>
        <v>-75.7688328571429</v>
      </c>
      <c r="E914" t="str">
        <f t="shared" si="84"/>
        <v>613-722-6052</v>
      </c>
      <c r="F914" t="str">
        <f t="shared" si="85"/>
        <v>K2A 1H2</v>
      </c>
    </row>
    <row r="915" spans="1:6" x14ac:dyDescent="0.2">
      <c r="A915" t="s">
        <v>31</v>
      </c>
      <c r="B915" t="str">
        <f t="shared" si="81"/>
        <v>Best Buy</v>
      </c>
      <c r="C915" t="str">
        <f t="shared" si="82"/>
        <v>45.372818</v>
      </c>
      <c r="D915" t="str">
        <f t="shared" si="83"/>
        <v>-75.7679092</v>
      </c>
      <c r="E915" t="str">
        <f t="shared" si="84"/>
        <v>--</v>
      </c>
      <c r="F915" t="str">
        <f t="shared" si="85"/>
        <v>K2A 1H2</v>
      </c>
    </row>
    <row r="916" spans="1:6" x14ac:dyDescent="0.2">
      <c r="A916" t="s">
        <v>32</v>
      </c>
      <c r="B916" t="str">
        <f t="shared" si="81"/>
        <v>Jean Coutu</v>
      </c>
      <c r="C916" t="str">
        <f t="shared" si="82"/>
        <v>45.39552</v>
      </c>
      <c r="D916" t="str">
        <f t="shared" si="83"/>
        <v>-75.83552</v>
      </c>
      <c r="E916" t="str">
        <f t="shared" si="84"/>
        <v>819-684-0006</v>
      </c>
      <c r="F916" t="str">
        <f t="shared" si="85"/>
        <v>J9H 6A6</v>
      </c>
    </row>
    <row r="917" spans="1:6" x14ac:dyDescent="0.2">
      <c r="A917" t="s">
        <v>33</v>
      </c>
      <c r="B917" t="str">
        <f t="shared" si="81"/>
        <v>La Source</v>
      </c>
      <c r="C917" t="str">
        <f t="shared" si="82"/>
        <v>45.39552</v>
      </c>
      <c r="D917" t="str">
        <f t="shared" si="83"/>
        <v>-75.83552</v>
      </c>
      <c r="E917" t="str">
        <f t="shared" si="84"/>
        <v>819-684-1359</v>
      </c>
      <c r="F917" t="str">
        <f t="shared" si="85"/>
        <v>J9H 6A6</v>
      </c>
    </row>
    <row r="918" spans="1:6" x14ac:dyDescent="0.2">
      <c r="A918" t="s">
        <v>0</v>
      </c>
      <c r="B918" t="str">
        <f t="shared" si="81"/>
        <v>Mountain Equipment Co-op</v>
      </c>
      <c r="C918" t="str">
        <f t="shared" si="82"/>
        <v>45.3915017200558</v>
      </c>
      <c r="D918" t="str">
        <f t="shared" si="83"/>
        <v>-75.755143747251</v>
      </c>
      <c r="E918" t="str">
        <f t="shared" si="84"/>
        <v>613-729-2700</v>
      </c>
      <c r="F918" t="str">
        <f t="shared" si="85"/>
        <v>K2A 0E8</v>
      </c>
    </row>
    <row r="919" spans="1:6" x14ac:dyDescent="0.2">
      <c r="A919" t="s">
        <v>1</v>
      </c>
      <c r="B919" t="str">
        <f t="shared" si="81"/>
        <v>Manotick Home Hardware</v>
      </c>
      <c r="C919" t="str">
        <f t="shared" si="82"/>
        <v>45.2240975</v>
      </c>
      <c r="D919" t="str">
        <f t="shared" si="83"/>
        <v>-75.68488125</v>
      </c>
      <c r="E919" t="str">
        <f t="shared" si="84"/>
        <v>613-692-3591</v>
      </c>
      <c r="F919" t="str">
        <f t="shared" si="85"/>
        <v>K4M 1A8</v>
      </c>
    </row>
    <row r="920" spans="1:6" x14ac:dyDescent="0.2">
      <c r="A920" t="s">
        <v>2</v>
      </c>
      <c r="B920" t="str">
        <f t="shared" si="81"/>
        <v>RONA</v>
      </c>
      <c r="C920" t="str">
        <f t="shared" si="82"/>
        <v>45.4116065217391</v>
      </c>
      <c r="D920" t="str">
        <f t="shared" si="83"/>
        <v>-75.818777826087</v>
      </c>
      <c r="E920" t="str">
        <f t="shared" si="84"/>
        <v>819-684-3275</v>
      </c>
      <c r="F920" t="str">
        <f t="shared" si="85"/>
        <v>J9J 3M3</v>
      </c>
    </row>
    <row r="921" spans="1:6" x14ac:dyDescent="0.2">
      <c r="A921" t="s">
        <v>3</v>
      </c>
      <c r="B921" t="str">
        <f t="shared" si="81"/>
        <v>Pharmacie Brunet</v>
      </c>
      <c r="C921" t="str">
        <f t="shared" si="82"/>
        <v>45.411005</v>
      </c>
      <c r="D921" t="str">
        <f t="shared" si="83"/>
        <v>-75.839105</v>
      </c>
      <c r="E921" t="str">
        <f t="shared" si="84"/>
        <v>819-684-8222</v>
      </c>
      <c r="F921" t="str">
        <f t="shared" si="85"/>
        <v>J9J 1V2</v>
      </c>
    </row>
    <row r="922" spans="1:6" x14ac:dyDescent="0.2">
      <c r="A922" t="s">
        <v>34</v>
      </c>
      <c r="B922" t="str">
        <f t="shared" si="81"/>
        <v>ListenUp! Canada</v>
      </c>
      <c r="C922" t="str">
        <f t="shared" si="82"/>
        <v>45.3997827272727</v>
      </c>
      <c r="D922" t="str">
        <f t="shared" si="83"/>
        <v>-75.7320581818182</v>
      </c>
      <c r="E922" t="str">
        <f t="shared" si="84"/>
        <v>613-728-9170</v>
      </c>
      <c r="F922" t="str">
        <f t="shared" si="85"/>
        <v>K1Y 0X6</v>
      </c>
    </row>
    <row r="923" spans="1:6" x14ac:dyDescent="0.2">
      <c r="A923" t="s">
        <v>35</v>
      </c>
      <c r="B923" t="str">
        <f t="shared" si="81"/>
        <v>Jean Coutu</v>
      </c>
      <c r="C923" t="str">
        <f t="shared" si="82"/>
        <v>45.4199387682437</v>
      </c>
      <c r="D923" t="str">
        <f t="shared" si="83"/>
        <v>-75.8095308031074</v>
      </c>
      <c r="E923" t="str">
        <f t="shared" si="84"/>
        <v>819-682-0670</v>
      </c>
      <c r="F923" t="str">
        <f t="shared" si="85"/>
        <v>J9J 1Z4</v>
      </c>
    </row>
    <row r="924" spans="1:6" x14ac:dyDescent="0.2">
      <c r="A924" t="s">
        <v>36</v>
      </c>
      <c r="B924" t="str">
        <f t="shared" si="81"/>
        <v>The Source</v>
      </c>
      <c r="C924" t="str">
        <f t="shared" si="82"/>
        <v>45.3573151020408</v>
      </c>
      <c r="D924" t="str">
        <f t="shared" si="83"/>
        <v>-75.6538102040816</v>
      </c>
      <c r="E924" t="str">
        <f t="shared" si="84"/>
        <v>613-733-1891</v>
      </c>
      <c r="F924" t="str">
        <f t="shared" si="85"/>
        <v>K1V 1J5</v>
      </c>
    </row>
    <row r="925" spans="1:6" x14ac:dyDescent="0.2">
      <c r="A925" t="s">
        <v>37</v>
      </c>
      <c r="B925" t="str">
        <f t="shared" si="81"/>
        <v>Staples</v>
      </c>
      <c r="C925" t="str">
        <f t="shared" si="82"/>
        <v>45.3573151020408</v>
      </c>
      <c r="D925" t="str">
        <f t="shared" si="83"/>
        <v>-75.6538102040816</v>
      </c>
      <c r="E925" t="str">
        <f t="shared" si="84"/>
        <v>613-521-3030</v>
      </c>
      <c r="F925" t="str">
        <f t="shared" si="85"/>
        <v>K1V 1J5</v>
      </c>
    </row>
    <row r="926" spans="1:6" x14ac:dyDescent="0.2">
      <c r="A926" t="s">
        <v>38</v>
      </c>
      <c r="B926" t="str">
        <f t="shared" si="81"/>
        <v>Home Depot</v>
      </c>
      <c r="C926" t="str">
        <f t="shared" si="82"/>
        <v>45.3633490771332</v>
      </c>
      <c r="D926" t="str">
        <f t="shared" si="83"/>
        <v>-75.658896395124</v>
      </c>
      <c r="E926" t="str">
        <f t="shared" si="84"/>
        <v>613-739-5300</v>
      </c>
      <c r="F926" t="str">
        <f t="shared" si="85"/>
        <v>K1V 7Z8</v>
      </c>
    </row>
    <row r="927" spans="1:6" x14ac:dyDescent="0.2">
      <c r="A927" t="s">
        <v>39</v>
      </c>
      <c r="B927" t="str">
        <f t="shared" si="81"/>
        <v>ListenUp! Canada</v>
      </c>
      <c r="C927" t="str">
        <f t="shared" si="82"/>
        <v>45.3539</v>
      </c>
      <c r="D927" t="str">
        <f t="shared" si="83"/>
        <v>-75.64844</v>
      </c>
      <c r="E927" t="str">
        <f t="shared" si="84"/>
        <v>613-521-0904</v>
      </c>
      <c r="F927" t="str">
        <f t="shared" si="85"/>
        <v>K1V 0T7</v>
      </c>
    </row>
    <row r="928" spans="1:6" x14ac:dyDescent="0.2">
      <c r="A928" t="s">
        <v>40</v>
      </c>
      <c r="B928" t="str">
        <f t="shared" si="81"/>
        <v>The Source</v>
      </c>
      <c r="C928" t="str">
        <f t="shared" si="82"/>
        <v>45.386778716225</v>
      </c>
      <c r="D928" t="str">
        <f t="shared" si="83"/>
        <v>-75.6796023225593</v>
      </c>
      <c r="E928" t="str">
        <f t="shared" si="84"/>
        <v>613-737-1079</v>
      </c>
      <c r="F928" t="str">
        <f t="shared" si="85"/>
        <v>K1H 8K2</v>
      </c>
    </row>
    <row r="929" spans="1:6" x14ac:dyDescent="0.2">
      <c r="A929" t="s">
        <v>41</v>
      </c>
      <c r="B929" t="str">
        <f t="shared" si="81"/>
        <v>The Source</v>
      </c>
      <c r="C929" t="str">
        <f t="shared" si="82"/>
        <v>45.3996469</v>
      </c>
      <c r="D929" t="str">
        <f t="shared" si="83"/>
        <v>-75.6837603</v>
      </c>
      <c r="E929" t="str">
        <f t="shared" si="84"/>
        <v>613-565-4808</v>
      </c>
      <c r="F929" t="str">
        <f t="shared" si="85"/>
        <v>K1S 5J3</v>
      </c>
    </row>
    <row r="930" spans="1:6" x14ac:dyDescent="0.2">
      <c r="A930" t="s">
        <v>42</v>
      </c>
      <c r="B930" t="str">
        <f t="shared" si="81"/>
        <v>La Source</v>
      </c>
      <c r="C930" t="str">
        <f t="shared" si="82"/>
        <v>45.43336</v>
      </c>
      <c r="D930" t="str">
        <f t="shared" si="83"/>
        <v>-75.78517</v>
      </c>
      <c r="E930" t="str">
        <f t="shared" si="84"/>
        <v>819-772-4751</v>
      </c>
      <c r="F930" t="str">
        <f t="shared" si="85"/>
        <v>J9A 3G1</v>
      </c>
    </row>
    <row r="931" spans="1:6" x14ac:dyDescent="0.2">
      <c r="A931" t="s">
        <v>43</v>
      </c>
      <c r="B931" t="str">
        <f t="shared" si="81"/>
        <v>Canadian Tire</v>
      </c>
      <c r="C931" t="str">
        <f t="shared" si="82"/>
        <v>45.433308</v>
      </c>
      <c r="D931" t="str">
        <f t="shared" si="83"/>
        <v>-75.779701</v>
      </c>
      <c r="E931" t="str">
        <f t="shared" si="84"/>
        <v>819-684-0660</v>
      </c>
      <c r="F931" t="str">
        <f t="shared" si="85"/>
        <v>J9A 0C7</v>
      </c>
    </row>
    <row r="932" spans="1:6" x14ac:dyDescent="0.2">
      <c r="A932" t="s">
        <v>44</v>
      </c>
      <c r="B932" t="str">
        <f t="shared" si="81"/>
        <v>Jean Coutu</v>
      </c>
      <c r="C932" t="str">
        <f t="shared" si="82"/>
        <v>45.4350193869702</v>
      </c>
      <c r="D932" t="str">
        <f t="shared" si="83"/>
        <v>-75.7807949680794</v>
      </c>
      <c r="E932" t="str">
        <f t="shared" si="84"/>
        <v>819-771-4515</v>
      </c>
      <c r="F932" t="str">
        <f t="shared" si="85"/>
        <v>J9A 0N4</v>
      </c>
    </row>
    <row r="933" spans="1:6" x14ac:dyDescent="0.2">
      <c r="A933" t="s">
        <v>45</v>
      </c>
      <c r="B933" t="str">
        <f t="shared" si="81"/>
        <v>ListenUp! Canada</v>
      </c>
      <c r="C933" t="str">
        <f t="shared" si="82"/>
        <v>45.4109122222222</v>
      </c>
      <c r="D933" t="str">
        <f t="shared" si="83"/>
        <v>-75.6928911111111</v>
      </c>
      <c r="E933" t="str">
        <f t="shared" si="84"/>
        <v>613-238-6839</v>
      </c>
      <c r="F933" t="str">
        <f t="shared" si="85"/>
        <v>K2P 1Z2</v>
      </c>
    </row>
    <row r="934" spans="1:6" x14ac:dyDescent="0.2">
      <c r="A934" t="s">
        <v>46</v>
      </c>
      <c r="B934" t="str">
        <f t="shared" si="81"/>
        <v>RONA</v>
      </c>
      <c r="C934" t="str">
        <f t="shared" si="82"/>
        <v>45.4357610482227</v>
      </c>
      <c r="D934" t="str">
        <f t="shared" si="83"/>
        <v>-75.7778724318387</v>
      </c>
      <c r="E934" t="str">
        <f t="shared" si="84"/>
        <v>819-776-3400</v>
      </c>
      <c r="F934" t="str">
        <f t="shared" si="85"/>
        <v>J9A 3G1</v>
      </c>
    </row>
    <row r="935" spans="1:6" x14ac:dyDescent="0.2">
      <c r="A935" t="s">
        <v>47</v>
      </c>
      <c r="B935" t="str">
        <f t="shared" si="81"/>
        <v>Staples</v>
      </c>
      <c r="C935" t="str">
        <f t="shared" si="82"/>
        <v>45.4130966666667</v>
      </c>
      <c r="D935" t="str">
        <f t="shared" si="83"/>
        <v>-75.6944033333333</v>
      </c>
      <c r="E935" t="str">
        <f t="shared" si="84"/>
        <v>613-235-2525</v>
      </c>
      <c r="F935" t="str">
        <f t="shared" si="85"/>
        <v>K2P 1Y6</v>
      </c>
    </row>
    <row r="936" spans="1:6" x14ac:dyDescent="0.2">
      <c r="A936" t="s">
        <v>48</v>
      </c>
      <c r="B936" t="str">
        <f t="shared" si="81"/>
        <v>Bureau en Gros</v>
      </c>
      <c r="C936" t="str">
        <f t="shared" si="82"/>
        <v>45.4360653869305</v>
      </c>
      <c r="D936" t="str">
        <f t="shared" si="83"/>
        <v>-75.7730653768985</v>
      </c>
      <c r="E936" t="str">
        <f t="shared" si="84"/>
        <v>819-770-2332</v>
      </c>
      <c r="F936" t="str">
        <f t="shared" si="85"/>
        <v>J9A 3G1</v>
      </c>
    </row>
    <row r="937" spans="1:6" x14ac:dyDescent="0.2">
      <c r="A937" t="s">
        <v>49</v>
      </c>
      <c r="B937" t="str">
        <f t="shared" si="81"/>
        <v>Henrys</v>
      </c>
      <c r="C937" t="str">
        <f t="shared" si="82"/>
        <v>45.4158166666667</v>
      </c>
      <c r="D937" t="str">
        <f t="shared" si="83"/>
        <v>-75.6967733333333</v>
      </c>
      <c r="E937" t="str">
        <f t="shared" si="84"/>
        <v>613-232-5368</v>
      </c>
      <c r="F937" t="str">
        <f t="shared" si="85"/>
        <v>K2P 1X5</v>
      </c>
    </row>
    <row r="938" spans="1:6" x14ac:dyDescent="0.2">
      <c r="A938" t="s">
        <v>894</v>
      </c>
      <c r="B938" t="str">
        <f t="shared" si="81"/>
        <v>Jean Coutu</v>
      </c>
      <c r="C938" t="str">
        <f t="shared" si="82"/>
        <v>45.32124</v>
      </c>
      <c r="D938" t="str">
        <f t="shared" si="83"/>
        <v>-75.10929</v>
      </c>
      <c r="E938" t="str">
        <f t="shared" si="84"/>
        <v>613-764-5455</v>
      </c>
      <c r="F938" t="str">
        <f t="shared" si="85"/>
        <v>K0A 1M0</v>
      </c>
    </row>
    <row r="939" spans="1:6" x14ac:dyDescent="0.2">
      <c r="A939" t="s">
        <v>895</v>
      </c>
      <c r="B939" t="str">
        <f t="shared" si="81"/>
        <v>Canadian Tire</v>
      </c>
      <c r="C939" t="str">
        <f t="shared" si="82"/>
        <v>45.3048483</v>
      </c>
      <c r="D939" t="str">
        <f t="shared" si="83"/>
        <v>-75.0842176</v>
      </c>
      <c r="E939" t="str">
        <f t="shared" si="84"/>
        <v>613-764-0401</v>
      </c>
      <c r="F939" t="str">
        <f t="shared" si="85"/>
        <v>K0A 1M0</v>
      </c>
    </row>
    <row r="940" spans="1:6" x14ac:dyDescent="0.2">
      <c r="A940" t="s">
        <v>896</v>
      </c>
      <c r="B940" t="str">
        <f t="shared" si="81"/>
        <v>The Source</v>
      </c>
      <c r="C940" t="str">
        <f t="shared" si="82"/>
        <v>45.30585</v>
      </c>
      <c r="D940" t="str">
        <f t="shared" si="83"/>
        <v>-75.08342</v>
      </c>
      <c r="E940" t="str">
        <f t="shared" si="84"/>
        <v>613-764-2023</v>
      </c>
      <c r="F940" t="str">
        <f t="shared" si="85"/>
        <v>K0A 1M0</v>
      </c>
    </row>
    <row r="941" spans="1:6" x14ac:dyDescent="0.2">
      <c r="A941" t="s">
        <v>897</v>
      </c>
      <c r="B941" t="str">
        <f t="shared" si="81"/>
        <v>The Source</v>
      </c>
      <c r="C941" t="str">
        <f t="shared" si="82"/>
        <v>45.26869</v>
      </c>
      <c r="D941" t="str">
        <f t="shared" si="83"/>
        <v>-75.29589</v>
      </c>
      <c r="E941" t="str">
        <f t="shared" si="84"/>
        <v>613-443-5642</v>
      </c>
      <c r="F941" t="str">
        <f t="shared" si="85"/>
        <v>K0A 1W1</v>
      </c>
    </row>
    <row r="942" spans="1:6" x14ac:dyDescent="0.2">
      <c r="A942" t="s">
        <v>898</v>
      </c>
      <c r="B942" t="str">
        <f t="shared" si="81"/>
        <v>Township of Russell</v>
      </c>
      <c r="C942" t="str">
        <f t="shared" si="82"/>
        <v>45.2672597504255</v>
      </c>
      <c r="D942" t="str">
        <f t="shared" si="83"/>
        <v>-75.3059172717022</v>
      </c>
      <c r="E942" t="str">
        <f t="shared" si="84"/>
        <v>613-443-3066</v>
      </c>
      <c r="F942" t="str">
        <f t="shared" si="85"/>
        <v>K0A 1W1</v>
      </c>
    </row>
    <row r="943" spans="1:6" x14ac:dyDescent="0.2">
      <c r="A943" t="s">
        <v>899</v>
      </c>
      <c r="B943" t="str">
        <f t="shared" si="81"/>
        <v>Barrys Home Hardware</v>
      </c>
      <c r="C943" t="str">
        <f t="shared" si="82"/>
        <v>45.25691</v>
      </c>
      <c r="D943" t="str">
        <f t="shared" si="83"/>
        <v>-75.3704</v>
      </c>
      <c r="E943" t="str">
        <f t="shared" si="84"/>
        <v>613-445-2171</v>
      </c>
      <c r="F943" t="str">
        <f t="shared" si="85"/>
        <v>K4R 1A1</v>
      </c>
    </row>
    <row r="944" spans="1:6" x14ac:dyDescent="0.2">
      <c r="A944" t="s">
        <v>900</v>
      </c>
      <c r="B944" t="str">
        <f t="shared" si="81"/>
        <v>The Nation Municipality</v>
      </c>
      <c r="C944" t="str">
        <f t="shared" si="82"/>
        <v>45.4316955</v>
      </c>
      <c r="D944" t="str">
        <f t="shared" si="83"/>
        <v>-74.9317283</v>
      </c>
      <c r="E944" t="str">
        <f t="shared" si="84"/>
        <v>613-223-4855</v>
      </c>
      <c r="F944" t="str">
        <f t="shared" si="85"/>
        <v>K0B 1G0</v>
      </c>
    </row>
    <row r="945" spans="1:6" x14ac:dyDescent="0.2">
      <c r="A945" t="s">
        <v>901</v>
      </c>
      <c r="B945" t="str">
        <f t="shared" si="81"/>
        <v>Canadian Tire</v>
      </c>
      <c r="C945" t="str">
        <f t="shared" si="82"/>
        <v>45.5252195</v>
      </c>
      <c r="D945" t="str">
        <f t="shared" si="83"/>
        <v>-75.3334153</v>
      </c>
      <c r="E945" t="str">
        <f t="shared" si="84"/>
        <v>613-446-4410</v>
      </c>
      <c r="F945" t="str">
        <f t="shared" si="85"/>
        <v>K4C 1R7</v>
      </c>
    </row>
    <row r="946" spans="1:6" x14ac:dyDescent="0.2">
      <c r="A946" t="s">
        <v>903</v>
      </c>
      <c r="B946" t="str">
        <f t="shared" si="81"/>
        <v>The Source</v>
      </c>
      <c r="C946" t="str">
        <f t="shared" si="82"/>
        <v>45.30585</v>
      </c>
      <c r="D946" t="str">
        <f t="shared" si="83"/>
        <v>-75.08342</v>
      </c>
      <c r="E946" t="str">
        <f t="shared" si="84"/>
        <v>613-764-2023</v>
      </c>
      <c r="F946" t="str">
        <f t="shared" si="85"/>
        <v>K0A 1M0</v>
      </c>
    </row>
    <row r="947" spans="1:6" x14ac:dyDescent="0.2">
      <c r="A947" t="s">
        <v>904</v>
      </c>
      <c r="B947" t="str">
        <f t="shared" si="81"/>
        <v>Canadian Tire</v>
      </c>
      <c r="C947" t="str">
        <f t="shared" si="82"/>
        <v>45.3048483</v>
      </c>
      <c r="D947" t="str">
        <f t="shared" si="83"/>
        <v>-75.0842176</v>
      </c>
      <c r="E947" t="str">
        <f t="shared" si="84"/>
        <v>613-764-0401</v>
      </c>
      <c r="F947" t="str">
        <f t="shared" si="85"/>
        <v>K0A 1M0</v>
      </c>
    </row>
    <row r="948" spans="1:6" x14ac:dyDescent="0.2">
      <c r="A948" t="s">
        <v>905</v>
      </c>
      <c r="B948" t="str">
        <f t="shared" si="81"/>
        <v>Jean Coutu</v>
      </c>
      <c r="C948" t="str">
        <f t="shared" si="82"/>
        <v>45.32124</v>
      </c>
      <c r="D948" t="str">
        <f t="shared" si="83"/>
        <v>-75.10929</v>
      </c>
      <c r="E948" t="str">
        <f t="shared" si="84"/>
        <v>613-764-5455</v>
      </c>
      <c r="F948" t="str">
        <f t="shared" si="85"/>
        <v>K0A 1M0</v>
      </c>
    </row>
    <row r="949" spans="1:6" x14ac:dyDescent="0.2">
      <c r="A949" t="s">
        <v>906</v>
      </c>
      <c r="B949" t="str">
        <f t="shared" si="81"/>
        <v>The Nation Municipality</v>
      </c>
      <c r="C949" t="str">
        <f t="shared" si="82"/>
        <v>45.4316955</v>
      </c>
      <c r="D949" t="str">
        <f t="shared" si="83"/>
        <v>-74.9317283</v>
      </c>
      <c r="E949" t="str">
        <f t="shared" si="84"/>
        <v>613-223-4855</v>
      </c>
      <c r="F949" t="str">
        <f t="shared" si="85"/>
        <v>K0B 1G0</v>
      </c>
    </row>
    <row r="950" spans="1:6" x14ac:dyDescent="0.2">
      <c r="A950" t="s">
        <v>908</v>
      </c>
      <c r="B950" t="str">
        <f t="shared" si="81"/>
        <v>G&amp;S Tech-Tronics</v>
      </c>
      <c r="C950" t="str">
        <f t="shared" si="82"/>
        <v>45.30137</v>
      </c>
      <c r="D950" t="str">
        <f t="shared" si="83"/>
        <v>-74.62865</v>
      </c>
      <c r="E950" t="str">
        <f t="shared" si="84"/>
        <v>613-525-3852</v>
      </c>
      <c r="F950" t="str">
        <f t="shared" si="85"/>
        <v>K0C 1A0</v>
      </c>
    </row>
    <row r="951" spans="1:6" x14ac:dyDescent="0.2">
      <c r="A951" t="s">
        <v>909</v>
      </c>
      <c r="B951" t="str">
        <f t="shared" si="81"/>
        <v>The Nation Municipality</v>
      </c>
      <c r="C951" t="str">
        <f t="shared" si="82"/>
        <v>45.4316955</v>
      </c>
      <c r="D951" t="str">
        <f t="shared" si="83"/>
        <v>-74.9317283</v>
      </c>
      <c r="E951" t="str">
        <f t="shared" si="84"/>
        <v>613-223-4855</v>
      </c>
      <c r="F951" t="str">
        <f t="shared" si="85"/>
        <v>K0B 1G0</v>
      </c>
    </row>
    <row r="952" spans="1:6" x14ac:dyDescent="0.2">
      <c r="A952" t="s">
        <v>911</v>
      </c>
      <c r="B952" t="str">
        <f t="shared" si="81"/>
        <v>Home Depot</v>
      </c>
      <c r="C952" t="str">
        <f t="shared" si="82"/>
        <v>45.0379267646816</v>
      </c>
      <c r="D952" t="str">
        <f t="shared" si="83"/>
        <v>-74.7607134190964</v>
      </c>
      <c r="E952" t="str">
        <f t="shared" si="84"/>
        <v>613-930-4470</v>
      </c>
      <c r="F952" t="str">
        <f t="shared" si="85"/>
        <v>K6J 5X7</v>
      </c>
    </row>
    <row r="953" spans="1:6" x14ac:dyDescent="0.2">
      <c r="A953" t="s">
        <v>912</v>
      </c>
      <c r="B953" t="str">
        <f t="shared" si="81"/>
        <v>City of Cornwall Depot</v>
      </c>
      <c r="C953" t="str">
        <f t="shared" si="82"/>
        <v>45.0381247435396</v>
      </c>
      <c r="D953" t="str">
        <f t="shared" si="83"/>
        <v>-74.8168842447786</v>
      </c>
      <c r="E953" t="str">
        <f t="shared" si="84"/>
        <v>613-930-2787</v>
      </c>
      <c r="F953" t="str">
        <f t="shared" si="85"/>
        <v>K0C 1P0</v>
      </c>
    </row>
    <row r="954" spans="1:6" x14ac:dyDescent="0.2">
      <c r="A954" t="s">
        <v>913</v>
      </c>
      <c r="B954" t="str">
        <f t="shared" si="81"/>
        <v>RONA</v>
      </c>
      <c r="C954" t="str">
        <f t="shared" si="82"/>
        <v>45.03381</v>
      </c>
      <c r="D954" t="str">
        <f t="shared" si="83"/>
        <v>-74.71658</v>
      </c>
      <c r="E954" t="str">
        <f t="shared" si="84"/>
        <v>613-938-3300</v>
      </c>
      <c r="F954" t="str">
        <f t="shared" si="85"/>
        <v>K6H 2W8</v>
      </c>
    </row>
    <row r="955" spans="1:6" x14ac:dyDescent="0.2">
      <c r="A955" t="s">
        <v>914</v>
      </c>
      <c r="B955" t="str">
        <f t="shared" si="81"/>
        <v>Staples</v>
      </c>
      <c r="C955" t="str">
        <f t="shared" si="82"/>
        <v>45.0287936</v>
      </c>
      <c r="D955" t="str">
        <f t="shared" si="83"/>
        <v>-74.7346015</v>
      </c>
      <c r="E955" t="str">
        <f t="shared" si="84"/>
        <v>613-936-6952</v>
      </c>
      <c r="F955" t="str">
        <f t="shared" si="85"/>
        <v>K6H 6R3</v>
      </c>
    </row>
    <row r="956" spans="1:6" x14ac:dyDescent="0.2">
      <c r="A956" t="s">
        <v>915</v>
      </c>
      <c r="B956" t="str">
        <f t="shared" si="81"/>
        <v>ListenUp! Canada</v>
      </c>
      <c r="C956" t="str">
        <f t="shared" si="82"/>
        <v>45.0199628571429</v>
      </c>
      <c r="D956" t="str">
        <f t="shared" si="83"/>
        <v>-74.7296728571429</v>
      </c>
      <c r="E956" t="str">
        <f t="shared" si="84"/>
        <v>613-937-0519</v>
      </c>
      <c r="F956" t="str">
        <f t="shared" si="85"/>
        <v>K6J 3R1</v>
      </c>
    </row>
    <row r="957" spans="1:6" x14ac:dyDescent="0.2">
      <c r="A957" t="s">
        <v>916</v>
      </c>
      <c r="B957" t="str">
        <f t="shared" si="81"/>
        <v>G&amp;S Tech-Tronics</v>
      </c>
      <c r="C957" t="str">
        <f t="shared" si="82"/>
        <v>45.30137</v>
      </c>
      <c r="D957" t="str">
        <f t="shared" si="83"/>
        <v>-74.62865</v>
      </c>
      <c r="E957" t="str">
        <f t="shared" si="84"/>
        <v>613-525-3852</v>
      </c>
      <c r="F957" t="str">
        <f t="shared" si="85"/>
        <v>K0C 1A0</v>
      </c>
    </row>
    <row r="958" spans="1:6" x14ac:dyDescent="0.2">
      <c r="A958" t="s">
        <v>918</v>
      </c>
      <c r="B958" t="str">
        <f t="shared" si="81"/>
        <v>City of Cornwall Depot</v>
      </c>
      <c r="C958" t="str">
        <f t="shared" si="82"/>
        <v>45.0381247435396</v>
      </c>
      <c r="D958" t="str">
        <f t="shared" si="83"/>
        <v>-74.8168842447786</v>
      </c>
      <c r="E958" t="str">
        <f t="shared" si="84"/>
        <v>613-930-2787</v>
      </c>
      <c r="F958" t="str">
        <f t="shared" si="85"/>
        <v>K0C 1P0</v>
      </c>
    </row>
    <row r="959" spans="1:6" x14ac:dyDescent="0.2">
      <c r="A959" t="s">
        <v>919</v>
      </c>
      <c r="B959" t="str">
        <f t="shared" si="81"/>
        <v>W.L.SMITH HARDWARE</v>
      </c>
      <c r="C959" t="str">
        <f t="shared" si="82"/>
        <v>44.9298593573576</v>
      </c>
      <c r="D959" t="str">
        <f t="shared" si="83"/>
        <v>-74.8905959717505</v>
      </c>
      <c r="E959" t="str">
        <f t="shared" si="84"/>
        <v>315-769-2408</v>
      </c>
      <c r="F959" t="str">
        <f t="shared" si="85"/>
        <v>13662</v>
      </c>
    </row>
    <row r="960" spans="1:6" x14ac:dyDescent="0.2">
      <c r="A960" t="s">
        <v>920</v>
      </c>
      <c r="B960" t="str">
        <f t="shared" si="81"/>
        <v>Home Depot</v>
      </c>
      <c r="C960" t="str">
        <f t="shared" si="82"/>
        <v>45.0379267646816</v>
      </c>
      <c r="D960" t="str">
        <f t="shared" si="83"/>
        <v>-74.7607134190964</v>
      </c>
      <c r="E960" t="str">
        <f t="shared" si="84"/>
        <v>613-930-4470</v>
      </c>
      <c r="F960" t="str">
        <f t="shared" si="85"/>
        <v>K6J 5X7</v>
      </c>
    </row>
    <row r="961" spans="1:6" x14ac:dyDescent="0.2">
      <c r="A961" t="s">
        <v>921</v>
      </c>
      <c r="B961" t="str">
        <f t="shared" ref="B961:B969" si="86">MID(A961,SEARCH("name"&amp;CHAR(34)&amp;":"&amp;CHAR(34),A961)+7,SEARCH(CHAR(34)&amp;", "&amp;CHAR(34)&amp;"locationlinkurl",A961)-SEARCH("name"&amp;CHAR(34)&amp;":"&amp;CHAR(34),A961)-7)</f>
        <v>The Home Depot</v>
      </c>
      <c r="C961" t="str">
        <f t="shared" ref="C961:C969" si="87">MID(A961,SEARCH(CHAR(34)&amp;"latitude"&amp;CHAR(34)&amp;":"&amp;CHAR(34),A961)+12,SEARCH(CHAR(34)&amp;", "&amp;CHAR(34)&amp;"url"&amp;CHAR(34),A961)-SEARCH(CHAR(34)&amp;"latitude"&amp;CHAR(34)&amp;":"&amp;CHAR(34),A961)-12)</f>
        <v>44.9258016326531</v>
      </c>
      <c r="D961" t="str">
        <f t="shared" ref="D961:D969" si="88">MID(A961,SEARCH(CHAR(34)&amp;"longitude"&amp;CHAR(34)&amp;":"&amp;CHAR(34),A961)+13,SEARCH(CHAR(34)&amp;", "&amp;CHAR(34)&amp;"uid"&amp;CHAR(34),A961)-SEARCH(CHAR(34)&amp;"longitude"&amp;CHAR(34)&amp;":"&amp;CHAR(34),A961)-13)</f>
        <v>-74.8749063265306</v>
      </c>
      <c r="E961" t="str">
        <f t="shared" ref="E961:E969" si="89">MID(A961,SEARCH(CHAR(34)&amp;"phone"&amp;CHAR(34)&amp;":"&amp;CHAR(34),A961)+9,SEARCH(CHAR(34)&amp;", "&amp;CHAR(34)&amp;"address2"&amp;CHAR(34),A961)-SEARCH(CHAR(34)&amp;"phone"&amp;CHAR(34)&amp;":"&amp;CHAR(34),A961)-9)</f>
        <v>315-764-9930</v>
      </c>
      <c r="F961" t="str">
        <f t="shared" ref="F961:F969" si="90">MID(A961,SEARCH(CHAR(34)&amp;"postalcode"&amp;CHAR(34)&amp;":"&amp;CHAR(34),A961)+14,SEARCH(CHAR(34)&amp;", "&amp;CHAR(34)&amp;"province"&amp;CHAR(34),A961)-SEARCH(CHAR(34)&amp;"postalcode"&amp;CHAR(34)&amp;":"&amp;CHAR(34),A961)-14)</f>
        <v>13662</v>
      </c>
    </row>
    <row r="962" spans="1:6" x14ac:dyDescent="0.2">
      <c r="A962" t="s">
        <v>922</v>
      </c>
      <c r="B962" t="str">
        <f t="shared" si="86"/>
        <v>Staples</v>
      </c>
      <c r="C962" t="str">
        <f t="shared" si="87"/>
        <v>45.0287936</v>
      </c>
      <c r="D962" t="str">
        <f t="shared" si="88"/>
        <v>-74.7346015</v>
      </c>
      <c r="E962" t="str">
        <f t="shared" si="89"/>
        <v>613-936-6952</v>
      </c>
      <c r="F962" t="str">
        <f t="shared" si="90"/>
        <v>K6H 6R3</v>
      </c>
    </row>
    <row r="963" spans="1:6" x14ac:dyDescent="0.2">
      <c r="A963" t="s">
        <v>923</v>
      </c>
      <c r="B963" t="str">
        <f t="shared" si="86"/>
        <v>ListenUp! Canada</v>
      </c>
      <c r="C963" t="str">
        <f t="shared" si="87"/>
        <v>45.0199628571429</v>
      </c>
      <c r="D963" t="str">
        <f t="shared" si="88"/>
        <v>-74.7296728571429</v>
      </c>
      <c r="E963" t="str">
        <f t="shared" si="89"/>
        <v>613-937-0519</v>
      </c>
      <c r="F963" t="str">
        <f t="shared" si="90"/>
        <v>K6J 3R1</v>
      </c>
    </row>
    <row r="964" spans="1:6" x14ac:dyDescent="0.2">
      <c r="A964" t="s">
        <v>924</v>
      </c>
      <c r="B964" t="str">
        <f t="shared" si="86"/>
        <v>Massena Transfer Station</v>
      </c>
      <c r="C964" t="str">
        <f t="shared" si="87"/>
        <v>44.896373301664</v>
      </c>
      <c r="D964" t="str">
        <f t="shared" si="88"/>
        <v>-74.879431337665</v>
      </c>
      <c r="E964" t="str">
        <f t="shared" si="89"/>
        <v>315-764-7312</v>
      </c>
      <c r="F964" t="str">
        <f t="shared" si="90"/>
        <v>13662</v>
      </c>
    </row>
    <row r="965" spans="1:6" x14ac:dyDescent="0.2">
      <c r="A965" t="s">
        <v>925</v>
      </c>
      <c r="B965" t="str">
        <f t="shared" si="86"/>
        <v>RONA</v>
      </c>
      <c r="C965" t="str">
        <f t="shared" si="87"/>
        <v>45.03381</v>
      </c>
      <c r="D965" t="str">
        <f t="shared" si="88"/>
        <v>-74.71658</v>
      </c>
      <c r="E965" t="str">
        <f t="shared" si="89"/>
        <v>613-938-3300</v>
      </c>
      <c r="F965" t="str">
        <f t="shared" si="90"/>
        <v>K6H 2W8</v>
      </c>
    </row>
    <row r="966" spans="1:6" x14ac:dyDescent="0.2">
      <c r="A966" t="s">
        <v>927</v>
      </c>
      <c r="B966" t="str">
        <f t="shared" si="86"/>
        <v>Township of North Dundas</v>
      </c>
      <c r="C966" t="str">
        <f t="shared" si="87"/>
        <v>45.1045758467051</v>
      </c>
      <c r="D966" t="str">
        <f t="shared" si="88"/>
        <v>-75.3214423553231</v>
      </c>
      <c r="E966" t="str">
        <f t="shared" si="89"/>
        <v>613-774-5157</v>
      </c>
      <c r="F966" t="str">
        <f t="shared" si="90"/>
        <v>K0C 2K0</v>
      </c>
    </row>
    <row r="967" spans="1:6" x14ac:dyDescent="0.2">
      <c r="A967" t="s">
        <v>928</v>
      </c>
      <c r="B967" t="str">
        <f t="shared" si="86"/>
        <v>Barrys Home Hardware</v>
      </c>
      <c r="C967" t="str">
        <f t="shared" si="87"/>
        <v>45.25691</v>
      </c>
      <c r="D967" t="str">
        <f t="shared" si="88"/>
        <v>-75.3704</v>
      </c>
      <c r="E967" t="str">
        <f t="shared" si="89"/>
        <v>613-445-2171</v>
      </c>
      <c r="F967" t="str">
        <f t="shared" si="90"/>
        <v>K4R 1A1</v>
      </c>
    </row>
    <row r="968" spans="1:6" x14ac:dyDescent="0.2">
      <c r="A968" t="s">
        <v>929</v>
      </c>
      <c r="B968" t="str">
        <f t="shared" si="86"/>
        <v>Township of Russell</v>
      </c>
      <c r="C968" t="str">
        <f t="shared" si="87"/>
        <v>45.2672597504255</v>
      </c>
      <c r="D968" t="str">
        <f t="shared" si="88"/>
        <v>-75.3059172717022</v>
      </c>
      <c r="E968" t="str">
        <f t="shared" si="89"/>
        <v>613-443-3066</v>
      </c>
      <c r="F968" t="str">
        <f t="shared" si="90"/>
        <v>K0A 1W1</v>
      </c>
    </row>
    <row r="969" spans="1:6" x14ac:dyDescent="0.2">
      <c r="A969" t="s">
        <v>930</v>
      </c>
      <c r="B969" t="str">
        <f t="shared" si="86"/>
        <v>The Source</v>
      </c>
      <c r="C969" t="str">
        <f t="shared" si="87"/>
        <v>45.26869</v>
      </c>
      <c r="D969" t="str">
        <f t="shared" si="88"/>
        <v>-75.29589</v>
      </c>
      <c r="E969" t="str">
        <f t="shared" si="89"/>
        <v>613-443-5642</v>
      </c>
      <c r="F969" t="str">
        <f t="shared" si="90"/>
        <v>K0A 1W1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1235"/>
  <sheetViews>
    <sheetView workbookViewId="0">
      <selection sqref="A1:A1234"/>
    </sheetView>
  </sheetViews>
  <sheetFormatPr baseColWidth="10" defaultRowHeight="16" x14ac:dyDescent="0.2"/>
  <sheetData>
    <row r="1" spans="1:1" x14ac:dyDescent="0.2">
      <c r="A1" t="s">
        <v>55</v>
      </c>
    </row>
    <row r="2" spans="1:1" x14ac:dyDescent="0.2">
      <c r="A2" t="s">
        <v>56</v>
      </c>
    </row>
    <row r="3" spans="1:1" x14ac:dyDescent="0.2">
      <c r="A3" t="s">
        <v>57</v>
      </c>
    </row>
    <row r="4" spans="1:1" x14ac:dyDescent="0.2">
      <c r="A4" t="s">
        <v>58</v>
      </c>
    </row>
    <row r="5" spans="1:1" x14ac:dyDescent="0.2">
      <c r="A5" t="s">
        <v>59</v>
      </c>
    </row>
    <row r="6" spans="1:1" x14ac:dyDescent="0.2">
      <c r="A6" t="s">
        <v>60</v>
      </c>
    </row>
    <row r="7" spans="1:1" x14ac:dyDescent="0.2">
      <c r="A7" t="s">
        <v>61</v>
      </c>
    </row>
    <row r="8" spans="1:1" x14ac:dyDescent="0.2">
      <c r="A8" t="s">
        <v>62</v>
      </c>
    </row>
    <row r="9" spans="1:1" x14ac:dyDescent="0.2">
      <c r="A9" t="s">
        <v>63</v>
      </c>
    </row>
    <row r="10" spans="1:1" x14ac:dyDescent="0.2">
      <c r="A10" t="s">
        <v>64</v>
      </c>
    </row>
    <row r="11" spans="1:1" x14ac:dyDescent="0.2">
      <c r="A11" t="s">
        <v>65</v>
      </c>
    </row>
    <row r="12" spans="1:1" x14ac:dyDescent="0.2">
      <c r="A12" t="s">
        <v>66</v>
      </c>
    </row>
    <row r="13" spans="1:1" x14ac:dyDescent="0.2">
      <c r="A13" t="s">
        <v>67</v>
      </c>
    </row>
    <row r="14" spans="1:1" x14ac:dyDescent="0.2">
      <c r="A14" t="s">
        <v>68</v>
      </c>
    </row>
    <row r="15" spans="1:1" x14ac:dyDescent="0.2">
      <c r="A15" t="s">
        <v>69</v>
      </c>
    </row>
    <row r="16" spans="1:1" x14ac:dyDescent="0.2">
      <c r="A16" t="s">
        <v>70</v>
      </c>
    </row>
    <row r="17" spans="1:1" x14ac:dyDescent="0.2">
      <c r="A17" t="s">
        <v>71</v>
      </c>
    </row>
    <row r="18" spans="1:1" hidden="1" x14ac:dyDescent="0.2">
      <c r="A18" t="s">
        <v>50</v>
      </c>
    </row>
    <row r="19" spans="1:1" hidden="1" x14ac:dyDescent="0.2"/>
    <row r="20" spans="1:1" hidden="1" x14ac:dyDescent="0.2">
      <c r="A20" t="s">
        <v>51</v>
      </c>
    </row>
    <row r="21" spans="1:1" hidden="1" x14ac:dyDescent="0.2">
      <c r="A21" t="s">
        <v>72</v>
      </c>
    </row>
    <row r="22" spans="1:1" hidden="1" x14ac:dyDescent="0.2">
      <c r="A22" t="s">
        <v>53</v>
      </c>
    </row>
    <row r="23" spans="1:1" hidden="1" x14ac:dyDescent="0.2">
      <c r="A23" t="s">
        <v>54</v>
      </c>
    </row>
    <row r="24" spans="1:1" x14ac:dyDescent="0.2">
      <c r="A24" t="s">
        <v>73</v>
      </c>
    </row>
    <row r="25" spans="1:1" x14ac:dyDescent="0.2">
      <c r="A25" t="s">
        <v>74</v>
      </c>
    </row>
    <row r="26" spans="1:1" x14ac:dyDescent="0.2">
      <c r="A26" t="s">
        <v>75</v>
      </c>
    </row>
    <row r="27" spans="1:1" x14ac:dyDescent="0.2">
      <c r="A27" t="s">
        <v>76</v>
      </c>
    </row>
    <row r="28" spans="1:1" x14ac:dyDescent="0.2">
      <c r="A28" t="s">
        <v>77</v>
      </c>
    </row>
    <row r="29" spans="1:1" hidden="1" x14ac:dyDescent="0.2">
      <c r="A29" t="s">
        <v>50</v>
      </c>
    </row>
    <row r="30" spans="1:1" hidden="1" x14ac:dyDescent="0.2"/>
    <row r="31" spans="1:1" hidden="1" x14ac:dyDescent="0.2">
      <c r="A31" t="s">
        <v>51</v>
      </c>
    </row>
    <row r="32" spans="1:1" hidden="1" x14ac:dyDescent="0.2">
      <c r="A32" t="s">
        <v>72</v>
      </c>
    </row>
    <row r="33" spans="1:1" hidden="1" x14ac:dyDescent="0.2">
      <c r="A33" t="s">
        <v>53</v>
      </c>
    </row>
    <row r="34" spans="1:1" hidden="1" x14ac:dyDescent="0.2">
      <c r="A34" t="s">
        <v>54</v>
      </c>
    </row>
    <row r="35" spans="1:1" x14ac:dyDescent="0.2">
      <c r="A35" t="s">
        <v>73</v>
      </c>
    </row>
    <row r="36" spans="1:1" x14ac:dyDescent="0.2">
      <c r="A36" t="s">
        <v>74</v>
      </c>
    </row>
    <row r="37" spans="1:1" x14ac:dyDescent="0.2">
      <c r="A37" t="s">
        <v>75</v>
      </c>
    </row>
    <row r="38" spans="1:1" x14ac:dyDescent="0.2">
      <c r="A38" t="s">
        <v>76</v>
      </c>
    </row>
    <row r="39" spans="1:1" x14ac:dyDescent="0.2">
      <c r="A39" t="s">
        <v>77</v>
      </c>
    </row>
    <row r="40" spans="1:1" hidden="1" x14ac:dyDescent="0.2">
      <c r="A40" t="s">
        <v>50</v>
      </c>
    </row>
    <row r="41" spans="1:1" hidden="1" x14ac:dyDescent="0.2"/>
    <row r="42" spans="1:1" hidden="1" x14ac:dyDescent="0.2">
      <c r="A42" t="s">
        <v>51</v>
      </c>
    </row>
    <row r="43" spans="1:1" hidden="1" x14ac:dyDescent="0.2">
      <c r="A43" t="s">
        <v>78</v>
      </c>
    </row>
    <row r="44" spans="1:1" hidden="1" x14ac:dyDescent="0.2">
      <c r="A44" t="s">
        <v>53</v>
      </c>
    </row>
    <row r="45" spans="1:1" hidden="1" x14ac:dyDescent="0.2">
      <c r="A45" t="s">
        <v>54</v>
      </c>
    </row>
    <row r="46" spans="1:1" x14ac:dyDescent="0.2">
      <c r="A46" t="s">
        <v>79</v>
      </c>
    </row>
    <row r="47" spans="1:1" x14ac:dyDescent="0.2">
      <c r="A47" t="s">
        <v>80</v>
      </c>
    </row>
    <row r="48" spans="1:1" x14ac:dyDescent="0.2">
      <c r="A48" t="s">
        <v>81</v>
      </c>
    </row>
    <row r="49" spans="1:1" x14ac:dyDescent="0.2">
      <c r="A49" t="s">
        <v>82</v>
      </c>
    </row>
    <row r="50" spans="1:1" x14ac:dyDescent="0.2">
      <c r="A50" t="s">
        <v>83</v>
      </c>
    </row>
    <row r="51" spans="1:1" x14ac:dyDescent="0.2">
      <c r="A51" t="s">
        <v>84</v>
      </c>
    </row>
    <row r="52" spans="1:1" hidden="1" x14ac:dyDescent="0.2">
      <c r="A52" t="s">
        <v>50</v>
      </c>
    </row>
    <row r="53" spans="1:1" hidden="1" x14ac:dyDescent="0.2"/>
    <row r="54" spans="1:1" hidden="1" x14ac:dyDescent="0.2">
      <c r="A54" t="s">
        <v>51</v>
      </c>
    </row>
    <row r="55" spans="1:1" hidden="1" x14ac:dyDescent="0.2">
      <c r="A55" t="s">
        <v>85</v>
      </c>
    </row>
    <row r="56" spans="1:1" hidden="1" x14ac:dyDescent="0.2">
      <c r="A56" t="s">
        <v>53</v>
      </c>
    </row>
    <row r="57" spans="1:1" hidden="1" x14ac:dyDescent="0.2">
      <c r="A57" t="s">
        <v>54</v>
      </c>
    </row>
    <row r="58" spans="1:1" x14ac:dyDescent="0.2">
      <c r="A58" t="s">
        <v>86</v>
      </c>
    </row>
    <row r="59" spans="1:1" x14ac:dyDescent="0.2">
      <c r="A59" t="s">
        <v>87</v>
      </c>
    </row>
    <row r="60" spans="1:1" x14ac:dyDescent="0.2">
      <c r="A60" t="s">
        <v>88</v>
      </c>
    </row>
    <row r="61" spans="1:1" x14ac:dyDescent="0.2">
      <c r="A61" t="s">
        <v>89</v>
      </c>
    </row>
    <row r="62" spans="1:1" x14ac:dyDescent="0.2">
      <c r="A62" t="s">
        <v>90</v>
      </c>
    </row>
    <row r="63" spans="1:1" x14ac:dyDescent="0.2">
      <c r="A63" t="s">
        <v>91</v>
      </c>
    </row>
    <row r="64" spans="1:1" x14ac:dyDescent="0.2">
      <c r="A64" t="s">
        <v>92</v>
      </c>
    </row>
    <row r="65" spans="1:1" x14ac:dyDescent="0.2">
      <c r="A65" t="s">
        <v>93</v>
      </c>
    </row>
    <row r="66" spans="1:1" x14ac:dyDescent="0.2">
      <c r="A66" t="s">
        <v>94</v>
      </c>
    </row>
    <row r="67" spans="1:1" x14ac:dyDescent="0.2">
      <c r="A67" t="s">
        <v>95</v>
      </c>
    </row>
    <row r="68" spans="1:1" x14ac:dyDescent="0.2">
      <c r="A68" t="s">
        <v>96</v>
      </c>
    </row>
    <row r="69" spans="1:1" x14ac:dyDescent="0.2">
      <c r="A69" t="s">
        <v>97</v>
      </c>
    </row>
    <row r="70" spans="1:1" x14ac:dyDescent="0.2">
      <c r="A70" t="s">
        <v>98</v>
      </c>
    </row>
    <row r="71" spans="1:1" x14ac:dyDescent="0.2">
      <c r="A71" t="s">
        <v>99</v>
      </c>
    </row>
    <row r="72" spans="1:1" x14ac:dyDescent="0.2">
      <c r="A72" t="s">
        <v>100</v>
      </c>
    </row>
    <row r="73" spans="1:1" hidden="1" x14ac:dyDescent="0.2">
      <c r="A73" t="s">
        <v>50</v>
      </c>
    </row>
    <row r="74" spans="1:1" hidden="1" x14ac:dyDescent="0.2"/>
    <row r="75" spans="1:1" hidden="1" x14ac:dyDescent="0.2">
      <c r="A75" t="s">
        <v>51</v>
      </c>
    </row>
    <row r="76" spans="1:1" hidden="1" x14ac:dyDescent="0.2">
      <c r="A76" t="s">
        <v>101</v>
      </c>
    </row>
    <row r="77" spans="1:1" hidden="1" x14ac:dyDescent="0.2">
      <c r="A77" t="s">
        <v>53</v>
      </c>
    </row>
    <row r="78" spans="1:1" hidden="1" x14ac:dyDescent="0.2">
      <c r="A78" t="s">
        <v>54</v>
      </c>
    </row>
    <row r="79" spans="1:1" x14ac:dyDescent="0.2">
      <c r="A79" t="s">
        <v>102</v>
      </c>
    </row>
    <row r="80" spans="1:1" x14ac:dyDescent="0.2">
      <c r="A80" t="s">
        <v>103</v>
      </c>
    </row>
    <row r="81" spans="1:1" x14ac:dyDescent="0.2">
      <c r="A81" t="s">
        <v>104</v>
      </c>
    </row>
    <row r="82" spans="1:1" x14ac:dyDescent="0.2">
      <c r="A82" t="s">
        <v>105</v>
      </c>
    </row>
    <row r="83" spans="1:1" x14ac:dyDescent="0.2">
      <c r="A83" t="s">
        <v>106</v>
      </c>
    </row>
    <row r="84" spans="1:1" x14ac:dyDescent="0.2">
      <c r="A84" t="s">
        <v>107</v>
      </c>
    </row>
    <row r="85" spans="1:1" x14ac:dyDescent="0.2">
      <c r="A85" t="s">
        <v>108</v>
      </c>
    </row>
    <row r="86" spans="1:1" hidden="1" x14ac:dyDescent="0.2">
      <c r="A86" t="s">
        <v>50</v>
      </c>
    </row>
    <row r="87" spans="1:1" hidden="1" x14ac:dyDescent="0.2"/>
    <row r="88" spans="1:1" hidden="1" x14ac:dyDescent="0.2">
      <c r="A88" t="s">
        <v>51</v>
      </c>
    </row>
    <row r="89" spans="1:1" hidden="1" x14ac:dyDescent="0.2">
      <c r="A89" t="s">
        <v>109</v>
      </c>
    </row>
    <row r="90" spans="1:1" hidden="1" x14ac:dyDescent="0.2">
      <c r="A90" t="s">
        <v>53</v>
      </c>
    </row>
    <row r="91" spans="1:1" hidden="1" x14ac:dyDescent="0.2">
      <c r="A91" t="s">
        <v>54</v>
      </c>
    </row>
    <row r="92" spans="1:1" x14ac:dyDescent="0.2">
      <c r="A92" t="s">
        <v>110</v>
      </c>
    </row>
    <row r="93" spans="1:1" x14ac:dyDescent="0.2">
      <c r="A93" t="s">
        <v>111</v>
      </c>
    </row>
    <row r="94" spans="1:1" x14ac:dyDescent="0.2">
      <c r="A94" t="s">
        <v>112</v>
      </c>
    </row>
    <row r="95" spans="1:1" x14ac:dyDescent="0.2">
      <c r="A95" t="s">
        <v>113</v>
      </c>
    </row>
    <row r="96" spans="1:1" hidden="1" x14ac:dyDescent="0.2">
      <c r="A96" t="s">
        <v>50</v>
      </c>
    </row>
    <row r="97" spans="1:1" hidden="1" x14ac:dyDescent="0.2"/>
    <row r="98" spans="1:1" hidden="1" x14ac:dyDescent="0.2">
      <c r="A98" t="s">
        <v>51</v>
      </c>
    </row>
    <row r="99" spans="1:1" hidden="1" x14ac:dyDescent="0.2">
      <c r="A99" t="s">
        <v>78</v>
      </c>
    </row>
    <row r="100" spans="1:1" hidden="1" x14ac:dyDescent="0.2">
      <c r="A100" t="s">
        <v>53</v>
      </c>
    </row>
    <row r="101" spans="1:1" hidden="1" x14ac:dyDescent="0.2">
      <c r="A101" t="s">
        <v>54</v>
      </c>
    </row>
    <row r="102" spans="1:1" x14ac:dyDescent="0.2">
      <c r="A102" t="s">
        <v>114</v>
      </c>
    </row>
    <row r="103" spans="1:1" x14ac:dyDescent="0.2">
      <c r="A103" t="s">
        <v>115</v>
      </c>
    </row>
    <row r="104" spans="1:1" x14ac:dyDescent="0.2">
      <c r="A104" t="s">
        <v>116</v>
      </c>
    </row>
    <row r="105" spans="1:1" x14ac:dyDescent="0.2">
      <c r="A105" t="s">
        <v>117</v>
      </c>
    </row>
    <row r="106" spans="1:1" x14ac:dyDescent="0.2">
      <c r="A106" t="s">
        <v>118</v>
      </c>
    </row>
    <row r="107" spans="1:1" x14ac:dyDescent="0.2">
      <c r="A107" t="s">
        <v>119</v>
      </c>
    </row>
    <row r="108" spans="1:1" hidden="1" x14ac:dyDescent="0.2">
      <c r="A108" t="s">
        <v>50</v>
      </c>
    </row>
    <row r="109" spans="1:1" hidden="1" x14ac:dyDescent="0.2"/>
    <row r="110" spans="1:1" hidden="1" x14ac:dyDescent="0.2">
      <c r="A110" t="s">
        <v>51</v>
      </c>
    </row>
    <row r="111" spans="1:1" hidden="1" x14ac:dyDescent="0.2">
      <c r="A111" t="s">
        <v>120</v>
      </c>
    </row>
    <row r="112" spans="1:1" hidden="1" x14ac:dyDescent="0.2">
      <c r="A112" t="s">
        <v>53</v>
      </c>
    </row>
    <row r="113" spans="1:1" hidden="1" x14ac:dyDescent="0.2">
      <c r="A113" t="s">
        <v>54</v>
      </c>
    </row>
    <row r="114" spans="1:1" x14ac:dyDescent="0.2">
      <c r="A114" t="s">
        <v>121</v>
      </c>
    </row>
    <row r="115" spans="1:1" x14ac:dyDescent="0.2">
      <c r="A115" t="s">
        <v>122</v>
      </c>
    </row>
    <row r="116" spans="1:1" x14ac:dyDescent="0.2">
      <c r="A116" t="s">
        <v>123</v>
      </c>
    </row>
    <row r="117" spans="1:1" x14ac:dyDescent="0.2">
      <c r="A117" t="s">
        <v>124</v>
      </c>
    </row>
    <row r="118" spans="1:1" x14ac:dyDescent="0.2">
      <c r="A118" t="s">
        <v>125</v>
      </c>
    </row>
    <row r="119" spans="1:1" x14ac:dyDescent="0.2">
      <c r="A119" t="s">
        <v>126</v>
      </c>
    </row>
    <row r="120" spans="1:1" x14ac:dyDescent="0.2">
      <c r="A120" t="s">
        <v>127</v>
      </c>
    </row>
    <row r="121" spans="1:1" x14ac:dyDescent="0.2">
      <c r="A121" t="s">
        <v>128</v>
      </c>
    </row>
    <row r="122" spans="1:1" x14ac:dyDescent="0.2">
      <c r="A122" t="s">
        <v>129</v>
      </c>
    </row>
    <row r="123" spans="1:1" x14ac:dyDescent="0.2">
      <c r="A123" t="s">
        <v>130</v>
      </c>
    </row>
    <row r="124" spans="1:1" x14ac:dyDescent="0.2">
      <c r="A124" t="s">
        <v>131</v>
      </c>
    </row>
    <row r="125" spans="1:1" x14ac:dyDescent="0.2">
      <c r="A125" t="s">
        <v>132</v>
      </c>
    </row>
    <row r="126" spans="1:1" x14ac:dyDescent="0.2">
      <c r="A126" t="s">
        <v>133</v>
      </c>
    </row>
    <row r="127" spans="1:1" x14ac:dyDescent="0.2">
      <c r="A127" t="s">
        <v>134</v>
      </c>
    </row>
    <row r="128" spans="1:1" x14ac:dyDescent="0.2">
      <c r="A128" t="s">
        <v>135</v>
      </c>
    </row>
    <row r="129" spans="1:1" x14ac:dyDescent="0.2">
      <c r="A129" t="s">
        <v>136</v>
      </c>
    </row>
    <row r="130" spans="1:1" x14ac:dyDescent="0.2">
      <c r="A130" t="s">
        <v>137</v>
      </c>
    </row>
    <row r="131" spans="1:1" x14ac:dyDescent="0.2">
      <c r="A131" t="s">
        <v>138</v>
      </c>
    </row>
    <row r="132" spans="1:1" x14ac:dyDescent="0.2">
      <c r="A132" t="s">
        <v>139</v>
      </c>
    </row>
    <row r="133" spans="1:1" x14ac:dyDescent="0.2">
      <c r="A133" t="s">
        <v>140</v>
      </c>
    </row>
    <row r="134" spans="1:1" x14ac:dyDescent="0.2">
      <c r="A134" t="s">
        <v>141</v>
      </c>
    </row>
    <row r="135" spans="1:1" x14ac:dyDescent="0.2">
      <c r="A135" t="s">
        <v>142</v>
      </c>
    </row>
    <row r="136" spans="1:1" x14ac:dyDescent="0.2">
      <c r="A136" t="s">
        <v>143</v>
      </c>
    </row>
    <row r="137" spans="1:1" x14ac:dyDescent="0.2">
      <c r="A137" t="s">
        <v>144</v>
      </c>
    </row>
    <row r="138" spans="1:1" x14ac:dyDescent="0.2">
      <c r="A138" t="s">
        <v>145</v>
      </c>
    </row>
    <row r="139" spans="1:1" x14ac:dyDescent="0.2">
      <c r="A139" t="s">
        <v>146</v>
      </c>
    </row>
    <row r="140" spans="1:1" x14ac:dyDescent="0.2">
      <c r="A140" t="s">
        <v>147</v>
      </c>
    </row>
    <row r="141" spans="1:1" x14ac:dyDescent="0.2">
      <c r="A141" t="s">
        <v>148</v>
      </c>
    </row>
    <row r="142" spans="1:1" x14ac:dyDescent="0.2">
      <c r="A142" t="s">
        <v>149</v>
      </c>
    </row>
    <row r="143" spans="1:1" hidden="1" x14ac:dyDescent="0.2">
      <c r="A143" t="s">
        <v>50</v>
      </c>
    </row>
    <row r="144" spans="1:1" hidden="1" x14ac:dyDescent="0.2"/>
    <row r="145" spans="1:1" hidden="1" x14ac:dyDescent="0.2">
      <c r="A145" t="s">
        <v>51</v>
      </c>
    </row>
    <row r="146" spans="1:1" hidden="1" x14ac:dyDescent="0.2">
      <c r="A146" t="s">
        <v>150</v>
      </c>
    </row>
    <row r="147" spans="1:1" hidden="1" x14ac:dyDescent="0.2">
      <c r="A147" t="s">
        <v>53</v>
      </c>
    </row>
    <row r="148" spans="1:1" hidden="1" x14ac:dyDescent="0.2">
      <c r="A148" t="s">
        <v>54</v>
      </c>
    </row>
    <row r="149" spans="1:1" x14ac:dyDescent="0.2">
      <c r="A149" t="s">
        <v>151</v>
      </c>
    </row>
    <row r="150" spans="1:1" x14ac:dyDescent="0.2">
      <c r="A150" t="s">
        <v>152</v>
      </c>
    </row>
    <row r="151" spans="1:1" x14ac:dyDescent="0.2">
      <c r="A151" t="s">
        <v>153</v>
      </c>
    </row>
    <row r="152" spans="1:1" x14ac:dyDescent="0.2">
      <c r="A152" t="s">
        <v>154</v>
      </c>
    </row>
    <row r="153" spans="1:1" x14ac:dyDescent="0.2">
      <c r="A153" t="s">
        <v>155</v>
      </c>
    </row>
    <row r="154" spans="1:1" x14ac:dyDescent="0.2">
      <c r="A154" t="s">
        <v>156</v>
      </c>
    </row>
    <row r="155" spans="1:1" x14ac:dyDescent="0.2">
      <c r="A155" t="s">
        <v>157</v>
      </c>
    </row>
    <row r="156" spans="1:1" x14ac:dyDescent="0.2">
      <c r="A156" t="s">
        <v>158</v>
      </c>
    </row>
    <row r="157" spans="1:1" x14ac:dyDescent="0.2">
      <c r="A157" t="s">
        <v>159</v>
      </c>
    </row>
    <row r="158" spans="1:1" x14ac:dyDescent="0.2">
      <c r="A158" t="s">
        <v>160</v>
      </c>
    </row>
    <row r="159" spans="1:1" x14ac:dyDescent="0.2">
      <c r="A159" t="s">
        <v>161</v>
      </c>
    </row>
    <row r="160" spans="1:1" x14ac:dyDescent="0.2">
      <c r="A160" t="s">
        <v>162</v>
      </c>
    </row>
    <row r="161" spans="1:1" x14ac:dyDescent="0.2">
      <c r="A161" t="s">
        <v>163</v>
      </c>
    </row>
    <row r="162" spans="1:1" x14ac:dyDescent="0.2">
      <c r="A162" t="s">
        <v>164</v>
      </c>
    </row>
    <row r="163" spans="1:1" x14ac:dyDescent="0.2">
      <c r="A163" t="s">
        <v>165</v>
      </c>
    </row>
    <row r="164" spans="1:1" x14ac:dyDescent="0.2">
      <c r="A164" t="s">
        <v>166</v>
      </c>
    </row>
    <row r="165" spans="1:1" x14ac:dyDescent="0.2">
      <c r="A165" t="s">
        <v>167</v>
      </c>
    </row>
    <row r="166" spans="1:1" x14ac:dyDescent="0.2">
      <c r="A166" t="s">
        <v>168</v>
      </c>
    </row>
    <row r="167" spans="1:1" x14ac:dyDescent="0.2">
      <c r="A167" t="s">
        <v>169</v>
      </c>
    </row>
    <row r="168" spans="1:1" x14ac:dyDescent="0.2">
      <c r="A168" t="s">
        <v>170</v>
      </c>
    </row>
    <row r="169" spans="1:1" x14ac:dyDescent="0.2">
      <c r="A169" t="s">
        <v>171</v>
      </c>
    </row>
    <row r="170" spans="1:1" x14ac:dyDescent="0.2">
      <c r="A170" t="s">
        <v>172</v>
      </c>
    </row>
    <row r="171" spans="1:1" x14ac:dyDescent="0.2">
      <c r="A171" t="s">
        <v>173</v>
      </c>
    </row>
    <row r="172" spans="1:1" x14ac:dyDescent="0.2">
      <c r="A172" t="s">
        <v>174</v>
      </c>
    </row>
    <row r="173" spans="1:1" x14ac:dyDescent="0.2">
      <c r="A173" t="s">
        <v>175</v>
      </c>
    </row>
    <row r="174" spans="1:1" x14ac:dyDescent="0.2">
      <c r="A174" t="s">
        <v>176</v>
      </c>
    </row>
    <row r="175" spans="1:1" x14ac:dyDescent="0.2">
      <c r="A175" t="s">
        <v>177</v>
      </c>
    </row>
    <row r="176" spans="1:1" x14ac:dyDescent="0.2">
      <c r="A176" t="s">
        <v>178</v>
      </c>
    </row>
    <row r="177" spans="1:1" x14ac:dyDescent="0.2">
      <c r="A177" t="s">
        <v>179</v>
      </c>
    </row>
    <row r="178" spans="1:1" x14ac:dyDescent="0.2">
      <c r="A178" t="s">
        <v>180</v>
      </c>
    </row>
    <row r="179" spans="1:1" x14ac:dyDescent="0.2">
      <c r="A179" t="s">
        <v>181</v>
      </c>
    </row>
    <row r="180" spans="1:1" x14ac:dyDescent="0.2">
      <c r="A180" t="s">
        <v>182</v>
      </c>
    </row>
    <row r="181" spans="1:1" x14ac:dyDescent="0.2">
      <c r="A181" t="s">
        <v>183</v>
      </c>
    </row>
    <row r="182" spans="1:1" x14ac:dyDescent="0.2">
      <c r="A182" t="s">
        <v>184</v>
      </c>
    </row>
    <row r="183" spans="1:1" x14ac:dyDescent="0.2">
      <c r="A183" t="s">
        <v>185</v>
      </c>
    </row>
    <row r="184" spans="1:1" x14ac:dyDescent="0.2">
      <c r="A184" t="s">
        <v>186</v>
      </c>
    </row>
    <row r="185" spans="1:1" x14ac:dyDescent="0.2">
      <c r="A185" t="s">
        <v>187</v>
      </c>
    </row>
    <row r="186" spans="1:1" x14ac:dyDescent="0.2">
      <c r="A186" t="s">
        <v>188</v>
      </c>
    </row>
    <row r="187" spans="1:1" x14ac:dyDescent="0.2">
      <c r="A187" t="s">
        <v>189</v>
      </c>
    </row>
    <row r="188" spans="1:1" x14ac:dyDescent="0.2">
      <c r="A188" t="s">
        <v>190</v>
      </c>
    </row>
    <row r="189" spans="1:1" x14ac:dyDescent="0.2">
      <c r="A189" t="s">
        <v>191</v>
      </c>
    </row>
    <row r="190" spans="1:1" x14ac:dyDescent="0.2">
      <c r="A190" t="s">
        <v>192</v>
      </c>
    </row>
    <row r="191" spans="1:1" x14ac:dyDescent="0.2">
      <c r="A191" t="s">
        <v>193</v>
      </c>
    </row>
    <row r="192" spans="1:1" x14ac:dyDescent="0.2">
      <c r="A192" t="s">
        <v>194</v>
      </c>
    </row>
    <row r="193" spans="1:1" x14ac:dyDescent="0.2">
      <c r="A193" t="s">
        <v>195</v>
      </c>
    </row>
    <row r="194" spans="1:1" x14ac:dyDescent="0.2">
      <c r="A194" t="s">
        <v>196</v>
      </c>
    </row>
    <row r="195" spans="1:1" x14ac:dyDescent="0.2">
      <c r="A195" t="s">
        <v>197</v>
      </c>
    </row>
    <row r="196" spans="1:1" x14ac:dyDescent="0.2">
      <c r="A196" t="s">
        <v>198</v>
      </c>
    </row>
    <row r="197" spans="1:1" x14ac:dyDescent="0.2">
      <c r="A197" t="s">
        <v>199</v>
      </c>
    </row>
    <row r="198" spans="1:1" x14ac:dyDescent="0.2">
      <c r="A198" t="s">
        <v>200</v>
      </c>
    </row>
    <row r="199" spans="1:1" hidden="1" x14ac:dyDescent="0.2">
      <c r="A199" t="s">
        <v>50</v>
      </c>
    </row>
    <row r="200" spans="1:1" hidden="1" x14ac:dyDescent="0.2"/>
    <row r="201" spans="1:1" hidden="1" x14ac:dyDescent="0.2">
      <c r="A201" t="s">
        <v>51</v>
      </c>
    </row>
    <row r="202" spans="1:1" hidden="1" x14ac:dyDescent="0.2">
      <c r="A202" t="s">
        <v>150</v>
      </c>
    </row>
    <row r="203" spans="1:1" hidden="1" x14ac:dyDescent="0.2">
      <c r="A203" t="s">
        <v>53</v>
      </c>
    </row>
    <row r="204" spans="1:1" hidden="1" x14ac:dyDescent="0.2">
      <c r="A204" t="s">
        <v>54</v>
      </c>
    </row>
    <row r="205" spans="1:1" x14ac:dyDescent="0.2">
      <c r="A205" t="s">
        <v>201</v>
      </c>
    </row>
    <row r="206" spans="1:1" x14ac:dyDescent="0.2">
      <c r="A206" t="s">
        <v>202</v>
      </c>
    </row>
    <row r="207" spans="1:1" x14ac:dyDescent="0.2">
      <c r="A207" t="s">
        <v>203</v>
      </c>
    </row>
    <row r="208" spans="1:1" x14ac:dyDescent="0.2">
      <c r="A208" t="s">
        <v>204</v>
      </c>
    </row>
    <row r="209" spans="1:1" x14ac:dyDescent="0.2">
      <c r="A209" t="s">
        <v>205</v>
      </c>
    </row>
    <row r="210" spans="1:1" x14ac:dyDescent="0.2">
      <c r="A210" t="s">
        <v>206</v>
      </c>
    </row>
    <row r="211" spans="1:1" x14ac:dyDescent="0.2">
      <c r="A211" t="s">
        <v>207</v>
      </c>
    </row>
    <row r="212" spans="1:1" x14ac:dyDescent="0.2">
      <c r="A212" t="s">
        <v>208</v>
      </c>
    </row>
    <row r="213" spans="1:1" x14ac:dyDescent="0.2">
      <c r="A213" t="s">
        <v>209</v>
      </c>
    </row>
    <row r="214" spans="1:1" x14ac:dyDescent="0.2">
      <c r="A214" t="s">
        <v>210</v>
      </c>
    </row>
    <row r="215" spans="1:1" x14ac:dyDescent="0.2">
      <c r="A215" t="s">
        <v>211</v>
      </c>
    </row>
    <row r="216" spans="1:1" x14ac:dyDescent="0.2">
      <c r="A216" t="s">
        <v>212</v>
      </c>
    </row>
    <row r="217" spans="1:1" x14ac:dyDescent="0.2">
      <c r="A217" t="s">
        <v>213</v>
      </c>
    </row>
    <row r="218" spans="1:1" x14ac:dyDescent="0.2">
      <c r="A218" t="s">
        <v>214</v>
      </c>
    </row>
    <row r="219" spans="1:1" x14ac:dyDescent="0.2">
      <c r="A219" t="s">
        <v>215</v>
      </c>
    </row>
    <row r="220" spans="1:1" x14ac:dyDescent="0.2">
      <c r="A220" t="s">
        <v>216</v>
      </c>
    </row>
    <row r="221" spans="1:1" x14ac:dyDescent="0.2">
      <c r="A221" t="s">
        <v>217</v>
      </c>
    </row>
    <row r="222" spans="1:1" x14ac:dyDescent="0.2">
      <c r="A222" t="s">
        <v>218</v>
      </c>
    </row>
    <row r="223" spans="1:1" x14ac:dyDescent="0.2">
      <c r="A223" t="s">
        <v>219</v>
      </c>
    </row>
    <row r="224" spans="1:1" x14ac:dyDescent="0.2">
      <c r="A224" t="s">
        <v>220</v>
      </c>
    </row>
    <row r="225" spans="1:1" x14ac:dyDescent="0.2">
      <c r="A225" t="s">
        <v>221</v>
      </c>
    </row>
    <row r="226" spans="1:1" x14ac:dyDescent="0.2">
      <c r="A226" t="s">
        <v>222</v>
      </c>
    </row>
    <row r="227" spans="1:1" x14ac:dyDescent="0.2">
      <c r="A227" t="s">
        <v>223</v>
      </c>
    </row>
    <row r="228" spans="1:1" x14ac:dyDescent="0.2">
      <c r="A228" t="s">
        <v>224</v>
      </c>
    </row>
    <row r="229" spans="1:1" x14ac:dyDescent="0.2">
      <c r="A229" t="s">
        <v>225</v>
      </c>
    </row>
    <row r="230" spans="1:1" x14ac:dyDescent="0.2">
      <c r="A230" t="s">
        <v>226</v>
      </c>
    </row>
    <row r="231" spans="1:1" x14ac:dyDescent="0.2">
      <c r="A231" t="s">
        <v>227</v>
      </c>
    </row>
    <row r="232" spans="1:1" x14ac:dyDescent="0.2">
      <c r="A232" t="s">
        <v>228</v>
      </c>
    </row>
    <row r="233" spans="1:1" x14ac:dyDescent="0.2">
      <c r="A233" t="s">
        <v>229</v>
      </c>
    </row>
    <row r="234" spans="1:1" x14ac:dyDescent="0.2">
      <c r="A234" t="s">
        <v>230</v>
      </c>
    </row>
    <row r="235" spans="1:1" x14ac:dyDescent="0.2">
      <c r="A235" t="s">
        <v>231</v>
      </c>
    </row>
    <row r="236" spans="1:1" x14ac:dyDescent="0.2">
      <c r="A236" t="s">
        <v>232</v>
      </c>
    </row>
    <row r="237" spans="1:1" x14ac:dyDescent="0.2">
      <c r="A237" t="s">
        <v>233</v>
      </c>
    </row>
    <row r="238" spans="1:1" x14ac:dyDescent="0.2">
      <c r="A238" t="s">
        <v>234</v>
      </c>
    </row>
    <row r="239" spans="1:1" x14ac:dyDescent="0.2">
      <c r="A239" t="s">
        <v>235</v>
      </c>
    </row>
    <row r="240" spans="1:1" x14ac:dyDescent="0.2">
      <c r="A240" t="s">
        <v>236</v>
      </c>
    </row>
    <row r="241" spans="1:1" x14ac:dyDescent="0.2">
      <c r="A241" t="s">
        <v>237</v>
      </c>
    </row>
    <row r="242" spans="1:1" x14ac:dyDescent="0.2">
      <c r="A242" t="s">
        <v>238</v>
      </c>
    </row>
    <row r="243" spans="1:1" x14ac:dyDescent="0.2">
      <c r="A243" t="s">
        <v>239</v>
      </c>
    </row>
    <row r="244" spans="1:1" x14ac:dyDescent="0.2">
      <c r="A244" t="s">
        <v>240</v>
      </c>
    </row>
    <row r="245" spans="1:1" x14ac:dyDescent="0.2">
      <c r="A245" t="s">
        <v>241</v>
      </c>
    </row>
    <row r="246" spans="1:1" x14ac:dyDescent="0.2">
      <c r="A246" t="s">
        <v>242</v>
      </c>
    </row>
    <row r="247" spans="1:1" x14ac:dyDescent="0.2">
      <c r="A247" t="s">
        <v>243</v>
      </c>
    </row>
    <row r="248" spans="1:1" x14ac:dyDescent="0.2">
      <c r="A248" t="s">
        <v>244</v>
      </c>
    </row>
    <row r="249" spans="1:1" x14ac:dyDescent="0.2">
      <c r="A249" t="s">
        <v>245</v>
      </c>
    </row>
    <row r="250" spans="1:1" x14ac:dyDescent="0.2">
      <c r="A250" t="s">
        <v>246</v>
      </c>
    </row>
    <row r="251" spans="1:1" x14ac:dyDescent="0.2">
      <c r="A251" t="s">
        <v>247</v>
      </c>
    </row>
    <row r="252" spans="1:1" x14ac:dyDescent="0.2">
      <c r="A252" t="s">
        <v>248</v>
      </c>
    </row>
    <row r="253" spans="1:1" x14ac:dyDescent="0.2">
      <c r="A253" t="s">
        <v>249</v>
      </c>
    </row>
    <row r="254" spans="1:1" x14ac:dyDescent="0.2">
      <c r="A254" t="s">
        <v>250</v>
      </c>
    </row>
    <row r="255" spans="1:1" hidden="1" x14ac:dyDescent="0.2">
      <c r="A255" t="s">
        <v>50</v>
      </c>
    </row>
    <row r="256" spans="1:1" hidden="1" x14ac:dyDescent="0.2"/>
    <row r="257" spans="1:1" hidden="1" x14ac:dyDescent="0.2">
      <c r="A257" t="s">
        <v>51</v>
      </c>
    </row>
    <row r="258" spans="1:1" hidden="1" x14ac:dyDescent="0.2">
      <c r="A258" t="s">
        <v>150</v>
      </c>
    </row>
    <row r="259" spans="1:1" hidden="1" x14ac:dyDescent="0.2">
      <c r="A259" t="s">
        <v>53</v>
      </c>
    </row>
    <row r="260" spans="1:1" hidden="1" x14ac:dyDescent="0.2">
      <c r="A260" t="s">
        <v>54</v>
      </c>
    </row>
    <row r="261" spans="1:1" x14ac:dyDescent="0.2">
      <c r="A261" t="s">
        <v>251</v>
      </c>
    </row>
    <row r="262" spans="1:1" x14ac:dyDescent="0.2">
      <c r="A262" t="s">
        <v>252</v>
      </c>
    </row>
    <row r="263" spans="1:1" x14ac:dyDescent="0.2">
      <c r="A263" t="s">
        <v>253</v>
      </c>
    </row>
    <row r="264" spans="1:1" x14ac:dyDescent="0.2">
      <c r="A264" t="s">
        <v>254</v>
      </c>
    </row>
    <row r="265" spans="1:1" x14ac:dyDescent="0.2">
      <c r="A265" t="s">
        <v>255</v>
      </c>
    </row>
    <row r="266" spans="1:1" x14ac:dyDescent="0.2">
      <c r="A266" t="s">
        <v>256</v>
      </c>
    </row>
    <row r="267" spans="1:1" x14ac:dyDescent="0.2">
      <c r="A267" t="s">
        <v>257</v>
      </c>
    </row>
    <row r="268" spans="1:1" x14ac:dyDescent="0.2">
      <c r="A268" t="s">
        <v>258</v>
      </c>
    </row>
    <row r="269" spans="1:1" x14ac:dyDescent="0.2">
      <c r="A269" t="s">
        <v>259</v>
      </c>
    </row>
    <row r="270" spans="1:1" x14ac:dyDescent="0.2">
      <c r="A270" t="s">
        <v>260</v>
      </c>
    </row>
    <row r="271" spans="1:1" x14ac:dyDescent="0.2">
      <c r="A271" t="s">
        <v>261</v>
      </c>
    </row>
    <row r="272" spans="1:1" x14ac:dyDescent="0.2">
      <c r="A272" t="s">
        <v>262</v>
      </c>
    </row>
    <row r="273" spans="1:1" x14ac:dyDescent="0.2">
      <c r="A273" t="s">
        <v>263</v>
      </c>
    </row>
    <row r="274" spans="1:1" x14ac:dyDescent="0.2">
      <c r="A274" t="s">
        <v>264</v>
      </c>
    </row>
    <row r="275" spans="1:1" x14ac:dyDescent="0.2">
      <c r="A275" t="s">
        <v>265</v>
      </c>
    </row>
    <row r="276" spans="1:1" x14ac:dyDescent="0.2">
      <c r="A276" t="s">
        <v>266</v>
      </c>
    </row>
    <row r="277" spans="1:1" x14ac:dyDescent="0.2">
      <c r="A277" t="s">
        <v>267</v>
      </c>
    </row>
    <row r="278" spans="1:1" x14ac:dyDescent="0.2">
      <c r="A278" t="s">
        <v>268</v>
      </c>
    </row>
    <row r="279" spans="1:1" x14ac:dyDescent="0.2">
      <c r="A279" t="s">
        <v>269</v>
      </c>
    </row>
    <row r="280" spans="1:1" x14ac:dyDescent="0.2">
      <c r="A280" t="s">
        <v>270</v>
      </c>
    </row>
    <row r="281" spans="1:1" x14ac:dyDescent="0.2">
      <c r="A281" t="s">
        <v>271</v>
      </c>
    </row>
    <row r="282" spans="1:1" x14ac:dyDescent="0.2">
      <c r="A282" t="s">
        <v>272</v>
      </c>
    </row>
    <row r="283" spans="1:1" x14ac:dyDescent="0.2">
      <c r="A283" t="s">
        <v>273</v>
      </c>
    </row>
    <row r="284" spans="1:1" x14ac:dyDescent="0.2">
      <c r="A284" t="s">
        <v>274</v>
      </c>
    </row>
    <row r="285" spans="1:1" x14ac:dyDescent="0.2">
      <c r="A285" t="s">
        <v>275</v>
      </c>
    </row>
    <row r="286" spans="1:1" x14ac:dyDescent="0.2">
      <c r="A286" t="s">
        <v>276</v>
      </c>
    </row>
    <row r="287" spans="1:1" x14ac:dyDescent="0.2">
      <c r="A287" t="s">
        <v>277</v>
      </c>
    </row>
    <row r="288" spans="1:1" x14ac:dyDescent="0.2">
      <c r="A288" t="s">
        <v>278</v>
      </c>
    </row>
    <row r="289" spans="1:1" x14ac:dyDescent="0.2">
      <c r="A289" t="s">
        <v>279</v>
      </c>
    </row>
    <row r="290" spans="1:1" x14ac:dyDescent="0.2">
      <c r="A290" t="s">
        <v>280</v>
      </c>
    </row>
    <row r="291" spans="1:1" x14ac:dyDescent="0.2">
      <c r="A291" t="s">
        <v>281</v>
      </c>
    </row>
    <row r="292" spans="1:1" x14ac:dyDescent="0.2">
      <c r="A292" t="s">
        <v>282</v>
      </c>
    </row>
    <row r="293" spans="1:1" x14ac:dyDescent="0.2">
      <c r="A293" t="s">
        <v>283</v>
      </c>
    </row>
    <row r="294" spans="1:1" x14ac:dyDescent="0.2">
      <c r="A294" t="s">
        <v>284</v>
      </c>
    </row>
    <row r="295" spans="1:1" x14ac:dyDescent="0.2">
      <c r="A295" t="s">
        <v>285</v>
      </c>
    </row>
    <row r="296" spans="1:1" x14ac:dyDescent="0.2">
      <c r="A296" t="s">
        <v>286</v>
      </c>
    </row>
    <row r="297" spans="1:1" x14ac:dyDescent="0.2">
      <c r="A297" t="s">
        <v>287</v>
      </c>
    </row>
    <row r="298" spans="1:1" x14ac:dyDescent="0.2">
      <c r="A298" t="s">
        <v>288</v>
      </c>
    </row>
    <row r="299" spans="1:1" x14ac:dyDescent="0.2">
      <c r="A299" t="s">
        <v>289</v>
      </c>
    </row>
    <row r="300" spans="1:1" x14ac:dyDescent="0.2">
      <c r="A300" t="s">
        <v>290</v>
      </c>
    </row>
    <row r="301" spans="1:1" x14ac:dyDescent="0.2">
      <c r="A301" t="s">
        <v>291</v>
      </c>
    </row>
    <row r="302" spans="1:1" x14ac:dyDescent="0.2">
      <c r="A302" t="s">
        <v>292</v>
      </c>
    </row>
    <row r="303" spans="1:1" x14ac:dyDescent="0.2">
      <c r="A303" t="s">
        <v>293</v>
      </c>
    </row>
    <row r="304" spans="1:1" x14ac:dyDescent="0.2">
      <c r="A304" t="s">
        <v>294</v>
      </c>
    </row>
    <row r="305" spans="1:1" x14ac:dyDescent="0.2">
      <c r="A305" t="s">
        <v>295</v>
      </c>
    </row>
    <row r="306" spans="1:1" x14ac:dyDescent="0.2">
      <c r="A306" t="s">
        <v>296</v>
      </c>
    </row>
    <row r="307" spans="1:1" x14ac:dyDescent="0.2">
      <c r="A307" t="s">
        <v>297</v>
      </c>
    </row>
    <row r="308" spans="1:1" x14ac:dyDescent="0.2">
      <c r="A308" t="s">
        <v>298</v>
      </c>
    </row>
    <row r="309" spans="1:1" x14ac:dyDescent="0.2">
      <c r="A309" t="s">
        <v>299</v>
      </c>
    </row>
    <row r="310" spans="1:1" x14ac:dyDescent="0.2">
      <c r="A310" t="s">
        <v>300</v>
      </c>
    </row>
    <row r="311" spans="1:1" hidden="1" x14ac:dyDescent="0.2">
      <c r="A311" t="s">
        <v>50</v>
      </c>
    </row>
    <row r="312" spans="1:1" hidden="1" x14ac:dyDescent="0.2"/>
    <row r="313" spans="1:1" hidden="1" x14ac:dyDescent="0.2">
      <c r="A313" t="s">
        <v>51</v>
      </c>
    </row>
    <row r="314" spans="1:1" hidden="1" x14ac:dyDescent="0.2">
      <c r="A314" t="s">
        <v>150</v>
      </c>
    </row>
    <row r="315" spans="1:1" hidden="1" x14ac:dyDescent="0.2">
      <c r="A315" t="s">
        <v>53</v>
      </c>
    </row>
    <row r="316" spans="1:1" hidden="1" x14ac:dyDescent="0.2">
      <c r="A316" t="s">
        <v>54</v>
      </c>
    </row>
    <row r="317" spans="1:1" x14ac:dyDescent="0.2">
      <c r="A317" t="s">
        <v>301</v>
      </c>
    </row>
    <row r="318" spans="1:1" x14ac:dyDescent="0.2">
      <c r="A318" t="s">
        <v>302</v>
      </c>
    </row>
    <row r="319" spans="1:1" x14ac:dyDescent="0.2">
      <c r="A319" t="s">
        <v>303</v>
      </c>
    </row>
    <row r="320" spans="1:1" x14ac:dyDescent="0.2">
      <c r="A320" t="s">
        <v>304</v>
      </c>
    </row>
    <row r="321" spans="1:1" x14ac:dyDescent="0.2">
      <c r="A321" t="s">
        <v>305</v>
      </c>
    </row>
    <row r="322" spans="1:1" x14ac:dyDescent="0.2">
      <c r="A322" t="s">
        <v>306</v>
      </c>
    </row>
    <row r="323" spans="1:1" x14ac:dyDescent="0.2">
      <c r="A323" t="s">
        <v>307</v>
      </c>
    </row>
    <row r="324" spans="1:1" x14ac:dyDescent="0.2">
      <c r="A324" t="s">
        <v>308</v>
      </c>
    </row>
    <row r="325" spans="1:1" x14ac:dyDescent="0.2">
      <c r="A325" t="s">
        <v>309</v>
      </c>
    </row>
    <row r="326" spans="1:1" x14ac:dyDescent="0.2">
      <c r="A326" t="s">
        <v>310</v>
      </c>
    </row>
    <row r="327" spans="1:1" x14ac:dyDescent="0.2">
      <c r="A327" t="s">
        <v>311</v>
      </c>
    </row>
    <row r="328" spans="1:1" x14ac:dyDescent="0.2">
      <c r="A328" t="s">
        <v>312</v>
      </c>
    </row>
    <row r="329" spans="1:1" x14ac:dyDescent="0.2">
      <c r="A329" t="s">
        <v>313</v>
      </c>
    </row>
    <row r="330" spans="1:1" x14ac:dyDescent="0.2">
      <c r="A330" t="s">
        <v>314</v>
      </c>
    </row>
    <row r="331" spans="1:1" x14ac:dyDescent="0.2">
      <c r="A331" t="s">
        <v>315</v>
      </c>
    </row>
    <row r="332" spans="1:1" x14ac:dyDescent="0.2">
      <c r="A332" t="s">
        <v>316</v>
      </c>
    </row>
    <row r="333" spans="1:1" x14ac:dyDescent="0.2">
      <c r="A333" t="s">
        <v>317</v>
      </c>
    </row>
    <row r="334" spans="1:1" x14ac:dyDescent="0.2">
      <c r="A334" t="s">
        <v>318</v>
      </c>
    </row>
    <row r="335" spans="1:1" x14ac:dyDescent="0.2">
      <c r="A335" t="s">
        <v>319</v>
      </c>
    </row>
    <row r="336" spans="1:1" x14ac:dyDescent="0.2">
      <c r="A336" t="s">
        <v>320</v>
      </c>
    </row>
    <row r="337" spans="1:1" x14ac:dyDescent="0.2">
      <c r="A337" t="s">
        <v>321</v>
      </c>
    </row>
    <row r="338" spans="1:1" x14ac:dyDescent="0.2">
      <c r="A338" t="s">
        <v>322</v>
      </c>
    </row>
    <row r="339" spans="1:1" x14ac:dyDescent="0.2">
      <c r="A339" t="s">
        <v>323</v>
      </c>
    </row>
    <row r="340" spans="1:1" x14ac:dyDescent="0.2">
      <c r="A340" t="s">
        <v>324</v>
      </c>
    </row>
    <row r="341" spans="1:1" x14ac:dyDescent="0.2">
      <c r="A341" t="s">
        <v>325</v>
      </c>
    </row>
    <row r="342" spans="1:1" x14ac:dyDescent="0.2">
      <c r="A342" t="s">
        <v>326</v>
      </c>
    </row>
    <row r="343" spans="1:1" x14ac:dyDescent="0.2">
      <c r="A343" t="s">
        <v>327</v>
      </c>
    </row>
    <row r="344" spans="1:1" x14ac:dyDescent="0.2">
      <c r="A344" t="s">
        <v>328</v>
      </c>
    </row>
    <row r="345" spans="1:1" x14ac:dyDescent="0.2">
      <c r="A345" t="s">
        <v>329</v>
      </c>
    </row>
    <row r="346" spans="1:1" x14ac:dyDescent="0.2">
      <c r="A346" t="s">
        <v>330</v>
      </c>
    </row>
    <row r="347" spans="1:1" x14ac:dyDescent="0.2">
      <c r="A347" t="s">
        <v>331</v>
      </c>
    </row>
    <row r="348" spans="1:1" x14ac:dyDescent="0.2">
      <c r="A348" t="s">
        <v>332</v>
      </c>
    </row>
    <row r="349" spans="1:1" x14ac:dyDescent="0.2">
      <c r="A349" t="s">
        <v>333</v>
      </c>
    </row>
    <row r="350" spans="1:1" x14ac:dyDescent="0.2">
      <c r="A350" t="s">
        <v>334</v>
      </c>
    </row>
    <row r="351" spans="1:1" x14ac:dyDescent="0.2">
      <c r="A351" t="s">
        <v>335</v>
      </c>
    </row>
    <row r="352" spans="1:1" x14ac:dyDescent="0.2">
      <c r="A352" t="s">
        <v>336</v>
      </c>
    </row>
    <row r="353" spans="1:1" x14ac:dyDescent="0.2">
      <c r="A353" t="s">
        <v>337</v>
      </c>
    </row>
    <row r="354" spans="1:1" x14ac:dyDescent="0.2">
      <c r="A354" t="s">
        <v>338</v>
      </c>
    </row>
    <row r="355" spans="1:1" x14ac:dyDescent="0.2">
      <c r="A355" t="s">
        <v>339</v>
      </c>
    </row>
    <row r="356" spans="1:1" x14ac:dyDescent="0.2">
      <c r="A356" t="s">
        <v>340</v>
      </c>
    </row>
    <row r="357" spans="1:1" x14ac:dyDescent="0.2">
      <c r="A357" t="s">
        <v>341</v>
      </c>
    </row>
    <row r="358" spans="1:1" x14ac:dyDescent="0.2">
      <c r="A358" t="s">
        <v>342</v>
      </c>
    </row>
    <row r="359" spans="1:1" x14ac:dyDescent="0.2">
      <c r="A359" t="s">
        <v>343</v>
      </c>
    </row>
    <row r="360" spans="1:1" x14ac:dyDescent="0.2">
      <c r="A360" t="s">
        <v>344</v>
      </c>
    </row>
    <row r="361" spans="1:1" x14ac:dyDescent="0.2">
      <c r="A361" t="s">
        <v>345</v>
      </c>
    </row>
    <row r="362" spans="1:1" x14ac:dyDescent="0.2">
      <c r="A362" t="s">
        <v>346</v>
      </c>
    </row>
    <row r="363" spans="1:1" x14ac:dyDescent="0.2">
      <c r="A363" t="s">
        <v>347</v>
      </c>
    </row>
    <row r="364" spans="1:1" x14ac:dyDescent="0.2">
      <c r="A364" t="s">
        <v>348</v>
      </c>
    </row>
    <row r="365" spans="1:1" x14ac:dyDescent="0.2">
      <c r="A365" t="s">
        <v>349</v>
      </c>
    </row>
    <row r="366" spans="1:1" x14ac:dyDescent="0.2">
      <c r="A366" t="s">
        <v>350</v>
      </c>
    </row>
    <row r="367" spans="1:1" hidden="1" x14ac:dyDescent="0.2">
      <c r="A367" t="s">
        <v>50</v>
      </c>
    </row>
    <row r="368" spans="1:1" hidden="1" x14ac:dyDescent="0.2"/>
    <row r="369" spans="1:1" hidden="1" x14ac:dyDescent="0.2">
      <c r="A369" t="s">
        <v>51</v>
      </c>
    </row>
    <row r="370" spans="1:1" hidden="1" x14ac:dyDescent="0.2">
      <c r="A370" t="s">
        <v>351</v>
      </c>
    </row>
    <row r="371" spans="1:1" hidden="1" x14ac:dyDescent="0.2">
      <c r="A371" t="s">
        <v>53</v>
      </c>
    </row>
    <row r="372" spans="1:1" hidden="1" x14ac:dyDescent="0.2">
      <c r="A372" t="s">
        <v>54</v>
      </c>
    </row>
    <row r="373" spans="1:1" x14ac:dyDescent="0.2">
      <c r="A373" t="s">
        <v>352</v>
      </c>
    </row>
    <row r="374" spans="1:1" x14ac:dyDescent="0.2">
      <c r="A374" t="s">
        <v>353</v>
      </c>
    </row>
    <row r="375" spans="1:1" x14ac:dyDescent="0.2">
      <c r="A375" t="s">
        <v>354</v>
      </c>
    </row>
    <row r="376" spans="1:1" x14ac:dyDescent="0.2">
      <c r="A376" t="s">
        <v>355</v>
      </c>
    </row>
    <row r="377" spans="1:1" x14ac:dyDescent="0.2">
      <c r="A377" t="s">
        <v>356</v>
      </c>
    </row>
    <row r="378" spans="1:1" x14ac:dyDescent="0.2">
      <c r="A378" t="s">
        <v>357</v>
      </c>
    </row>
    <row r="379" spans="1:1" x14ac:dyDescent="0.2">
      <c r="A379" t="s">
        <v>358</v>
      </c>
    </row>
    <row r="380" spans="1:1" x14ac:dyDescent="0.2">
      <c r="A380" t="s">
        <v>359</v>
      </c>
    </row>
    <row r="381" spans="1:1" x14ac:dyDescent="0.2">
      <c r="A381" t="s">
        <v>360</v>
      </c>
    </row>
    <row r="382" spans="1:1" x14ac:dyDescent="0.2">
      <c r="A382" t="s">
        <v>361</v>
      </c>
    </row>
    <row r="383" spans="1:1" x14ac:dyDescent="0.2">
      <c r="A383" t="s">
        <v>362</v>
      </c>
    </row>
    <row r="384" spans="1:1" x14ac:dyDescent="0.2">
      <c r="A384" t="s">
        <v>363</v>
      </c>
    </row>
    <row r="385" spans="1:1" x14ac:dyDescent="0.2">
      <c r="A385" t="s">
        <v>364</v>
      </c>
    </row>
    <row r="386" spans="1:1" x14ac:dyDescent="0.2">
      <c r="A386" t="s">
        <v>365</v>
      </c>
    </row>
    <row r="387" spans="1:1" x14ac:dyDescent="0.2">
      <c r="A387" t="s">
        <v>366</v>
      </c>
    </row>
    <row r="388" spans="1:1" x14ac:dyDescent="0.2">
      <c r="A388" t="s">
        <v>367</v>
      </c>
    </row>
    <row r="389" spans="1:1" x14ac:dyDescent="0.2">
      <c r="A389" t="s">
        <v>368</v>
      </c>
    </row>
    <row r="390" spans="1:1" x14ac:dyDescent="0.2">
      <c r="A390" t="s">
        <v>369</v>
      </c>
    </row>
    <row r="391" spans="1:1" x14ac:dyDescent="0.2">
      <c r="A391" t="s">
        <v>370</v>
      </c>
    </row>
    <row r="392" spans="1:1" x14ac:dyDescent="0.2">
      <c r="A392" t="s">
        <v>371</v>
      </c>
    </row>
    <row r="393" spans="1:1" x14ac:dyDescent="0.2">
      <c r="A393" t="s">
        <v>372</v>
      </c>
    </row>
    <row r="394" spans="1:1" x14ac:dyDescent="0.2">
      <c r="A394" t="s">
        <v>373</v>
      </c>
    </row>
    <row r="395" spans="1:1" x14ac:dyDescent="0.2">
      <c r="A395" t="s">
        <v>374</v>
      </c>
    </row>
    <row r="396" spans="1:1" x14ac:dyDescent="0.2">
      <c r="A396" t="s">
        <v>375</v>
      </c>
    </row>
    <row r="397" spans="1:1" x14ac:dyDescent="0.2">
      <c r="A397" t="s">
        <v>376</v>
      </c>
    </row>
    <row r="398" spans="1:1" x14ac:dyDescent="0.2">
      <c r="A398" t="s">
        <v>377</v>
      </c>
    </row>
    <row r="399" spans="1:1" x14ac:dyDescent="0.2">
      <c r="A399" t="s">
        <v>378</v>
      </c>
    </row>
    <row r="400" spans="1:1" hidden="1" x14ac:dyDescent="0.2">
      <c r="A400" t="s">
        <v>50</v>
      </c>
    </row>
    <row r="401" spans="1:1" hidden="1" x14ac:dyDescent="0.2"/>
    <row r="402" spans="1:1" hidden="1" x14ac:dyDescent="0.2">
      <c r="A402" t="s">
        <v>51</v>
      </c>
    </row>
    <row r="403" spans="1:1" hidden="1" x14ac:dyDescent="0.2">
      <c r="A403" t="s">
        <v>379</v>
      </c>
    </row>
    <row r="404" spans="1:1" hidden="1" x14ac:dyDescent="0.2">
      <c r="A404" t="s">
        <v>53</v>
      </c>
    </row>
    <row r="405" spans="1:1" hidden="1" x14ac:dyDescent="0.2">
      <c r="A405" t="s">
        <v>54</v>
      </c>
    </row>
    <row r="406" spans="1:1" x14ac:dyDescent="0.2">
      <c r="A406" t="s">
        <v>380</v>
      </c>
    </row>
    <row r="407" spans="1:1" x14ac:dyDescent="0.2">
      <c r="A407" t="s">
        <v>381</v>
      </c>
    </row>
    <row r="408" spans="1:1" x14ac:dyDescent="0.2">
      <c r="A408" t="s">
        <v>382</v>
      </c>
    </row>
    <row r="409" spans="1:1" x14ac:dyDescent="0.2">
      <c r="A409" t="s">
        <v>383</v>
      </c>
    </row>
    <row r="410" spans="1:1" x14ac:dyDescent="0.2">
      <c r="A410" t="s">
        <v>384</v>
      </c>
    </row>
    <row r="411" spans="1:1" x14ac:dyDescent="0.2">
      <c r="A411" t="s">
        <v>385</v>
      </c>
    </row>
    <row r="412" spans="1:1" x14ac:dyDescent="0.2">
      <c r="A412" t="s">
        <v>386</v>
      </c>
    </row>
    <row r="413" spans="1:1" x14ac:dyDescent="0.2">
      <c r="A413" t="s">
        <v>387</v>
      </c>
    </row>
    <row r="414" spans="1:1" x14ac:dyDescent="0.2">
      <c r="A414" t="s">
        <v>388</v>
      </c>
    </row>
    <row r="415" spans="1:1" x14ac:dyDescent="0.2">
      <c r="A415" t="s">
        <v>389</v>
      </c>
    </row>
    <row r="416" spans="1:1" x14ac:dyDescent="0.2">
      <c r="A416" t="s">
        <v>390</v>
      </c>
    </row>
    <row r="417" spans="1:1" x14ac:dyDescent="0.2">
      <c r="A417" t="s">
        <v>391</v>
      </c>
    </row>
    <row r="418" spans="1:1" x14ac:dyDescent="0.2">
      <c r="A418" t="s">
        <v>392</v>
      </c>
    </row>
    <row r="419" spans="1:1" x14ac:dyDescent="0.2">
      <c r="A419" t="s">
        <v>393</v>
      </c>
    </row>
    <row r="420" spans="1:1" x14ac:dyDescent="0.2">
      <c r="A420" t="s">
        <v>394</v>
      </c>
    </row>
    <row r="421" spans="1:1" x14ac:dyDescent="0.2">
      <c r="A421" t="s">
        <v>395</v>
      </c>
    </row>
    <row r="422" spans="1:1" x14ac:dyDescent="0.2">
      <c r="A422" t="s">
        <v>396</v>
      </c>
    </row>
    <row r="423" spans="1:1" x14ac:dyDescent="0.2">
      <c r="A423" t="s">
        <v>397</v>
      </c>
    </row>
    <row r="424" spans="1:1" x14ac:dyDescent="0.2">
      <c r="A424" t="s">
        <v>398</v>
      </c>
    </row>
    <row r="425" spans="1:1" x14ac:dyDescent="0.2">
      <c r="A425" t="s">
        <v>399</v>
      </c>
    </row>
    <row r="426" spans="1:1" hidden="1" x14ac:dyDescent="0.2">
      <c r="A426" t="s">
        <v>50</v>
      </c>
    </row>
    <row r="427" spans="1:1" hidden="1" x14ac:dyDescent="0.2"/>
    <row r="428" spans="1:1" hidden="1" x14ac:dyDescent="0.2">
      <c r="A428" t="s">
        <v>51</v>
      </c>
    </row>
    <row r="429" spans="1:1" hidden="1" x14ac:dyDescent="0.2">
      <c r="A429" t="s">
        <v>400</v>
      </c>
    </row>
    <row r="430" spans="1:1" hidden="1" x14ac:dyDescent="0.2">
      <c r="A430" t="s">
        <v>53</v>
      </c>
    </row>
    <row r="431" spans="1:1" hidden="1" x14ac:dyDescent="0.2">
      <c r="A431" t="s">
        <v>54</v>
      </c>
    </row>
    <row r="432" spans="1:1" x14ac:dyDescent="0.2">
      <c r="A432" t="s">
        <v>401</v>
      </c>
    </row>
    <row r="433" spans="1:1" x14ac:dyDescent="0.2">
      <c r="A433" t="s">
        <v>402</v>
      </c>
    </row>
    <row r="434" spans="1:1" x14ac:dyDescent="0.2">
      <c r="A434" t="s">
        <v>403</v>
      </c>
    </row>
    <row r="435" spans="1:1" x14ac:dyDescent="0.2">
      <c r="A435" t="s">
        <v>404</v>
      </c>
    </row>
    <row r="436" spans="1:1" x14ac:dyDescent="0.2">
      <c r="A436" t="s">
        <v>405</v>
      </c>
    </row>
    <row r="437" spans="1:1" x14ac:dyDescent="0.2">
      <c r="A437" t="s">
        <v>406</v>
      </c>
    </row>
    <row r="438" spans="1:1" x14ac:dyDescent="0.2">
      <c r="A438" t="s">
        <v>407</v>
      </c>
    </row>
    <row r="439" spans="1:1" x14ac:dyDescent="0.2">
      <c r="A439" t="s">
        <v>408</v>
      </c>
    </row>
    <row r="440" spans="1:1" x14ac:dyDescent="0.2">
      <c r="A440" t="s">
        <v>409</v>
      </c>
    </row>
    <row r="441" spans="1:1" x14ac:dyDescent="0.2">
      <c r="A441" t="s">
        <v>410</v>
      </c>
    </row>
    <row r="442" spans="1:1" x14ac:dyDescent="0.2">
      <c r="A442" t="s">
        <v>411</v>
      </c>
    </row>
    <row r="443" spans="1:1" x14ac:dyDescent="0.2">
      <c r="A443" t="s">
        <v>412</v>
      </c>
    </row>
    <row r="444" spans="1:1" x14ac:dyDescent="0.2">
      <c r="A444" t="s">
        <v>413</v>
      </c>
    </row>
    <row r="445" spans="1:1" hidden="1" x14ac:dyDescent="0.2">
      <c r="A445" t="s">
        <v>50</v>
      </c>
    </row>
    <row r="446" spans="1:1" hidden="1" x14ac:dyDescent="0.2"/>
    <row r="447" spans="1:1" hidden="1" x14ac:dyDescent="0.2">
      <c r="A447" t="s">
        <v>51</v>
      </c>
    </row>
    <row r="448" spans="1:1" hidden="1" x14ac:dyDescent="0.2">
      <c r="A448" t="s">
        <v>414</v>
      </c>
    </row>
    <row r="449" spans="1:1" hidden="1" x14ac:dyDescent="0.2">
      <c r="A449" t="s">
        <v>53</v>
      </c>
    </row>
    <row r="450" spans="1:1" hidden="1" x14ac:dyDescent="0.2">
      <c r="A450" t="s">
        <v>54</v>
      </c>
    </row>
    <row r="451" spans="1:1" x14ac:dyDescent="0.2">
      <c r="A451" t="s">
        <v>415</v>
      </c>
    </row>
    <row r="452" spans="1:1" x14ac:dyDescent="0.2">
      <c r="A452" t="s">
        <v>416</v>
      </c>
    </row>
    <row r="453" spans="1:1" x14ac:dyDescent="0.2">
      <c r="A453" t="s">
        <v>417</v>
      </c>
    </row>
    <row r="454" spans="1:1" x14ac:dyDescent="0.2">
      <c r="A454" t="s">
        <v>418</v>
      </c>
    </row>
    <row r="455" spans="1:1" x14ac:dyDescent="0.2">
      <c r="A455" t="s">
        <v>419</v>
      </c>
    </row>
    <row r="456" spans="1:1" x14ac:dyDescent="0.2">
      <c r="A456" t="s">
        <v>420</v>
      </c>
    </row>
    <row r="457" spans="1:1" x14ac:dyDescent="0.2">
      <c r="A457" t="s">
        <v>421</v>
      </c>
    </row>
    <row r="458" spans="1:1" x14ac:dyDescent="0.2">
      <c r="A458" t="s">
        <v>422</v>
      </c>
    </row>
    <row r="459" spans="1:1" x14ac:dyDescent="0.2">
      <c r="A459" t="s">
        <v>423</v>
      </c>
    </row>
    <row r="460" spans="1:1" x14ac:dyDescent="0.2">
      <c r="A460" t="s">
        <v>424</v>
      </c>
    </row>
    <row r="461" spans="1:1" x14ac:dyDescent="0.2">
      <c r="A461" t="s">
        <v>425</v>
      </c>
    </row>
    <row r="462" spans="1:1" x14ac:dyDescent="0.2">
      <c r="A462" t="s">
        <v>426</v>
      </c>
    </row>
    <row r="463" spans="1:1" x14ac:dyDescent="0.2">
      <c r="A463" t="s">
        <v>427</v>
      </c>
    </row>
    <row r="464" spans="1:1" x14ac:dyDescent="0.2">
      <c r="A464" t="s">
        <v>428</v>
      </c>
    </row>
    <row r="465" spans="1:1" x14ac:dyDescent="0.2">
      <c r="A465" t="s">
        <v>429</v>
      </c>
    </row>
    <row r="466" spans="1:1" x14ac:dyDescent="0.2">
      <c r="A466" t="s">
        <v>430</v>
      </c>
    </row>
    <row r="467" spans="1:1" x14ac:dyDescent="0.2">
      <c r="A467" t="s">
        <v>431</v>
      </c>
    </row>
    <row r="468" spans="1:1" x14ac:dyDescent="0.2">
      <c r="A468" t="s">
        <v>432</v>
      </c>
    </row>
    <row r="469" spans="1:1" x14ac:dyDescent="0.2">
      <c r="A469" t="s">
        <v>433</v>
      </c>
    </row>
    <row r="470" spans="1:1" x14ac:dyDescent="0.2">
      <c r="A470" t="s">
        <v>434</v>
      </c>
    </row>
    <row r="471" spans="1:1" x14ac:dyDescent="0.2">
      <c r="A471" t="s">
        <v>435</v>
      </c>
    </row>
    <row r="472" spans="1:1" x14ac:dyDescent="0.2">
      <c r="A472" t="s">
        <v>436</v>
      </c>
    </row>
    <row r="473" spans="1:1" x14ac:dyDescent="0.2">
      <c r="A473" t="s">
        <v>437</v>
      </c>
    </row>
    <row r="474" spans="1:1" x14ac:dyDescent="0.2">
      <c r="A474" t="s">
        <v>438</v>
      </c>
    </row>
    <row r="475" spans="1:1" x14ac:dyDescent="0.2">
      <c r="A475" t="s">
        <v>439</v>
      </c>
    </row>
    <row r="476" spans="1:1" x14ac:dyDescent="0.2">
      <c r="A476" t="s">
        <v>440</v>
      </c>
    </row>
    <row r="477" spans="1:1" x14ac:dyDescent="0.2">
      <c r="A477" t="s">
        <v>441</v>
      </c>
    </row>
    <row r="478" spans="1:1" x14ac:dyDescent="0.2">
      <c r="A478" t="s">
        <v>442</v>
      </c>
    </row>
    <row r="479" spans="1:1" x14ac:dyDescent="0.2">
      <c r="A479" t="s">
        <v>443</v>
      </c>
    </row>
    <row r="480" spans="1:1" x14ac:dyDescent="0.2">
      <c r="A480" t="s">
        <v>444</v>
      </c>
    </row>
    <row r="481" spans="1:1" x14ac:dyDescent="0.2">
      <c r="A481" t="s">
        <v>445</v>
      </c>
    </row>
    <row r="482" spans="1:1" x14ac:dyDescent="0.2">
      <c r="A482" t="s">
        <v>446</v>
      </c>
    </row>
    <row r="483" spans="1:1" x14ac:dyDescent="0.2">
      <c r="A483" t="s">
        <v>447</v>
      </c>
    </row>
    <row r="484" spans="1:1" x14ac:dyDescent="0.2">
      <c r="A484" t="s">
        <v>448</v>
      </c>
    </row>
    <row r="485" spans="1:1" x14ac:dyDescent="0.2">
      <c r="A485" t="s">
        <v>449</v>
      </c>
    </row>
    <row r="486" spans="1:1" x14ac:dyDescent="0.2">
      <c r="A486" t="s">
        <v>450</v>
      </c>
    </row>
    <row r="487" spans="1:1" x14ac:dyDescent="0.2">
      <c r="A487" t="s">
        <v>451</v>
      </c>
    </row>
    <row r="488" spans="1:1" x14ac:dyDescent="0.2">
      <c r="A488" t="s">
        <v>452</v>
      </c>
    </row>
    <row r="489" spans="1:1" x14ac:dyDescent="0.2">
      <c r="A489" t="s">
        <v>453</v>
      </c>
    </row>
    <row r="490" spans="1:1" x14ac:dyDescent="0.2">
      <c r="A490" t="s">
        <v>454</v>
      </c>
    </row>
    <row r="491" spans="1:1" x14ac:dyDescent="0.2">
      <c r="A491" t="s">
        <v>455</v>
      </c>
    </row>
    <row r="492" spans="1:1" x14ac:dyDescent="0.2">
      <c r="A492" t="s">
        <v>456</v>
      </c>
    </row>
    <row r="493" spans="1:1" x14ac:dyDescent="0.2">
      <c r="A493" t="s">
        <v>457</v>
      </c>
    </row>
    <row r="494" spans="1:1" x14ac:dyDescent="0.2">
      <c r="A494" t="s">
        <v>458</v>
      </c>
    </row>
    <row r="495" spans="1:1" hidden="1" x14ac:dyDescent="0.2">
      <c r="A495" t="s">
        <v>50</v>
      </c>
    </row>
    <row r="496" spans="1:1" hidden="1" x14ac:dyDescent="0.2"/>
    <row r="497" spans="1:1" hidden="1" x14ac:dyDescent="0.2">
      <c r="A497" t="s">
        <v>51</v>
      </c>
    </row>
    <row r="498" spans="1:1" hidden="1" x14ac:dyDescent="0.2">
      <c r="A498" t="s">
        <v>78</v>
      </c>
    </row>
    <row r="499" spans="1:1" hidden="1" x14ac:dyDescent="0.2">
      <c r="A499" t="s">
        <v>53</v>
      </c>
    </row>
    <row r="500" spans="1:1" hidden="1" x14ac:dyDescent="0.2">
      <c r="A500" t="s">
        <v>54</v>
      </c>
    </row>
    <row r="501" spans="1:1" x14ac:dyDescent="0.2">
      <c r="A501" t="s">
        <v>459</v>
      </c>
    </row>
    <row r="502" spans="1:1" x14ac:dyDescent="0.2">
      <c r="A502" t="s">
        <v>460</v>
      </c>
    </row>
    <row r="503" spans="1:1" x14ac:dyDescent="0.2">
      <c r="A503" t="s">
        <v>461</v>
      </c>
    </row>
    <row r="504" spans="1:1" x14ac:dyDescent="0.2">
      <c r="A504" t="s">
        <v>462</v>
      </c>
    </row>
    <row r="505" spans="1:1" x14ac:dyDescent="0.2">
      <c r="A505" t="s">
        <v>463</v>
      </c>
    </row>
    <row r="506" spans="1:1" x14ac:dyDescent="0.2">
      <c r="A506" t="s">
        <v>464</v>
      </c>
    </row>
    <row r="507" spans="1:1" hidden="1" x14ac:dyDescent="0.2">
      <c r="A507" t="s">
        <v>50</v>
      </c>
    </row>
    <row r="508" spans="1:1" hidden="1" x14ac:dyDescent="0.2"/>
    <row r="509" spans="1:1" hidden="1" x14ac:dyDescent="0.2">
      <c r="A509" t="s">
        <v>51</v>
      </c>
    </row>
    <row r="510" spans="1:1" hidden="1" x14ac:dyDescent="0.2">
      <c r="A510" t="s">
        <v>78</v>
      </c>
    </row>
    <row r="511" spans="1:1" hidden="1" x14ac:dyDescent="0.2">
      <c r="A511" t="s">
        <v>53</v>
      </c>
    </row>
    <row r="512" spans="1:1" hidden="1" x14ac:dyDescent="0.2">
      <c r="A512" t="s">
        <v>54</v>
      </c>
    </row>
    <row r="513" spans="1:1" x14ac:dyDescent="0.2">
      <c r="A513" t="s">
        <v>465</v>
      </c>
    </row>
    <row r="514" spans="1:1" x14ac:dyDescent="0.2">
      <c r="A514" t="s">
        <v>466</v>
      </c>
    </row>
    <row r="515" spans="1:1" x14ac:dyDescent="0.2">
      <c r="A515" t="s">
        <v>467</v>
      </c>
    </row>
    <row r="516" spans="1:1" x14ac:dyDescent="0.2">
      <c r="A516" t="s">
        <v>468</v>
      </c>
    </row>
    <row r="517" spans="1:1" x14ac:dyDescent="0.2">
      <c r="A517" t="s">
        <v>469</v>
      </c>
    </row>
    <row r="518" spans="1:1" x14ac:dyDescent="0.2">
      <c r="A518" t="s">
        <v>470</v>
      </c>
    </row>
    <row r="519" spans="1:1" hidden="1" x14ac:dyDescent="0.2">
      <c r="A519" t="s">
        <v>50</v>
      </c>
    </row>
    <row r="520" spans="1:1" hidden="1" x14ac:dyDescent="0.2"/>
    <row r="521" spans="1:1" hidden="1" x14ac:dyDescent="0.2">
      <c r="A521" t="s">
        <v>51</v>
      </c>
    </row>
    <row r="522" spans="1:1" hidden="1" x14ac:dyDescent="0.2">
      <c r="A522" t="s">
        <v>471</v>
      </c>
    </row>
    <row r="523" spans="1:1" hidden="1" x14ac:dyDescent="0.2">
      <c r="A523" t="s">
        <v>53</v>
      </c>
    </row>
    <row r="524" spans="1:1" hidden="1" x14ac:dyDescent="0.2">
      <c r="A524" t="s">
        <v>54</v>
      </c>
    </row>
    <row r="525" spans="1:1" x14ac:dyDescent="0.2">
      <c r="A525" t="s">
        <v>472</v>
      </c>
    </row>
    <row r="526" spans="1:1" x14ac:dyDescent="0.2">
      <c r="A526" t="s">
        <v>473</v>
      </c>
    </row>
    <row r="527" spans="1:1" hidden="1" x14ac:dyDescent="0.2">
      <c r="A527" t="s">
        <v>50</v>
      </c>
    </row>
    <row r="528" spans="1:1" hidden="1" x14ac:dyDescent="0.2"/>
    <row r="529" spans="1:1" hidden="1" x14ac:dyDescent="0.2">
      <c r="A529" t="s">
        <v>51</v>
      </c>
    </row>
    <row r="530" spans="1:1" hidden="1" x14ac:dyDescent="0.2">
      <c r="A530" t="s">
        <v>474</v>
      </c>
    </row>
    <row r="531" spans="1:1" hidden="1" x14ac:dyDescent="0.2">
      <c r="A531" t="s">
        <v>53</v>
      </c>
    </row>
    <row r="532" spans="1:1" hidden="1" x14ac:dyDescent="0.2">
      <c r="A532" t="s">
        <v>54</v>
      </c>
    </row>
    <row r="533" spans="1:1" x14ac:dyDescent="0.2">
      <c r="A533" t="s">
        <v>475</v>
      </c>
    </row>
    <row r="534" spans="1:1" x14ac:dyDescent="0.2">
      <c r="A534" t="s">
        <v>476</v>
      </c>
    </row>
    <row r="535" spans="1:1" x14ac:dyDescent="0.2">
      <c r="A535" t="s">
        <v>477</v>
      </c>
    </row>
    <row r="536" spans="1:1" x14ac:dyDescent="0.2">
      <c r="A536" t="s">
        <v>478</v>
      </c>
    </row>
    <row r="537" spans="1:1" x14ac:dyDescent="0.2">
      <c r="A537" t="s">
        <v>479</v>
      </c>
    </row>
    <row r="538" spans="1:1" x14ac:dyDescent="0.2">
      <c r="A538" t="s">
        <v>480</v>
      </c>
    </row>
    <row r="539" spans="1:1" x14ac:dyDescent="0.2">
      <c r="A539" t="s">
        <v>481</v>
      </c>
    </row>
    <row r="540" spans="1:1" x14ac:dyDescent="0.2">
      <c r="A540" t="s">
        <v>482</v>
      </c>
    </row>
    <row r="541" spans="1:1" x14ac:dyDescent="0.2">
      <c r="A541" t="s">
        <v>483</v>
      </c>
    </row>
    <row r="542" spans="1:1" x14ac:dyDescent="0.2">
      <c r="A542" t="s">
        <v>484</v>
      </c>
    </row>
    <row r="543" spans="1:1" x14ac:dyDescent="0.2">
      <c r="A543" t="s">
        <v>485</v>
      </c>
    </row>
    <row r="544" spans="1:1" x14ac:dyDescent="0.2">
      <c r="A544" t="s">
        <v>486</v>
      </c>
    </row>
    <row r="545" spans="1:1" x14ac:dyDescent="0.2">
      <c r="A545" t="s">
        <v>487</v>
      </c>
    </row>
    <row r="546" spans="1:1" x14ac:dyDescent="0.2">
      <c r="A546" t="s">
        <v>488</v>
      </c>
    </row>
    <row r="547" spans="1:1" x14ac:dyDescent="0.2">
      <c r="A547" t="s">
        <v>489</v>
      </c>
    </row>
    <row r="548" spans="1:1" x14ac:dyDescent="0.2">
      <c r="A548" t="s">
        <v>490</v>
      </c>
    </row>
    <row r="549" spans="1:1" x14ac:dyDescent="0.2">
      <c r="A549" t="s">
        <v>491</v>
      </c>
    </row>
    <row r="550" spans="1:1" x14ac:dyDescent="0.2">
      <c r="A550" t="s">
        <v>492</v>
      </c>
    </row>
    <row r="551" spans="1:1" x14ac:dyDescent="0.2">
      <c r="A551" t="s">
        <v>493</v>
      </c>
    </row>
    <row r="552" spans="1:1" x14ac:dyDescent="0.2">
      <c r="A552" t="s">
        <v>494</v>
      </c>
    </row>
    <row r="553" spans="1:1" x14ac:dyDescent="0.2">
      <c r="A553" t="s">
        <v>495</v>
      </c>
    </row>
    <row r="554" spans="1:1" x14ac:dyDescent="0.2">
      <c r="A554" t="s">
        <v>496</v>
      </c>
    </row>
    <row r="555" spans="1:1" x14ac:dyDescent="0.2">
      <c r="A555" t="s">
        <v>497</v>
      </c>
    </row>
    <row r="556" spans="1:1" hidden="1" x14ac:dyDescent="0.2">
      <c r="A556" t="s">
        <v>50</v>
      </c>
    </row>
    <row r="557" spans="1:1" hidden="1" x14ac:dyDescent="0.2"/>
    <row r="558" spans="1:1" hidden="1" x14ac:dyDescent="0.2">
      <c r="A558" t="s">
        <v>51</v>
      </c>
    </row>
    <row r="559" spans="1:1" hidden="1" x14ac:dyDescent="0.2">
      <c r="A559" t="s">
        <v>498</v>
      </c>
    </row>
    <row r="560" spans="1:1" hidden="1" x14ac:dyDescent="0.2">
      <c r="A560" t="s">
        <v>53</v>
      </c>
    </row>
    <row r="561" spans="1:1" hidden="1" x14ac:dyDescent="0.2">
      <c r="A561" t="s">
        <v>54</v>
      </c>
    </row>
    <row r="562" spans="1:1" x14ac:dyDescent="0.2">
      <c r="A562" t="s">
        <v>499</v>
      </c>
    </row>
    <row r="563" spans="1:1" x14ac:dyDescent="0.2">
      <c r="A563" t="s">
        <v>500</v>
      </c>
    </row>
    <row r="564" spans="1:1" x14ac:dyDescent="0.2">
      <c r="A564" t="s">
        <v>501</v>
      </c>
    </row>
    <row r="565" spans="1:1" x14ac:dyDescent="0.2">
      <c r="A565" t="s">
        <v>502</v>
      </c>
    </row>
    <row r="566" spans="1:1" x14ac:dyDescent="0.2">
      <c r="A566" t="s">
        <v>503</v>
      </c>
    </row>
    <row r="567" spans="1:1" x14ac:dyDescent="0.2">
      <c r="A567" t="s">
        <v>504</v>
      </c>
    </row>
    <row r="568" spans="1:1" x14ac:dyDescent="0.2">
      <c r="A568" t="s">
        <v>505</v>
      </c>
    </row>
    <row r="569" spans="1:1" x14ac:dyDescent="0.2">
      <c r="A569" t="s">
        <v>506</v>
      </c>
    </row>
    <row r="570" spans="1:1" x14ac:dyDescent="0.2">
      <c r="A570" t="s">
        <v>507</v>
      </c>
    </row>
    <row r="571" spans="1:1" x14ac:dyDescent="0.2">
      <c r="A571" t="s">
        <v>508</v>
      </c>
    </row>
    <row r="572" spans="1:1" x14ac:dyDescent="0.2">
      <c r="A572" t="s">
        <v>509</v>
      </c>
    </row>
    <row r="573" spans="1:1" x14ac:dyDescent="0.2">
      <c r="A573" t="s">
        <v>510</v>
      </c>
    </row>
    <row r="574" spans="1:1" x14ac:dyDescent="0.2">
      <c r="A574" t="s">
        <v>511</v>
      </c>
    </row>
    <row r="575" spans="1:1" x14ac:dyDescent="0.2">
      <c r="A575" t="s">
        <v>512</v>
      </c>
    </row>
    <row r="576" spans="1:1" x14ac:dyDescent="0.2">
      <c r="A576" t="s">
        <v>513</v>
      </c>
    </row>
    <row r="577" spans="1:1" x14ac:dyDescent="0.2">
      <c r="A577" t="s">
        <v>514</v>
      </c>
    </row>
    <row r="578" spans="1:1" x14ac:dyDescent="0.2">
      <c r="A578" t="s">
        <v>515</v>
      </c>
    </row>
    <row r="579" spans="1:1" x14ac:dyDescent="0.2">
      <c r="A579" t="s">
        <v>516</v>
      </c>
    </row>
    <row r="580" spans="1:1" hidden="1" x14ac:dyDescent="0.2">
      <c r="A580" t="s">
        <v>50</v>
      </c>
    </row>
    <row r="581" spans="1:1" hidden="1" x14ac:dyDescent="0.2"/>
    <row r="582" spans="1:1" hidden="1" x14ac:dyDescent="0.2">
      <c r="A582" t="s">
        <v>51</v>
      </c>
    </row>
    <row r="583" spans="1:1" hidden="1" x14ac:dyDescent="0.2">
      <c r="A583" t="s">
        <v>517</v>
      </c>
    </row>
    <row r="584" spans="1:1" hidden="1" x14ac:dyDescent="0.2">
      <c r="A584" t="s">
        <v>53</v>
      </c>
    </row>
    <row r="585" spans="1:1" hidden="1" x14ac:dyDescent="0.2">
      <c r="A585" t="s">
        <v>54</v>
      </c>
    </row>
    <row r="586" spans="1:1" x14ac:dyDescent="0.2">
      <c r="A586" t="s">
        <v>518</v>
      </c>
    </row>
    <row r="587" spans="1:1" x14ac:dyDescent="0.2">
      <c r="A587" t="s">
        <v>519</v>
      </c>
    </row>
    <row r="588" spans="1:1" x14ac:dyDescent="0.2">
      <c r="A588" t="s">
        <v>520</v>
      </c>
    </row>
    <row r="589" spans="1:1" x14ac:dyDescent="0.2">
      <c r="A589" t="s">
        <v>521</v>
      </c>
    </row>
    <row r="590" spans="1:1" x14ac:dyDescent="0.2">
      <c r="A590" t="s">
        <v>522</v>
      </c>
    </row>
    <row r="591" spans="1:1" x14ac:dyDescent="0.2">
      <c r="A591" t="s">
        <v>523</v>
      </c>
    </row>
    <row r="592" spans="1:1" x14ac:dyDescent="0.2">
      <c r="A592" t="s">
        <v>524</v>
      </c>
    </row>
    <row r="593" spans="1:1" x14ac:dyDescent="0.2">
      <c r="A593" t="s">
        <v>525</v>
      </c>
    </row>
    <row r="594" spans="1:1" x14ac:dyDescent="0.2">
      <c r="A594" t="s">
        <v>526</v>
      </c>
    </row>
    <row r="595" spans="1:1" x14ac:dyDescent="0.2">
      <c r="A595" t="s">
        <v>527</v>
      </c>
    </row>
    <row r="596" spans="1:1" x14ac:dyDescent="0.2">
      <c r="A596" t="s">
        <v>528</v>
      </c>
    </row>
    <row r="597" spans="1:1" hidden="1" x14ac:dyDescent="0.2">
      <c r="A597" t="s">
        <v>50</v>
      </c>
    </row>
    <row r="598" spans="1:1" hidden="1" x14ac:dyDescent="0.2"/>
    <row r="599" spans="1:1" hidden="1" x14ac:dyDescent="0.2">
      <c r="A599" t="s">
        <v>51</v>
      </c>
    </row>
    <row r="600" spans="1:1" hidden="1" x14ac:dyDescent="0.2">
      <c r="A600" t="s">
        <v>529</v>
      </c>
    </row>
    <row r="601" spans="1:1" hidden="1" x14ac:dyDescent="0.2">
      <c r="A601" t="s">
        <v>53</v>
      </c>
    </row>
    <row r="602" spans="1:1" hidden="1" x14ac:dyDescent="0.2">
      <c r="A602" t="s">
        <v>54</v>
      </c>
    </row>
    <row r="603" spans="1:1" x14ac:dyDescent="0.2">
      <c r="A603" t="s">
        <v>530</v>
      </c>
    </row>
    <row r="604" spans="1:1" x14ac:dyDescent="0.2">
      <c r="A604" t="s">
        <v>531</v>
      </c>
    </row>
    <row r="605" spans="1:1" x14ac:dyDescent="0.2">
      <c r="A605" t="s">
        <v>532</v>
      </c>
    </row>
    <row r="606" spans="1:1" x14ac:dyDescent="0.2">
      <c r="A606" t="s">
        <v>533</v>
      </c>
    </row>
    <row r="607" spans="1:1" x14ac:dyDescent="0.2">
      <c r="A607" t="s">
        <v>534</v>
      </c>
    </row>
    <row r="608" spans="1:1" x14ac:dyDescent="0.2">
      <c r="A608" t="s">
        <v>535</v>
      </c>
    </row>
    <row r="609" spans="1:1" x14ac:dyDescent="0.2">
      <c r="A609" t="s">
        <v>536</v>
      </c>
    </row>
    <row r="610" spans="1:1" x14ac:dyDescent="0.2">
      <c r="A610" t="s">
        <v>537</v>
      </c>
    </row>
    <row r="611" spans="1:1" x14ac:dyDescent="0.2">
      <c r="A611" t="s">
        <v>538</v>
      </c>
    </row>
    <row r="612" spans="1:1" x14ac:dyDescent="0.2">
      <c r="A612" t="s">
        <v>539</v>
      </c>
    </row>
    <row r="613" spans="1:1" hidden="1" x14ac:dyDescent="0.2">
      <c r="A613" t="s">
        <v>50</v>
      </c>
    </row>
    <row r="614" spans="1:1" hidden="1" x14ac:dyDescent="0.2"/>
    <row r="615" spans="1:1" hidden="1" x14ac:dyDescent="0.2">
      <c r="A615" t="s">
        <v>51</v>
      </c>
    </row>
    <row r="616" spans="1:1" hidden="1" x14ac:dyDescent="0.2">
      <c r="A616" t="s">
        <v>540</v>
      </c>
    </row>
    <row r="617" spans="1:1" hidden="1" x14ac:dyDescent="0.2">
      <c r="A617" t="s">
        <v>53</v>
      </c>
    </row>
    <row r="618" spans="1:1" hidden="1" x14ac:dyDescent="0.2">
      <c r="A618" t="s">
        <v>54</v>
      </c>
    </row>
    <row r="619" spans="1:1" x14ac:dyDescent="0.2">
      <c r="A619" t="s">
        <v>541</v>
      </c>
    </row>
    <row r="620" spans="1:1" x14ac:dyDescent="0.2">
      <c r="A620" t="s">
        <v>542</v>
      </c>
    </row>
    <row r="621" spans="1:1" x14ac:dyDescent="0.2">
      <c r="A621" t="s">
        <v>543</v>
      </c>
    </row>
    <row r="622" spans="1:1" x14ac:dyDescent="0.2">
      <c r="A622" t="s">
        <v>544</v>
      </c>
    </row>
    <row r="623" spans="1:1" x14ac:dyDescent="0.2">
      <c r="A623" t="s">
        <v>545</v>
      </c>
    </row>
    <row r="624" spans="1:1" x14ac:dyDescent="0.2">
      <c r="A624" t="s">
        <v>546</v>
      </c>
    </row>
    <row r="625" spans="1:1" x14ac:dyDescent="0.2">
      <c r="A625" t="s">
        <v>547</v>
      </c>
    </row>
    <row r="626" spans="1:1" x14ac:dyDescent="0.2">
      <c r="A626" t="s">
        <v>548</v>
      </c>
    </row>
    <row r="627" spans="1:1" x14ac:dyDescent="0.2">
      <c r="A627" t="s">
        <v>549</v>
      </c>
    </row>
    <row r="628" spans="1:1" x14ac:dyDescent="0.2">
      <c r="A628" t="s">
        <v>550</v>
      </c>
    </row>
    <row r="629" spans="1:1" x14ac:dyDescent="0.2">
      <c r="A629" t="s">
        <v>551</v>
      </c>
    </row>
    <row r="630" spans="1:1" x14ac:dyDescent="0.2">
      <c r="A630" t="s">
        <v>552</v>
      </c>
    </row>
    <row r="631" spans="1:1" x14ac:dyDescent="0.2">
      <c r="A631" t="s">
        <v>553</v>
      </c>
    </row>
    <row r="632" spans="1:1" x14ac:dyDescent="0.2">
      <c r="A632" t="s">
        <v>554</v>
      </c>
    </row>
    <row r="633" spans="1:1" x14ac:dyDescent="0.2">
      <c r="A633" t="s">
        <v>555</v>
      </c>
    </row>
    <row r="634" spans="1:1" x14ac:dyDescent="0.2">
      <c r="A634" t="s">
        <v>556</v>
      </c>
    </row>
    <row r="635" spans="1:1" x14ac:dyDescent="0.2">
      <c r="A635" t="s">
        <v>557</v>
      </c>
    </row>
    <row r="636" spans="1:1" x14ac:dyDescent="0.2">
      <c r="A636" t="s">
        <v>558</v>
      </c>
    </row>
    <row r="637" spans="1:1" x14ac:dyDescent="0.2">
      <c r="A637" t="s">
        <v>559</v>
      </c>
    </row>
    <row r="638" spans="1:1" x14ac:dyDescent="0.2">
      <c r="A638" t="s">
        <v>560</v>
      </c>
    </row>
    <row r="639" spans="1:1" x14ac:dyDescent="0.2">
      <c r="A639" t="s">
        <v>561</v>
      </c>
    </row>
    <row r="640" spans="1:1" x14ac:dyDescent="0.2">
      <c r="A640" t="s">
        <v>562</v>
      </c>
    </row>
    <row r="641" spans="1:1" x14ac:dyDescent="0.2">
      <c r="A641" t="s">
        <v>563</v>
      </c>
    </row>
    <row r="642" spans="1:1" x14ac:dyDescent="0.2">
      <c r="A642" t="s">
        <v>564</v>
      </c>
    </row>
    <row r="643" spans="1:1" x14ac:dyDescent="0.2">
      <c r="A643" t="s">
        <v>565</v>
      </c>
    </row>
    <row r="644" spans="1:1" x14ac:dyDescent="0.2">
      <c r="A644" t="s">
        <v>566</v>
      </c>
    </row>
    <row r="645" spans="1:1" x14ac:dyDescent="0.2">
      <c r="A645" t="s">
        <v>567</v>
      </c>
    </row>
    <row r="646" spans="1:1" x14ac:dyDescent="0.2">
      <c r="A646" t="s">
        <v>568</v>
      </c>
    </row>
    <row r="647" spans="1:1" x14ac:dyDescent="0.2">
      <c r="A647" t="s">
        <v>569</v>
      </c>
    </row>
    <row r="648" spans="1:1" x14ac:dyDescent="0.2">
      <c r="A648" t="s">
        <v>570</v>
      </c>
    </row>
    <row r="649" spans="1:1" x14ac:dyDescent="0.2">
      <c r="A649" t="s">
        <v>571</v>
      </c>
    </row>
    <row r="650" spans="1:1" x14ac:dyDescent="0.2">
      <c r="A650" t="s">
        <v>572</v>
      </c>
    </row>
    <row r="651" spans="1:1" hidden="1" x14ac:dyDescent="0.2">
      <c r="A651" t="s">
        <v>50</v>
      </c>
    </row>
    <row r="652" spans="1:1" hidden="1" x14ac:dyDescent="0.2"/>
    <row r="653" spans="1:1" hidden="1" x14ac:dyDescent="0.2">
      <c r="A653" t="s">
        <v>51</v>
      </c>
    </row>
    <row r="654" spans="1:1" hidden="1" x14ac:dyDescent="0.2">
      <c r="A654" t="s">
        <v>78</v>
      </c>
    </row>
    <row r="655" spans="1:1" hidden="1" x14ac:dyDescent="0.2">
      <c r="A655" t="s">
        <v>53</v>
      </c>
    </row>
    <row r="656" spans="1:1" hidden="1" x14ac:dyDescent="0.2">
      <c r="A656" t="s">
        <v>54</v>
      </c>
    </row>
    <row r="657" spans="1:1" x14ac:dyDescent="0.2">
      <c r="A657" t="s">
        <v>573</v>
      </c>
    </row>
    <row r="658" spans="1:1" x14ac:dyDescent="0.2">
      <c r="A658" t="s">
        <v>574</v>
      </c>
    </row>
    <row r="659" spans="1:1" x14ac:dyDescent="0.2">
      <c r="A659" t="s">
        <v>575</v>
      </c>
    </row>
    <row r="660" spans="1:1" x14ac:dyDescent="0.2">
      <c r="A660" t="s">
        <v>576</v>
      </c>
    </row>
    <row r="661" spans="1:1" x14ac:dyDescent="0.2">
      <c r="A661" t="s">
        <v>577</v>
      </c>
    </row>
    <row r="662" spans="1:1" x14ac:dyDescent="0.2">
      <c r="A662" t="s">
        <v>578</v>
      </c>
    </row>
    <row r="663" spans="1:1" hidden="1" x14ac:dyDescent="0.2">
      <c r="A663" t="s">
        <v>50</v>
      </c>
    </row>
    <row r="664" spans="1:1" hidden="1" x14ac:dyDescent="0.2"/>
    <row r="665" spans="1:1" hidden="1" x14ac:dyDescent="0.2">
      <c r="A665" t="s">
        <v>51</v>
      </c>
    </row>
    <row r="666" spans="1:1" hidden="1" x14ac:dyDescent="0.2">
      <c r="A666" t="s">
        <v>101</v>
      </c>
    </row>
    <row r="667" spans="1:1" hidden="1" x14ac:dyDescent="0.2">
      <c r="A667" t="s">
        <v>53</v>
      </c>
    </row>
    <row r="668" spans="1:1" hidden="1" x14ac:dyDescent="0.2">
      <c r="A668" t="s">
        <v>54</v>
      </c>
    </row>
    <row r="669" spans="1:1" x14ac:dyDescent="0.2">
      <c r="A669" t="s">
        <v>579</v>
      </c>
    </row>
    <row r="670" spans="1:1" x14ac:dyDescent="0.2">
      <c r="A670" t="s">
        <v>580</v>
      </c>
    </row>
    <row r="671" spans="1:1" x14ac:dyDescent="0.2">
      <c r="A671" t="s">
        <v>581</v>
      </c>
    </row>
    <row r="672" spans="1:1" x14ac:dyDescent="0.2">
      <c r="A672" t="s">
        <v>582</v>
      </c>
    </row>
    <row r="673" spans="1:1" x14ac:dyDescent="0.2">
      <c r="A673" t="s">
        <v>583</v>
      </c>
    </row>
    <row r="674" spans="1:1" x14ac:dyDescent="0.2">
      <c r="A674" t="s">
        <v>584</v>
      </c>
    </row>
    <row r="675" spans="1:1" x14ac:dyDescent="0.2">
      <c r="A675" t="s">
        <v>585</v>
      </c>
    </row>
    <row r="676" spans="1:1" hidden="1" x14ac:dyDescent="0.2">
      <c r="A676" t="s">
        <v>50</v>
      </c>
    </row>
    <row r="677" spans="1:1" hidden="1" x14ac:dyDescent="0.2"/>
    <row r="678" spans="1:1" hidden="1" x14ac:dyDescent="0.2">
      <c r="A678" t="s">
        <v>51</v>
      </c>
    </row>
    <row r="679" spans="1:1" hidden="1" x14ac:dyDescent="0.2">
      <c r="A679" t="s">
        <v>72</v>
      </c>
    </row>
    <row r="680" spans="1:1" hidden="1" x14ac:dyDescent="0.2">
      <c r="A680" t="s">
        <v>53</v>
      </c>
    </row>
    <row r="681" spans="1:1" hidden="1" x14ac:dyDescent="0.2">
      <c r="A681" t="s">
        <v>54</v>
      </c>
    </row>
    <row r="682" spans="1:1" x14ac:dyDescent="0.2">
      <c r="A682" t="s">
        <v>586</v>
      </c>
    </row>
    <row r="683" spans="1:1" x14ac:dyDescent="0.2">
      <c r="A683" t="s">
        <v>587</v>
      </c>
    </row>
    <row r="684" spans="1:1" x14ac:dyDescent="0.2">
      <c r="A684" t="s">
        <v>588</v>
      </c>
    </row>
    <row r="685" spans="1:1" x14ac:dyDescent="0.2">
      <c r="A685" t="s">
        <v>589</v>
      </c>
    </row>
    <row r="686" spans="1:1" x14ac:dyDescent="0.2">
      <c r="A686" t="s">
        <v>590</v>
      </c>
    </row>
    <row r="687" spans="1:1" hidden="1" x14ac:dyDescent="0.2">
      <c r="A687" t="s">
        <v>50</v>
      </c>
    </row>
    <row r="688" spans="1:1" hidden="1" x14ac:dyDescent="0.2"/>
    <row r="689" spans="1:1" hidden="1" x14ac:dyDescent="0.2">
      <c r="A689" t="s">
        <v>51</v>
      </c>
    </row>
    <row r="690" spans="1:1" hidden="1" x14ac:dyDescent="0.2">
      <c r="A690" t="s">
        <v>591</v>
      </c>
    </row>
    <row r="691" spans="1:1" hidden="1" x14ac:dyDescent="0.2">
      <c r="A691" t="s">
        <v>53</v>
      </c>
    </row>
    <row r="692" spans="1:1" hidden="1" x14ac:dyDescent="0.2">
      <c r="A692" t="s">
        <v>54</v>
      </c>
    </row>
    <row r="693" spans="1:1" x14ac:dyDescent="0.2">
      <c r="A693" t="s">
        <v>592</v>
      </c>
    </row>
    <row r="694" spans="1:1" hidden="1" x14ac:dyDescent="0.2">
      <c r="A694" t="s">
        <v>50</v>
      </c>
    </row>
    <row r="695" spans="1:1" hidden="1" x14ac:dyDescent="0.2"/>
    <row r="696" spans="1:1" hidden="1" x14ac:dyDescent="0.2">
      <c r="A696" t="s">
        <v>51</v>
      </c>
    </row>
    <row r="697" spans="1:1" hidden="1" x14ac:dyDescent="0.2">
      <c r="A697" t="s">
        <v>593</v>
      </c>
    </row>
    <row r="698" spans="1:1" hidden="1" x14ac:dyDescent="0.2">
      <c r="A698" t="s">
        <v>53</v>
      </c>
    </row>
    <row r="699" spans="1:1" hidden="1" x14ac:dyDescent="0.2">
      <c r="A699" t="s">
        <v>54</v>
      </c>
    </row>
    <row r="700" spans="1:1" x14ac:dyDescent="0.2">
      <c r="A700" t="s">
        <v>594</v>
      </c>
    </row>
    <row r="701" spans="1:1" x14ac:dyDescent="0.2">
      <c r="A701" t="s">
        <v>595</v>
      </c>
    </row>
    <row r="702" spans="1:1" x14ac:dyDescent="0.2">
      <c r="A702" t="s">
        <v>596</v>
      </c>
    </row>
    <row r="703" spans="1:1" x14ac:dyDescent="0.2">
      <c r="A703" t="s">
        <v>597</v>
      </c>
    </row>
    <row r="704" spans="1:1" x14ac:dyDescent="0.2">
      <c r="A704" t="s">
        <v>598</v>
      </c>
    </row>
    <row r="705" spans="1:1" x14ac:dyDescent="0.2">
      <c r="A705" t="s">
        <v>599</v>
      </c>
    </row>
    <row r="706" spans="1:1" x14ac:dyDescent="0.2">
      <c r="A706" t="s">
        <v>600</v>
      </c>
    </row>
    <row r="707" spans="1:1" x14ac:dyDescent="0.2">
      <c r="A707" t="s">
        <v>601</v>
      </c>
    </row>
    <row r="708" spans="1:1" x14ac:dyDescent="0.2">
      <c r="A708" t="s">
        <v>602</v>
      </c>
    </row>
    <row r="709" spans="1:1" hidden="1" x14ac:dyDescent="0.2">
      <c r="A709" t="s">
        <v>50</v>
      </c>
    </row>
    <row r="710" spans="1:1" hidden="1" x14ac:dyDescent="0.2"/>
    <row r="711" spans="1:1" hidden="1" x14ac:dyDescent="0.2">
      <c r="A711" t="s">
        <v>51</v>
      </c>
    </row>
    <row r="712" spans="1:1" hidden="1" x14ac:dyDescent="0.2">
      <c r="A712" t="s">
        <v>603</v>
      </c>
    </row>
    <row r="713" spans="1:1" hidden="1" x14ac:dyDescent="0.2">
      <c r="A713" t="s">
        <v>53</v>
      </c>
    </row>
    <row r="714" spans="1:1" hidden="1" x14ac:dyDescent="0.2">
      <c r="A714" t="s">
        <v>54</v>
      </c>
    </row>
    <row r="715" spans="1:1" x14ac:dyDescent="0.2">
      <c r="A715" t="s">
        <v>604</v>
      </c>
    </row>
    <row r="716" spans="1:1" x14ac:dyDescent="0.2">
      <c r="A716" t="s">
        <v>605</v>
      </c>
    </row>
    <row r="717" spans="1:1" x14ac:dyDescent="0.2">
      <c r="A717" t="s">
        <v>606</v>
      </c>
    </row>
    <row r="718" spans="1:1" x14ac:dyDescent="0.2">
      <c r="A718" t="s">
        <v>607</v>
      </c>
    </row>
    <row r="719" spans="1:1" x14ac:dyDescent="0.2">
      <c r="A719" t="s">
        <v>608</v>
      </c>
    </row>
    <row r="720" spans="1:1" x14ac:dyDescent="0.2">
      <c r="A720" t="s">
        <v>609</v>
      </c>
    </row>
    <row r="721" spans="1:1" x14ac:dyDescent="0.2">
      <c r="A721" t="s">
        <v>610</v>
      </c>
    </row>
    <row r="722" spans="1:1" x14ac:dyDescent="0.2">
      <c r="A722" t="s">
        <v>611</v>
      </c>
    </row>
    <row r="723" spans="1:1" x14ac:dyDescent="0.2">
      <c r="A723" t="s">
        <v>612</v>
      </c>
    </row>
    <row r="724" spans="1:1" x14ac:dyDescent="0.2">
      <c r="A724" t="s">
        <v>613</v>
      </c>
    </row>
    <row r="725" spans="1:1" x14ac:dyDescent="0.2">
      <c r="A725" t="s">
        <v>614</v>
      </c>
    </row>
    <row r="726" spans="1:1" x14ac:dyDescent="0.2">
      <c r="A726" t="s">
        <v>615</v>
      </c>
    </row>
    <row r="727" spans="1:1" x14ac:dyDescent="0.2">
      <c r="A727" t="s">
        <v>616</v>
      </c>
    </row>
    <row r="728" spans="1:1" x14ac:dyDescent="0.2">
      <c r="A728" t="s">
        <v>617</v>
      </c>
    </row>
    <row r="729" spans="1:1" x14ac:dyDescent="0.2">
      <c r="A729" t="s">
        <v>618</v>
      </c>
    </row>
    <row r="730" spans="1:1" x14ac:dyDescent="0.2">
      <c r="A730" t="s">
        <v>619</v>
      </c>
    </row>
    <row r="731" spans="1:1" x14ac:dyDescent="0.2">
      <c r="A731" t="s">
        <v>620</v>
      </c>
    </row>
    <row r="732" spans="1:1" x14ac:dyDescent="0.2">
      <c r="A732" t="s">
        <v>621</v>
      </c>
    </row>
    <row r="733" spans="1:1" x14ac:dyDescent="0.2">
      <c r="A733" t="s">
        <v>622</v>
      </c>
    </row>
    <row r="734" spans="1:1" x14ac:dyDescent="0.2">
      <c r="A734" t="s">
        <v>623</v>
      </c>
    </row>
    <row r="735" spans="1:1" x14ac:dyDescent="0.2">
      <c r="A735" t="s">
        <v>624</v>
      </c>
    </row>
    <row r="736" spans="1:1" x14ac:dyDescent="0.2">
      <c r="A736" t="s">
        <v>625</v>
      </c>
    </row>
    <row r="737" spans="1:1" hidden="1" x14ac:dyDescent="0.2">
      <c r="A737" t="s">
        <v>50</v>
      </c>
    </row>
    <row r="738" spans="1:1" hidden="1" x14ac:dyDescent="0.2"/>
    <row r="739" spans="1:1" hidden="1" x14ac:dyDescent="0.2">
      <c r="A739" t="s">
        <v>51</v>
      </c>
    </row>
    <row r="740" spans="1:1" hidden="1" x14ac:dyDescent="0.2">
      <c r="A740" t="s">
        <v>591</v>
      </c>
    </row>
    <row r="741" spans="1:1" hidden="1" x14ac:dyDescent="0.2">
      <c r="A741" t="s">
        <v>53</v>
      </c>
    </row>
    <row r="742" spans="1:1" hidden="1" x14ac:dyDescent="0.2">
      <c r="A742" t="s">
        <v>54</v>
      </c>
    </row>
    <row r="743" spans="1:1" x14ac:dyDescent="0.2">
      <c r="A743" t="s">
        <v>626</v>
      </c>
    </row>
    <row r="744" spans="1:1" hidden="1" x14ac:dyDescent="0.2">
      <c r="A744" t="s">
        <v>50</v>
      </c>
    </row>
    <row r="745" spans="1:1" hidden="1" x14ac:dyDescent="0.2"/>
    <row r="746" spans="1:1" hidden="1" x14ac:dyDescent="0.2">
      <c r="A746" t="s">
        <v>51</v>
      </c>
    </row>
    <row r="747" spans="1:1" hidden="1" x14ac:dyDescent="0.2">
      <c r="A747" t="s">
        <v>529</v>
      </c>
    </row>
    <row r="748" spans="1:1" hidden="1" x14ac:dyDescent="0.2">
      <c r="A748" t="s">
        <v>53</v>
      </c>
    </row>
    <row r="749" spans="1:1" hidden="1" x14ac:dyDescent="0.2">
      <c r="A749" t="s">
        <v>54</v>
      </c>
    </row>
    <row r="750" spans="1:1" x14ac:dyDescent="0.2">
      <c r="A750" t="s">
        <v>627</v>
      </c>
    </row>
    <row r="751" spans="1:1" x14ac:dyDescent="0.2">
      <c r="A751" t="s">
        <v>628</v>
      </c>
    </row>
    <row r="752" spans="1:1" x14ac:dyDescent="0.2">
      <c r="A752" t="s">
        <v>629</v>
      </c>
    </row>
    <row r="753" spans="1:1" x14ac:dyDescent="0.2">
      <c r="A753" t="s">
        <v>630</v>
      </c>
    </row>
    <row r="754" spans="1:1" x14ac:dyDescent="0.2">
      <c r="A754" t="s">
        <v>631</v>
      </c>
    </row>
    <row r="755" spans="1:1" x14ac:dyDescent="0.2">
      <c r="A755" t="s">
        <v>632</v>
      </c>
    </row>
    <row r="756" spans="1:1" x14ac:dyDescent="0.2">
      <c r="A756" t="s">
        <v>633</v>
      </c>
    </row>
    <row r="757" spans="1:1" x14ac:dyDescent="0.2">
      <c r="A757" t="s">
        <v>634</v>
      </c>
    </row>
    <row r="758" spans="1:1" x14ac:dyDescent="0.2">
      <c r="A758" t="s">
        <v>635</v>
      </c>
    </row>
    <row r="759" spans="1:1" x14ac:dyDescent="0.2">
      <c r="A759" t="s">
        <v>636</v>
      </c>
    </row>
    <row r="760" spans="1:1" hidden="1" x14ac:dyDescent="0.2">
      <c r="A760" t="s">
        <v>50</v>
      </c>
    </row>
    <row r="761" spans="1:1" hidden="1" x14ac:dyDescent="0.2"/>
    <row r="762" spans="1:1" hidden="1" x14ac:dyDescent="0.2">
      <c r="A762" t="s">
        <v>51</v>
      </c>
    </row>
    <row r="763" spans="1:1" hidden="1" x14ac:dyDescent="0.2">
      <c r="A763" t="s">
        <v>529</v>
      </c>
    </row>
    <row r="764" spans="1:1" hidden="1" x14ac:dyDescent="0.2">
      <c r="A764" t="s">
        <v>53</v>
      </c>
    </row>
    <row r="765" spans="1:1" hidden="1" x14ac:dyDescent="0.2">
      <c r="A765" t="s">
        <v>54</v>
      </c>
    </row>
    <row r="766" spans="1:1" x14ac:dyDescent="0.2">
      <c r="A766" t="s">
        <v>637</v>
      </c>
    </row>
    <row r="767" spans="1:1" x14ac:dyDescent="0.2">
      <c r="A767" t="s">
        <v>638</v>
      </c>
    </row>
    <row r="768" spans="1:1" x14ac:dyDescent="0.2">
      <c r="A768" t="s">
        <v>639</v>
      </c>
    </row>
    <row r="769" spans="1:1" x14ac:dyDescent="0.2">
      <c r="A769" t="s">
        <v>640</v>
      </c>
    </row>
    <row r="770" spans="1:1" x14ac:dyDescent="0.2">
      <c r="A770" t="s">
        <v>641</v>
      </c>
    </row>
    <row r="771" spans="1:1" x14ac:dyDescent="0.2">
      <c r="A771" t="s">
        <v>642</v>
      </c>
    </row>
    <row r="772" spans="1:1" x14ac:dyDescent="0.2">
      <c r="A772" t="s">
        <v>643</v>
      </c>
    </row>
    <row r="773" spans="1:1" x14ac:dyDescent="0.2">
      <c r="A773" t="s">
        <v>644</v>
      </c>
    </row>
    <row r="774" spans="1:1" x14ac:dyDescent="0.2">
      <c r="A774" t="s">
        <v>645</v>
      </c>
    </row>
    <row r="775" spans="1:1" x14ac:dyDescent="0.2">
      <c r="A775" t="s">
        <v>646</v>
      </c>
    </row>
    <row r="776" spans="1:1" hidden="1" x14ac:dyDescent="0.2">
      <c r="A776" t="s">
        <v>50</v>
      </c>
    </row>
    <row r="777" spans="1:1" hidden="1" x14ac:dyDescent="0.2"/>
    <row r="778" spans="1:1" hidden="1" x14ac:dyDescent="0.2">
      <c r="A778" t="s">
        <v>51</v>
      </c>
    </row>
    <row r="779" spans="1:1" hidden="1" x14ac:dyDescent="0.2">
      <c r="A779" t="s">
        <v>498</v>
      </c>
    </row>
    <row r="780" spans="1:1" hidden="1" x14ac:dyDescent="0.2">
      <c r="A780" t="s">
        <v>53</v>
      </c>
    </row>
    <row r="781" spans="1:1" hidden="1" x14ac:dyDescent="0.2">
      <c r="A781" t="s">
        <v>54</v>
      </c>
    </row>
    <row r="782" spans="1:1" x14ac:dyDescent="0.2">
      <c r="A782" t="s">
        <v>647</v>
      </c>
    </row>
    <row r="783" spans="1:1" x14ac:dyDescent="0.2">
      <c r="A783" t="s">
        <v>648</v>
      </c>
    </row>
    <row r="784" spans="1:1" x14ac:dyDescent="0.2">
      <c r="A784" t="s">
        <v>649</v>
      </c>
    </row>
    <row r="785" spans="1:1" x14ac:dyDescent="0.2">
      <c r="A785" t="s">
        <v>650</v>
      </c>
    </row>
    <row r="786" spans="1:1" x14ac:dyDescent="0.2">
      <c r="A786" t="s">
        <v>651</v>
      </c>
    </row>
    <row r="787" spans="1:1" x14ac:dyDescent="0.2">
      <c r="A787" t="s">
        <v>652</v>
      </c>
    </row>
    <row r="788" spans="1:1" x14ac:dyDescent="0.2">
      <c r="A788" t="s">
        <v>653</v>
      </c>
    </row>
    <row r="789" spans="1:1" x14ac:dyDescent="0.2">
      <c r="A789" t="s">
        <v>654</v>
      </c>
    </row>
    <row r="790" spans="1:1" x14ac:dyDescent="0.2">
      <c r="A790" t="s">
        <v>655</v>
      </c>
    </row>
    <row r="791" spans="1:1" x14ac:dyDescent="0.2">
      <c r="A791" t="s">
        <v>656</v>
      </c>
    </row>
    <row r="792" spans="1:1" x14ac:dyDescent="0.2">
      <c r="A792" t="s">
        <v>657</v>
      </c>
    </row>
    <row r="793" spans="1:1" x14ac:dyDescent="0.2">
      <c r="A793" t="s">
        <v>658</v>
      </c>
    </row>
    <row r="794" spans="1:1" x14ac:dyDescent="0.2">
      <c r="A794" t="s">
        <v>659</v>
      </c>
    </row>
    <row r="795" spans="1:1" x14ac:dyDescent="0.2">
      <c r="A795" t="s">
        <v>660</v>
      </c>
    </row>
    <row r="796" spans="1:1" x14ac:dyDescent="0.2">
      <c r="A796" t="s">
        <v>661</v>
      </c>
    </row>
    <row r="797" spans="1:1" x14ac:dyDescent="0.2">
      <c r="A797" t="s">
        <v>662</v>
      </c>
    </row>
    <row r="798" spans="1:1" x14ac:dyDescent="0.2">
      <c r="A798" t="s">
        <v>663</v>
      </c>
    </row>
    <row r="799" spans="1:1" x14ac:dyDescent="0.2">
      <c r="A799" t="s">
        <v>664</v>
      </c>
    </row>
    <row r="800" spans="1:1" hidden="1" x14ac:dyDescent="0.2">
      <c r="A800" t="s">
        <v>50</v>
      </c>
    </row>
    <row r="801" spans="1:1" hidden="1" x14ac:dyDescent="0.2"/>
    <row r="802" spans="1:1" hidden="1" x14ac:dyDescent="0.2">
      <c r="A802" t="s">
        <v>51</v>
      </c>
    </row>
    <row r="803" spans="1:1" hidden="1" x14ac:dyDescent="0.2">
      <c r="A803" t="s">
        <v>78</v>
      </c>
    </row>
    <row r="804" spans="1:1" hidden="1" x14ac:dyDescent="0.2">
      <c r="A804" t="s">
        <v>53</v>
      </c>
    </row>
    <row r="805" spans="1:1" hidden="1" x14ac:dyDescent="0.2">
      <c r="A805" t="s">
        <v>54</v>
      </c>
    </row>
    <row r="806" spans="1:1" x14ac:dyDescent="0.2">
      <c r="A806" t="s">
        <v>665</v>
      </c>
    </row>
    <row r="807" spans="1:1" x14ac:dyDescent="0.2">
      <c r="A807" t="s">
        <v>666</v>
      </c>
    </row>
    <row r="808" spans="1:1" x14ac:dyDescent="0.2">
      <c r="A808" t="s">
        <v>667</v>
      </c>
    </row>
    <row r="809" spans="1:1" x14ac:dyDescent="0.2">
      <c r="A809" t="s">
        <v>668</v>
      </c>
    </row>
    <row r="810" spans="1:1" x14ac:dyDescent="0.2">
      <c r="A810" t="s">
        <v>669</v>
      </c>
    </row>
    <row r="811" spans="1:1" x14ac:dyDescent="0.2">
      <c r="A811" t="s">
        <v>670</v>
      </c>
    </row>
    <row r="812" spans="1:1" hidden="1" x14ac:dyDescent="0.2">
      <c r="A812" t="s">
        <v>50</v>
      </c>
    </row>
    <row r="813" spans="1:1" hidden="1" x14ac:dyDescent="0.2"/>
    <row r="814" spans="1:1" hidden="1" x14ac:dyDescent="0.2">
      <c r="A814" t="s">
        <v>51</v>
      </c>
    </row>
    <row r="815" spans="1:1" hidden="1" x14ac:dyDescent="0.2">
      <c r="A815" t="s">
        <v>671</v>
      </c>
    </row>
    <row r="816" spans="1:1" hidden="1" x14ac:dyDescent="0.2">
      <c r="A816" t="s">
        <v>53</v>
      </c>
    </row>
    <row r="817" spans="1:1" hidden="1" x14ac:dyDescent="0.2">
      <c r="A817" t="s">
        <v>54</v>
      </c>
    </row>
    <row r="818" spans="1:1" x14ac:dyDescent="0.2">
      <c r="A818" t="s">
        <v>672</v>
      </c>
    </row>
    <row r="819" spans="1:1" x14ac:dyDescent="0.2">
      <c r="A819" t="s">
        <v>673</v>
      </c>
    </row>
    <row r="820" spans="1:1" x14ac:dyDescent="0.2">
      <c r="A820" t="s">
        <v>674</v>
      </c>
    </row>
    <row r="821" spans="1:1" x14ac:dyDescent="0.2">
      <c r="A821" t="s">
        <v>675</v>
      </c>
    </row>
    <row r="822" spans="1:1" x14ac:dyDescent="0.2">
      <c r="A822" t="s">
        <v>676</v>
      </c>
    </row>
    <row r="823" spans="1:1" x14ac:dyDescent="0.2">
      <c r="A823" t="s">
        <v>677</v>
      </c>
    </row>
    <row r="824" spans="1:1" x14ac:dyDescent="0.2">
      <c r="A824" t="s">
        <v>678</v>
      </c>
    </row>
    <row r="825" spans="1:1" x14ac:dyDescent="0.2">
      <c r="A825" t="s">
        <v>679</v>
      </c>
    </row>
    <row r="826" spans="1:1" x14ac:dyDescent="0.2">
      <c r="A826" t="s">
        <v>680</v>
      </c>
    </row>
    <row r="827" spans="1:1" x14ac:dyDescent="0.2">
      <c r="A827" t="s">
        <v>681</v>
      </c>
    </row>
    <row r="828" spans="1:1" x14ac:dyDescent="0.2">
      <c r="A828" t="s">
        <v>682</v>
      </c>
    </row>
    <row r="829" spans="1:1" x14ac:dyDescent="0.2">
      <c r="A829" t="s">
        <v>683</v>
      </c>
    </row>
    <row r="830" spans="1:1" hidden="1" x14ac:dyDescent="0.2">
      <c r="A830" t="s">
        <v>50</v>
      </c>
    </row>
    <row r="831" spans="1:1" hidden="1" x14ac:dyDescent="0.2"/>
    <row r="832" spans="1:1" hidden="1" x14ac:dyDescent="0.2">
      <c r="A832" t="s">
        <v>51</v>
      </c>
    </row>
    <row r="833" spans="1:1" hidden="1" x14ac:dyDescent="0.2">
      <c r="A833" t="s">
        <v>684</v>
      </c>
    </row>
    <row r="834" spans="1:1" hidden="1" x14ac:dyDescent="0.2">
      <c r="A834" t="s">
        <v>53</v>
      </c>
    </row>
    <row r="835" spans="1:1" hidden="1" x14ac:dyDescent="0.2">
      <c r="A835" t="s">
        <v>54</v>
      </c>
    </row>
    <row r="836" spans="1:1" x14ac:dyDescent="0.2">
      <c r="A836" t="s">
        <v>685</v>
      </c>
    </row>
    <row r="837" spans="1:1" x14ac:dyDescent="0.2">
      <c r="A837" t="s">
        <v>686</v>
      </c>
    </row>
    <row r="838" spans="1:1" x14ac:dyDescent="0.2">
      <c r="A838" t="s">
        <v>687</v>
      </c>
    </row>
    <row r="839" spans="1:1" hidden="1" x14ac:dyDescent="0.2">
      <c r="A839" t="s">
        <v>50</v>
      </c>
    </row>
    <row r="840" spans="1:1" hidden="1" x14ac:dyDescent="0.2"/>
    <row r="841" spans="1:1" hidden="1" x14ac:dyDescent="0.2">
      <c r="A841" t="s">
        <v>51</v>
      </c>
    </row>
    <row r="842" spans="1:1" hidden="1" x14ac:dyDescent="0.2">
      <c r="A842" t="s">
        <v>471</v>
      </c>
    </row>
    <row r="843" spans="1:1" hidden="1" x14ac:dyDescent="0.2">
      <c r="A843" t="s">
        <v>53</v>
      </c>
    </row>
    <row r="844" spans="1:1" hidden="1" x14ac:dyDescent="0.2">
      <c r="A844" t="s">
        <v>54</v>
      </c>
    </row>
    <row r="845" spans="1:1" x14ac:dyDescent="0.2">
      <c r="A845" t="s">
        <v>688</v>
      </c>
    </row>
    <row r="846" spans="1:1" x14ac:dyDescent="0.2">
      <c r="A846" t="s">
        <v>689</v>
      </c>
    </row>
    <row r="847" spans="1:1" hidden="1" x14ac:dyDescent="0.2">
      <c r="A847" t="s">
        <v>50</v>
      </c>
    </row>
    <row r="848" spans="1:1" hidden="1" x14ac:dyDescent="0.2"/>
    <row r="849" spans="1:1" hidden="1" x14ac:dyDescent="0.2">
      <c r="A849" t="s">
        <v>51</v>
      </c>
    </row>
    <row r="850" spans="1:1" hidden="1" x14ac:dyDescent="0.2">
      <c r="A850" t="s">
        <v>351</v>
      </c>
    </row>
    <row r="851" spans="1:1" hidden="1" x14ac:dyDescent="0.2">
      <c r="A851" t="s">
        <v>53</v>
      </c>
    </row>
    <row r="852" spans="1:1" hidden="1" x14ac:dyDescent="0.2">
      <c r="A852" t="s">
        <v>54</v>
      </c>
    </row>
    <row r="853" spans="1:1" x14ac:dyDescent="0.2">
      <c r="A853" t="s">
        <v>690</v>
      </c>
    </row>
    <row r="854" spans="1:1" x14ac:dyDescent="0.2">
      <c r="A854" t="s">
        <v>691</v>
      </c>
    </row>
    <row r="855" spans="1:1" x14ac:dyDescent="0.2">
      <c r="A855" t="s">
        <v>692</v>
      </c>
    </row>
    <row r="856" spans="1:1" x14ac:dyDescent="0.2">
      <c r="A856" t="s">
        <v>693</v>
      </c>
    </row>
    <row r="857" spans="1:1" x14ac:dyDescent="0.2">
      <c r="A857" t="s">
        <v>694</v>
      </c>
    </row>
    <row r="858" spans="1:1" x14ac:dyDescent="0.2">
      <c r="A858" t="s">
        <v>695</v>
      </c>
    </row>
    <row r="859" spans="1:1" x14ac:dyDescent="0.2">
      <c r="A859" t="s">
        <v>696</v>
      </c>
    </row>
    <row r="860" spans="1:1" x14ac:dyDescent="0.2">
      <c r="A860" t="s">
        <v>697</v>
      </c>
    </row>
    <row r="861" spans="1:1" x14ac:dyDescent="0.2">
      <c r="A861" t="s">
        <v>698</v>
      </c>
    </row>
    <row r="862" spans="1:1" x14ac:dyDescent="0.2">
      <c r="A862" t="s">
        <v>699</v>
      </c>
    </row>
    <row r="863" spans="1:1" x14ac:dyDescent="0.2">
      <c r="A863" t="s">
        <v>700</v>
      </c>
    </row>
    <row r="864" spans="1:1" x14ac:dyDescent="0.2">
      <c r="A864" t="s">
        <v>701</v>
      </c>
    </row>
    <row r="865" spans="1:1" x14ac:dyDescent="0.2">
      <c r="A865" t="s">
        <v>702</v>
      </c>
    </row>
    <row r="866" spans="1:1" x14ac:dyDescent="0.2">
      <c r="A866" t="s">
        <v>703</v>
      </c>
    </row>
    <row r="867" spans="1:1" x14ac:dyDescent="0.2">
      <c r="A867" t="s">
        <v>704</v>
      </c>
    </row>
    <row r="868" spans="1:1" x14ac:dyDescent="0.2">
      <c r="A868" t="s">
        <v>705</v>
      </c>
    </row>
    <row r="869" spans="1:1" x14ac:dyDescent="0.2">
      <c r="A869" t="s">
        <v>706</v>
      </c>
    </row>
    <row r="870" spans="1:1" x14ac:dyDescent="0.2">
      <c r="A870" t="s">
        <v>707</v>
      </c>
    </row>
    <row r="871" spans="1:1" x14ac:dyDescent="0.2">
      <c r="A871" t="s">
        <v>708</v>
      </c>
    </row>
    <row r="872" spans="1:1" x14ac:dyDescent="0.2">
      <c r="A872" t="s">
        <v>709</v>
      </c>
    </row>
    <row r="873" spans="1:1" x14ac:dyDescent="0.2">
      <c r="A873" t="s">
        <v>710</v>
      </c>
    </row>
    <row r="874" spans="1:1" x14ac:dyDescent="0.2">
      <c r="A874" t="s">
        <v>711</v>
      </c>
    </row>
    <row r="875" spans="1:1" x14ac:dyDescent="0.2">
      <c r="A875" t="s">
        <v>712</v>
      </c>
    </row>
    <row r="876" spans="1:1" x14ac:dyDescent="0.2">
      <c r="A876" t="s">
        <v>713</v>
      </c>
    </row>
    <row r="877" spans="1:1" x14ac:dyDescent="0.2">
      <c r="A877" t="s">
        <v>714</v>
      </c>
    </row>
    <row r="878" spans="1:1" x14ac:dyDescent="0.2">
      <c r="A878" t="s">
        <v>715</v>
      </c>
    </row>
    <row r="879" spans="1:1" x14ac:dyDescent="0.2">
      <c r="A879" t="s">
        <v>716</v>
      </c>
    </row>
    <row r="880" spans="1:1" hidden="1" x14ac:dyDescent="0.2">
      <c r="A880" t="s">
        <v>50</v>
      </c>
    </row>
    <row r="881" spans="1:1" hidden="1" x14ac:dyDescent="0.2"/>
    <row r="882" spans="1:1" hidden="1" x14ac:dyDescent="0.2">
      <c r="A882" t="s">
        <v>51</v>
      </c>
    </row>
    <row r="883" spans="1:1" hidden="1" x14ac:dyDescent="0.2">
      <c r="A883" t="s">
        <v>684</v>
      </c>
    </row>
    <row r="884" spans="1:1" hidden="1" x14ac:dyDescent="0.2">
      <c r="A884" t="s">
        <v>53</v>
      </c>
    </row>
    <row r="885" spans="1:1" hidden="1" x14ac:dyDescent="0.2">
      <c r="A885" t="s">
        <v>54</v>
      </c>
    </row>
    <row r="886" spans="1:1" x14ac:dyDescent="0.2">
      <c r="A886" t="s">
        <v>717</v>
      </c>
    </row>
    <row r="887" spans="1:1" x14ac:dyDescent="0.2">
      <c r="A887" t="s">
        <v>718</v>
      </c>
    </row>
    <row r="888" spans="1:1" x14ac:dyDescent="0.2">
      <c r="A888" t="s">
        <v>719</v>
      </c>
    </row>
    <row r="889" spans="1:1" hidden="1" x14ac:dyDescent="0.2">
      <c r="A889" t="s">
        <v>50</v>
      </c>
    </row>
    <row r="890" spans="1:1" hidden="1" x14ac:dyDescent="0.2"/>
    <row r="891" spans="1:1" hidden="1" x14ac:dyDescent="0.2">
      <c r="A891" t="s">
        <v>51</v>
      </c>
    </row>
    <row r="892" spans="1:1" hidden="1" x14ac:dyDescent="0.2">
      <c r="A892" t="s">
        <v>591</v>
      </c>
    </row>
    <row r="893" spans="1:1" hidden="1" x14ac:dyDescent="0.2">
      <c r="A893" t="s">
        <v>53</v>
      </c>
    </row>
    <row r="894" spans="1:1" hidden="1" x14ac:dyDescent="0.2">
      <c r="A894" t="s">
        <v>54</v>
      </c>
    </row>
    <row r="895" spans="1:1" x14ac:dyDescent="0.2">
      <c r="A895" t="s">
        <v>720</v>
      </c>
    </row>
    <row r="896" spans="1:1" hidden="1" x14ac:dyDescent="0.2">
      <c r="A896" t="s">
        <v>50</v>
      </c>
    </row>
    <row r="897" spans="1:1" hidden="1" x14ac:dyDescent="0.2"/>
    <row r="898" spans="1:1" hidden="1" x14ac:dyDescent="0.2">
      <c r="A898" t="s">
        <v>51</v>
      </c>
    </row>
    <row r="899" spans="1:1" hidden="1" x14ac:dyDescent="0.2">
      <c r="A899" t="s">
        <v>78</v>
      </c>
    </row>
    <row r="900" spans="1:1" hidden="1" x14ac:dyDescent="0.2">
      <c r="A900" t="s">
        <v>53</v>
      </c>
    </row>
    <row r="901" spans="1:1" hidden="1" x14ac:dyDescent="0.2">
      <c r="A901" t="s">
        <v>54</v>
      </c>
    </row>
    <row r="902" spans="1:1" x14ac:dyDescent="0.2">
      <c r="A902" t="s">
        <v>721</v>
      </c>
    </row>
    <row r="903" spans="1:1" x14ac:dyDescent="0.2">
      <c r="A903" t="s">
        <v>722</v>
      </c>
    </row>
    <row r="904" spans="1:1" x14ac:dyDescent="0.2">
      <c r="A904" t="s">
        <v>723</v>
      </c>
    </row>
    <row r="905" spans="1:1" x14ac:dyDescent="0.2">
      <c r="A905" t="s">
        <v>724</v>
      </c>
    </row>
    <row r="906" spans="1:1" x14ac:dyDescent="0.2">
      <c r="A906" t="s">
        <v>725</v>
      </c>
    </row>
    <row r="907" spans="1:1" x14ac:dyDescent="0.2">
      <c r="A907" t="s">
        <v>726</v>
      </c>
    </row>
    <row r="908" spans="1:1" hidden="1" x14ac:dyDescent="0.2">
      <c r="A908" t="s">
        <v>50</v>
      </c>
    </row>
    <row r="909" spans="1:1" hidden="1" x14ac:dyDescent="0.2"/>
    <row r="910" spans="1:1" hidden="1" x14ac:dyDescent="0.2">
      <c r="A910" t="s">
        <v>51</v>
      </c>
    </row>
    <row r="911" spans="1:1" hidden="1" x14ac:dyDescent="0.2">
      <c r="A911" t="s">
        <v>684</v>
      </c>
    </row>
    <row r="912" spans="1:1" hidden="1" x14ac:dyDescent="0.2">
      <c r="A912" t="s">
        <v>53</v>
      </c>
    </row>
    <row r="913" spans="1:1" hidden="1" x14ac:dyDescent="0.2">
      <c r="A913" t="s">
        <v>54</v>
      </c>
    </row>
    <row r="914" spans="1:1" x14ac:dyDescent="0.2">
      <c r="A914" t="s">
        <v>727</v>
      </c>
    </row>
    <row r="915" spans="1:1" x14ac:dyDescent="0.2">
      <c r="A915" t="s">
        <v>728</v>
      </c>
    </row>
    <row r="916" spans="1:1" x14ac:dyDescent="0.2">
      <c r="A916" t="s">
        <v>729</v>
      </c>
    </row>
    <row r="917" spans="1:1" hidden="1" x14ac:dyDescent="0.2">
      <c r="A917" t="s">
        <v>50</v>
      </c>
    </row>
    <row r="918" spans="1:1" hidden="1" x14ac:dyDescent="0.2"/>
    <row r="919" spans="1:1" hidden="1" x14ac:dyDescent="0.2">
      <c r="A919" t="s">
        <v>51</v>
      </c>
    </row>
    <row r="920" spans="1:1" hidden="1" x14ac:dyDescent="0.2">
      <c r="A920" t="s">
        <v>529</v>
      </c>
    </row>
    <row r="921" spans="1:1" hidden="1" x14ac:dyDescent="0.2">
      <c r="A921" t="s">
        <v>53</v>
      </c>
    </row>
    <row r="922" spans="1:1" hidden="1" x14ac:dyDescent="0.2">
      <c r="A922" t="s">
        <v>54</v>
      </c>
    </row>
    <row r="923" spans="1:1" x14ac:dyDescent="0.2">
      <c r="A923" t="s">
        <v>730</v>
      </c>
    </row>
    <row r="924" spans="1:1" x14ac:dyDescent="0.2">
      <c r="A924" t="s">
        <v>731</v>
      </c>
    </row>
    <row r="925" spans="1:1" x14ac:dyDescent="0.2">
      <c r="A925" t="s">
        <v>732</v>
      </c>
    </row>
    <row r="926" spans="1:1" x14ac:dyDescent="0.2">
      <c r="A926" t="s">
        <v>733</v>
      </c>
    </row>
    <row r="927" spans="1:1" x14ac:dyDescent="0.2">
      <c r="A927" t="s">
        <v>734</v>
      </c>
    </row>
    <row r="928" spans="1:1" x14ac:dyDescent="0.2">
      <c r="A928" t="s">
        <v>735</v>
      </c>
    </row>
    <row r="929" spans="1:1" x14ac:dyDescent="0.2">
      <c r="A929" t="s">
        <v>736</v>
      </c>
    </row>
    <row r="930" spans="1:1" x14ac:dyDescent="0.2">
      <c r="A930" t="s">
        <v>737</v>
      </c>
    </row>
    <row r="931" spans="1:1" x14ac:dyDescent="0.2">
      <c r="A931" t="s">
        <v>738</v>
      </c>
    </row>
    <row r="932" spans="1:1" x14ac:dyDescent="0.2">
      <c r="A932" t="s">
        <v>739</v>
      </c>
    </row>
    <row r="933" spans="1:1" hidden="1" x14ac:dyDescent="0.2">
      <c r="A933" t="s">
        <v>50</v>
      </c>
    </row>
    <row r="934" spans="1:1" hidden="1" x14ac:dyDescent="0.2"/>
    <row r="935" spans="1:1" hidden="1" x14ac:dyDescent="0.2">
      <c r="A935" t="s">
        <v>51</v>
      </c>
    </row>
    <row r="936" spans="1:1" hidden="1" x14ac:dyDescent="0.2">
      <c r="A936" t="s">
        <v>684</v>
      </c>
    </row>
    <row r="937" spans="1:1" hidden="1" x14ac:dyDescent="0.2">
      <c r="A937" t="s">
        <v>53</v>
      </c>
    </row>
    <row r="938" spans="1:1" hidden="1" x14ac:dyDescent="0.2">
      <c r="A938" t="s">
        <v>54</v>
      </c>
    </row>
    <row r="939" spans="1:1" x14ac:dyDescent="0.2">
      <c r="A939" t="s">
        <v>740</v>
      </c>
    </row>
    <row r="940" spans="1:1" x14ac:dyDescent="0.2">
      <c r="A940" t="s">
        <v>741</v>
      </c>
    </row>
    <row r="941" spans="1:1" x14ac:dyDescent="0.2">
      <c r="A941" t="s">
        <v>742</v>
      </c>
    </row>
    <row r="942" spans="1:1" hidden="1" x14ac:dyDescent="0.2">
      <c r="A942" t="s">
        <v>50</v>
      </c>
    </row>
    <row r="943" spans="1:1" hidden="1" x14ac:dyDescent="0.2"/>
    <row r="944" spans="1:1" hidden="1" x14ac:dyDescent="0.2">
      <c r="A944" t="s">
        <v>51</v>
      </c>
    </row>
    <row r="945" spans="1:1" hidden="1" x14ac:dyDescent="0.2">
      <c r="A945" t="s">
        <v>743</v>
      </c>
    </row>
    <row r="946" spans="1:1" hidden="1" x14ac:dyDescent="0.2">
      <c r="A946" t="s">
        <v>53</v>
      </c>
    </row>
    <row r="947" spans="1:1" hidden="1" x14ac:dyDescent="0.2">
      <c r="A947" t="s">
        <v>54</v>
      </c>
    </row>
    <row r="948" spans="1:1" x14ac:dyDescent="0.2">
      <c r="A948" t="s">
        <v>744</v>
      </c>
    </row>
    <row r="949" spans="1:1" x14ac:dyDescent="0.2">
      <c r="A949" t="s">
        <v>745</v>
      </c>
    </row>
    <row r="950" spans="1:1" x14ac:dyDescent="0.2">
      <c r="A950" t="s">
        <v>746</v>
      </c>
    </row>
    <row r="951" spans="1:1" x14ac:dyDescent="0.2">
      <c r="A951" t="s">
        <v>747</v>
      </c>
    </row>
    <row r="952" spans="1:1" x14ac:dyDescent="0.2">
      <c r="A952" t="s">
        <v>748</v>
      </c>
    </row>
    <row r="953" spans="1:1" x14ac:dyDescent="0.2">
      <c r="A953" t="s">
        <v>749</v>
      </c>
    </row>
    <row r="954" spans="1:1" x14ac:dyDescent="0.2">
      <c r="A954" t="s">
        <v>750</v>
      </c>
    </row>
    <row r="955" spans="1:1" x14ac:dyDescent="0.2">
      <c r="A955" t="s">
        <v>751</v>
      </c>
    </row>
    <row r="956" spans="1:1" hidden="1" x14ac:dyDescent="0.2">
      <c r="A956" t="s">
        <v>50</v>
      </c>
    </row>
    <row r="957" spans="1:1" hidden="1" x14ac:dyDescent="0.2"/>
    <row r="958" spans="1:1" hidden="1" x14ac:dyDescent="0.2">
      <c r="A958" t="s">
        <v>51</v>
      </c>
    </row>
    <row r="959" spans="1:1" hidden="1" x14ac:dyDescent="0.2">
      <c r="A959" t="s">
        <v>591</v>
      </c>
    </row>
    <row r="960" spans="1:1" hidden="1" x14ac:dyDescent="0.2">
      <c r="A960" t="s">
        <v>53</v>
      </c>
    </row>
    <row r="961" spans="1:1" hidden="1" x14ac:dyDescent="0.2">
      <c r="A961" t="s">
        <v>54</v>
      </c>
    </row>
    <row r="962" spans="1:1" x14ac:dyDescent="0.2">
      <c r="A962" t="s">
        <v>752</v>
      </c>
    </row>
    <row r="963" spans="1:1" hidden="1" x14ac:dyDescent="0.2">
      <c r="A963" t="s">
        <v>50</v>
      </c>
    </row>
    <row r="964" spans="1:1" hidden="1" x14ac:dyDescent="0.2"/>
    <row r="965" spans="1:1" hidden="1" x14ac:dyDescent="0.2">
      <c r="A965" t="s">
        <v>51</v>
      </c>
    </row>
    <row r="966" spans="1:1" hidden="1" x14ac:dyDescent="0.2">
      <c r="A966" t="s">
        <v>379</v>
      </c>
    </row>
    <row r="967" spans="1:1" hidden="1" x14ac:dyDescent="0.2">
      <c r="A967" t="s">
        <v>53</v>
      </c>
    </row>
    <row r="968" spans="1:1" hidden="1" x14ac:dyDescent="0.2">
      <c r="A968" t="s">
        <v>54</v>
      </c>
    </row>
    <row r="969" spans="1:1" x14ac:dyDescent="0.2">
      <c r="A969" t="s">
        <v>753</v>
      </c>
    </row>
    <row r="970" spans="1:1" x14ac:dyDescent="0.2">
      <c r="A970" t="s">
        <v>754</v>
      </c>
    </row>
    <row r="971" spans="1:1" x14ac:dyDescent="0.2">
      <c r="A971" t="s">
        <v>755</v>
      </c>
    </row>
    <row r="972" spans="1:1" x14ac:dyDescent="0.2">
      <c r="A972" t="s">
        <v>756</v>
      </c>
    </row>
    <row r="973" spans="1:1" x14ac:dyDescent="0.2">
      <c r="A973" t="s">
        <v>757</v>
      </c>
    </row>
    <row r="974" spans="1:1" x14ac:dyDescent="0.2">
      <c r="A974" t="s">
        <v>758</v>
      </c>
    </row>
    <row r="975" spans="1:1" x14ac:dyDescent="0.2">
      <c r="A975" t="s">
        <v>759</v>
      </c>
    </row>
    <row r="976" spans="1:1" x14ac:dyDescent="0.2">
      <c r="A976" t="s">
        <v>760</v>
      </c>
    </row>
    <row r="977" spans="1:1" x14ac:dyDescent="0.2">
      <c r="A977" t="s">
        <v>761</v>
      </c>
    </row>
    <row r="978" spans="1:1" x14ac:dyDescent="0.2">
      <c r="A978" t="s">
        <v>762</v>
      </c>
    </row>
    <row r="979" spans="1:1" x14ac:dyDescent="0.2">
      <c r="A979" t="s">
        <v>763</v>
      </c>
    </row>
    <row r="980" spans="1:1" x14ac:dyDescent="0.2">
      <c r="A980" t="s">
        <v>764</v>
      </c>
    </row>
    <row r="981" spans="1:1" x14ac:dyDescent="0.2">
      <c r="A981" t="s">
        <v>765</v>
      </c>
    </row>
    <row r="982" spans="1:1" x14ac:dyDescent="0.2">
      <c r="A982" t="s">
        <v>766</v>
      </c>
    </row>
    <row r="983" spans="1:1" x14ac:dyDescent="0.2">
      <c r="A983" t="s">
        <v>767</v>
      </c>
    </row>
    <row r="984" spans="1:1" x14ac:dyDescent="0.2">
      <c r="A984" t="s">
        <v>768</v>
      </c>
    </row>
    <row r="985" spans="1:1" x14ac:dyDescent="0.2">
      <c r="A985" t="s">
        <v>769</v>
      </c>
    </row>
    <row r="986" spans="1:1" x14ac:dyDescent="0.2">
      <c r="A986" t="s">
        <v>770</v>
      </c>
    </row>
    <row r="987" spans="1:1" x14ac:dyDescent="0.2">
      <c r="A987" t="s">
        <v>771</v>
      </c>
    </row>
    <row r="988" spans="1:1" x14ac:dyDescent="0.2">
      <c r="A988" t="s">
        <v>772</v>
      </c>
    </row>
    <row r="989" spans="1:1" hidden="1" x14ac:dyDescent="0.2">
      <c r="A989" t="s">
        <v>50</v>
      </c>
    </row>
    <row r="990" spans="1:1" hidden="1" x14ac:dyDescent="0.2"/>
    <row r="991" spans="1:1" hidden="1" x14ac:dyDescent="0.2">
      <c r="A991" t="s">
        <v>51</v>
      </c>
    </row>
    <row r="992" spans="1:1" hidden="1" x14ac:dyDescent="0.2">
      <c r="A992" t="s">
        <v>52</v>
      </c>
    </row>
    <row r="993" spans="1:1" hidden="1" x14ac:dyDescent="0.2">
      <c r="A993" t="s">
        <v>53</v>
      </c>
    </row>
    <row r="994" spans="1:1" hidden="1" x14ac:dyDescent="0.2">
      <c r="A994" t="s">
        <v>54</v>
      </c>
    </row>
    <row r="995" spans="1:1" x14ac:dyDescent="0.2">
      <c r="A995" t="s">
        <v>773</v>
      </c>
    </row>
    <row r="996" spans="1:1" x14ac:dyDescent="0.2">
      <c r="A996" t="s">
        <v>774</v>
      </c>
    </row>
    <row r="997" spans="1:1" x14ac:dyDescent="0.2">
      <c r="A997" t="s">
        <v>775</v>
      </c>
    </row>
    <row r="998" spans="1:1" x14ac:dyDescent="0.2">
      <c r="A998" t="s">
        <v>776</v>
      </c>
    </row>
    <row r="999" spans="1:1" x14ac:dyDescent="0.2">
      <c r="A999" t="s">
        <v>777</v>
      </c>
    </row>
    <row r="1000" spans="1:1" x14ac:dyDescent="0.2">
      <c r="A1000" t="s">
        <v>778</v>
      </c>
    </row>
    <row r="1001" spans="1:1" x14ac:dyDescent="0.2">
      <c r="A1001" t="s">
        <v>779</v>
      </c>
    </row>
    <row r="1002" spans="1:1" x14ac:dyDescent="0.2">
      <c r="A1002" t="s">
        <v>780</v>
      </c>
    </row>
    <row r="1003" spans="1:1" x14ac:dyDescent="0.2">
      <c r="A1003" t="s">
        <v>781</v>
      </c>
    </row>
    <row r="1004" spans="1:1" x14ac:dyDescent="0.2">
      <c r="A1004" t="s">
        <v>782</v>
      </c>
    </row>
    <row r="1005" spans="1:1" x14ac:dyDescent="0.2">
      <c r="A1005" t="s">
        <v>783</v>
      </c>
    </row>
    <row r="1006" spans="1:1" x14ac:dyDescent="0.2">
      <c r="A1006" t="s">
        <v>784</v>
      </c>
    </row>
    <row r="1007" spans="1:1" x14ac:dyDescent="0.2">
      <c r="A1007" t="s">
        <v>785</v>
      </c>
    </row>
    <row r="1008" spans="1:1" x14ac:dyDescent="0.2">
      <c r="A1008" t="s">
        <v>786</v>
      </c>
    </row>
    <row r="1009" spans="1:1" x14ac:dyDescent="0.2">
      <c r="A1009" t="s">
        <v>787</v>
      </c>
    </row>
    <row r="1010" spans="1:1" x14ac:dyDescent="0.2">
      <c r="A1010" t="s">
        <v>788</v>
      </c>
    </row>
    <row r="1011" spans="1:1" x14ac:dyDescent="0.2">
      <c r="A1011" t="s">
        <v>789</v>
      </c>
    </row>
    <row r="1012" spans="1:1" hidden="1" x14ac:dyDescent="0.2">
      <c r="A1012" t="s">
        <v>50</v>
      </c>
    </row>
    <row r="1013" spans="1:1" hidden="1" x14ac:dyDescent="0.2"/>
    <row r="1014" spans="1:1" hidden="1" x14ac:dyDescent="0.2">
      <c r="A1014" t="s">
        <v>51</v>
      </c>
    </row>
    <row r="1015" spans="1:1" hidden="1" x14ac:dyDescent="0.2">
      <c r="A1015" t="s">
        <v>671</v>
      </c>
    </row>
    <row r="1016" spans="1:1" hidden="1" x14ac:dyDescent="0.2">
      <c r="A1016" t="s">
        <v>53</v>
      </c>
    </row>
    <row r="1017" spans="1:1" hidden="1" x14ac:dyDescent="0.2">
      <c r="A1017" t="s">
        <v>54</v>
      </c>
    </row>
    <row r="1018" spans="1:1" x14ac:dyDescent="0.2">
      <c r="A1018" t="s">
        <v>790</v>
      </c>
    </row>
    <row r="1019" spans="1:1" x14ac:dyDescent="0.2">
      <c r="A1019" t="s">
        <v>791</v>
      </c>
    </row>
    <row r="1020" spans="1:1" x14ac:dyDescent="0.2">
      <c r="A1020" t="s">
        <v>792</v>
      </c>
    </row>
    <row r="1021" spans="1:1" x14ac:dyDescent="0.2">
      <c r="A1021" t="s">
        <v>793</v>
      </c>
    </row>
    <row r="1022" spans="1:1" x14ac:dyDescent="0.2">
      <c r="A1022" t="s">
        <v>794</v>
      </c>
    </row>
    <row r="1023" spans="1:1" x14ac:dyDescent="0.2">
      <c r="A1023" t="s">
        <v>795</v>
      </c>
    </row>
    <row r="1024" spans="1:1" x14ac:dyDescent="0.2">
      <c r="A1024" t="s">
        <v>796</v>
      </c>
    </row>
    <row r="1025" spans="1:1" x14ac:dyDescent="0.2">
      <c r="A1025" t="s">
        <v>797</v>
      </c>
    </row>
    <row r="1026" spans="1:1" x14ac:dyDescent="0.2">
      <c r="A1026" t="s">
        <v>798</v>
      </c>
    </row>
    <row r="1027" spans="1:1" x14ac:dyDescent="0.2">
      <c r="A1027" t="s">
        <v>799</v>
      </c>
    </row>
    <row r="1028" spans="1:1" x14ac:dyDescent="0.2">
      <c r="A1028" t="s">
        <v>800</v>
      </c>
    </row>
    <row r="1029" spans="1:1" x14ac:dyDescent="0.2">
      <c r="A1029" t="s">
        <v>801</v>
      </c>
    </row>
    <row r="1030" spans="1:1" hidden="1" x14ac:dyDescent="0.2">
      <c r="A1030" t="s">
        <v>50</v>
      </c>
    </row>
    <row r="1031" spans="1:1" hidden="1" x14ac:dyDescent="0.2"/>
    <row r="1032" spans="1:1" hidden="1" x14ac:dyDescent="0.2">
      <c r="A1032" t="s">
        <v>51</v>
      </c>
    </row>
    <row r="1033" spans="1:1" hidden="1" x14ac:dyDescent="0.2">
      <c r="A1033" t="s">
        <v>591</v>
      </c>
    </row>
    <row r="1034" spans="1:1" hidden="1" x14ac:dyDescent="0.2">
      <c r="A1034" t="s">
        <v>53</v>
      </c>
    </row>
    <row r="1035" spans="1:1" hidden="1" x14ac:dyDescent="0.2">
      <c r="A1035" t="s">
        <v>54</v>
      </c>
    </row>
    <row r="1036" spans="1:1" x14ac:dyDescent="0.2">
      <c r="A1036" t="s">
        <v>802</v>
      </c>
    </row>
    <row r="1037" spans="1:1" hidden="1" x14ac:dyDescent="0.2">
      <c r="A1037" t="s">
        <v>50</v>
      </c>
    </row>
    <row r="1038" spans="1:1" hidden="1" x14ac:dyDescent="0.2"/>
    <row r="1039" spans="1:1" hidden="1" x14ac:dyDescent="0.2">
      <c r="A1039" t="s">
        <v>51</v>
      </c>
    </row>
    <row r="1040" spans="1:1" hidden="1" x14ac:dyDescent="0.2">
      <c r="A1040" t="s">
        <v>591</v>
      </c>
    </row>
    <row r="1041" spans="1:1" hidden="1" x14ac:dyDescent="0.2">
      <c r="A1041" t="s">
        <v>53</v>
      </c>
    </row>
    <row r="1042" spans="1:1" hidden="1" x14ac:dyDescent="0.2">
      <c r="A1042" t="s">
        <v>54</v>
      </c>
    </row>
    <row r="1043" spans="1:1" x14ac:dyDescent="0.2">
      <c r="A1043" t="s">
        <v>803</v>
      </c>
    </row>
    <row r="1044" spans="1:1" hidden="1" x14ac:dyDescent="0.2">
      <c r="A1044" t="s">
        <v>50</v>
      </c>
    </row>
    <row r="1045" spans="1:1" hidden="1" x14ac:dyDescent="0.2"/>
    <row r="1046" spans="1:1" hidden="1" x14ac:dyDescent="0.2">
      <c r="A1046" t="s">
        <v>51</v>
      </c>
    </row>
    <row r="1047" spans="1:1" hidden="1" x14ac:dyDescent="0.2">
      <c r="A1047" t="s">
        <v>78</v>
      </c>
    </row>
    <row r="1048" spans="1:1" hidden="1" x14ac:dyDescent="0.2">
      <c r="A1048" t="s">
        <v>53</v>
      </c>
    </row>
    <row r="1049" spans="1:1" hidden="1" x14ac:dyDescent="0.2">
      <c r="A1049" t="s">
        <v>54</v>
      </c>
    </row>
    <row r="1050" spans="1:1" x14ac:dyDescent="0.2">
      <c r="A1050" t="s">
        <v>804</v>
      </c>
    </row>
    <row r="1051" spans="1:1" x14ac:dyDescent="0.2">
      <c r="A1051" t="s">
        <v>805</v>
      </c>
    </row>
    <row r="1052" spans="1:1" x14ac:dyDescent="0.2">
      <c r="A1052" t="s">
        <v>806</v>
      </c>
    </row>
    <row r="1053" spans="1:1" x14ac:dyDescent="0.2">
      <c r="A1053" t="s">
        <v>807</v>
      </c>
    </row>
    <row r="1054" spans="1:1" x14ac:dyDescent="0.2">
      <c r="A1054" t="s">
        <v>808</v>
      </c>
    </row>
    <row r="1055" spans="1:1" x14ac:dyDescent="0.2">
      <c r="A1055" t="s">
        <v>809</v>
      </c>
    </row>
    <row r="1056" spans="1:1" hidden="1" x14ac:dyDescent="0.2">
      <c r="A1056" t="s">
        <v>50</v>
      </c>
    </row>
    <row r="1057" spans="1:1" hidden="1" x14ac:dyDescent="0.2"/>
    <row r="1058" spans="1:1" hidden="1" x14ac:dyDescent="0.2">
      <c r="A1058" t="s">
        <v>51</v>
      </c>
    </row>
    <row r="1059" spans="1:1" hidden="1" x14ac:dyDescent="0.2">
      <c r="A1059" t="s">
        <v>743</v>
      </c>
    </row>
    <row r="1060" spans="1:1" hidden="1" x14ac:dyDescent="0.2">
      <c r="A1060" t="s">
        <v>53</v>
      </c>
    </row>
    <row r="1061" spans="1:1" hidden="1" x14ac:dyDescent="0.2">
      <c r="A1061" t="s">
        <v>54</v>
      </c>
    </row>
    <row r="1062" spans="1:1" x14ac:dyDescent="0.2">
      <c r="A1062" t="s">
        <v>810</v>
      </c>
    </row>
    <row r="1063" spans="1:1" x14ac:dyDescent="0.2">
      <c r="A1063" t="s">
        <v>811</v>
      </c>
    </row>
    <row r="1064" spans="1:1" x14ac:dyDescent="0.2">
      <c r="A1064" t="s">
        <v>812</v>
      </c>
    </row>
    <row r="1065" spans="1:1" x14ac:dyDescent="0.2">
      <c r="A1065" t="s">
        <v>813</v>
      </c>
    </row>
    <row r="1066" spans="1:1" x14ac:dyDescent="0.2">
      <c r="A1066" t="s">
        <v>814</v>
      </c>
    </row>
    <row r="1067" spans="1:1" x14ac:dyDescent="0.2">
      <c r="A1067" t="s">
        <v>815</v>
      </c>
    </row>
    <row r="1068" spans="1:1" x14ac:dyDescent="0.2">
      <c r="A1068" t="s">
        <v>816</v>
      </c>
    </row>
    <row r="1069" spans="1:1" x14ac:dyDescent="0.2">
      <c r="A1069" t="s">
        <v>817</v>
      </c>
    </row>
    <row r="1070" spans="1:1" hidden="1" x14ac:dyDescent="0.2">
      <c r="A1070" t="s">
        <v>50</v>
      </c>
    </row>
    <row r="1071" spans="1:1" hidden="1" x14ac:dyDescent="0.2"/>
    <row r="1072" spans="1:1" hidden="1" x14ac:dyDescent="0.2">
      <c r="A1072" t="s">
        <v>51</v>
      </c>
    </row>
    <row r="1073" spans="1:1" hidden="1" x14ac:dyDescent="0.2">
      <c r="A1073" t="s">
        <v>591</v>
      </c>
    </row>
    <row r="1074" spans="1:1" hidden="1" x14ac:dyDescent="0.2">
      <c r="A1074" t="s">
        <v>53</v>
      </c>
    </row>
    <row r="1075" spans="1:1" hidden="1" x14ac:dyDescent="0.2">
      <c r="A1075" t="s">
        <v>54</v>
      </c>
    </row>
    <row r="1076" spans="1:1" x14ac:dyDescent="0.2">
      <c r="A1076" t="s">
        <v>818</v>
      </c>
    </row>
    <row r="1077" spans="1:1" hidden="1" x14ac:dyDescent="0.2">
      <c r="A1077" t="s">
        <v>50</v>
      </c>
    </row>
    <row r="1078" spans="1:1" hidden="1" x14ac:dyDescent="0.2"/>
    <row r="1079" spans="1:1" hidden="1" x14ac:dyDescent="0.2">
      <c r="A1079" t="s">
        <v>51</v>
      </c>
    </row>
    <row r="1080" spans="1:1" hidden="1" x14ac:dyDescent="0.2">
      <c r="A1080" t="s">
        <v>109</v>
      </c>
    </row>
    <row r="1081" spans="1:1" hidden="1" x14ac:dyDescent="0.2">
      <c r="A1081" t="s">
        <v>53</v>
      </c>
    </row>
    <row r="1082" spans="1:1" hidden="1" x14ac:dyDescent="0.2">
      <c r="A1082" t="s">
        <v>54</v>
      </c>
    </row>
    <row r="1083" spans="1:1" x14ac:dyDescent="0.2">
      <c r="A1083" t="s">
        <v>819</v>
      </c>
    </row>
    <row r="1084" spans="1:1" x14ac:dyDescent="0.2">
      <c r="A1084" t="s">
        <v>820</v>
      </c>
    </row>
    <row r="1085" spans="1:1" x14ac:dyDescent="0.2">
      <c r="A1085" t="s">
        <v>821</v>
      </c>
    </row>
    <row r="1086" spans="1:1" x14ac:dyDescent="0.2">
      <c r="A1086" t="s">
        <v>822</v>
      </c>
    </row>
    <row r="1087" spans="1:1" hidden="1" x14ac:dyDescent="0.2">
      <c r="A1087" t="s">
        <v>50</v>
      </c>
    </row>
    <row r="1088" spans="1:1" hidden="1" x14ac:dyDescent="0.2"/>
    <row r="1089" spans="1:1" hidden="1" x14ac:dyDescent="0.2">
      <c r="A1089" t="s">
        <v>51</v>
      </c>
    </row>
    <row r="1090" spans="1:1" hidden="1" x14ac:dyDescent="0.2">
      <c r="A1090" t="s">
        <v>591</v>
      </c>
    </row>
    <row r="1091" spans="1:1" hidden="1" x14ac:dyDescent="0.2">
      <c r="A1091" t="s">
        <v>53</v>
      </c>
    </row>
    <row r="1092" spans="1:1" hidden="1" x14ac:dyDescent="0.2">
      <c r="A1092" t="s">
        <v>54</v>
      </c>
    </row>
    <row r="1093" spans="1:1" x14ac:dyDescent="0.2">
      <c r="A1093" t="s">
        <v>823</v>
      </c>
    </row>
    <row r="1094" spans="1:1" hidden="1" x14ac:dyDescent="0.2">
      <c r="A1094" t="s">
        <v>50</v>
      </c>
    </row>
    <row r="1095" spans="1:1" hidden="1" x14ac:dyDescent="0.2"/>
    <row r="1096" spans="1:1" hidden="1" x14ac:dyDescent="0.2">
      <c r="A1096" t="s">
        <v>51</v>
      </c>
    </row>
    <row r="1097" spans="1:1" hidden="1" x14ac:dyDescent="0.2">
      <c r="A1097" t="s">
        <v>593</v>
      </c>
    </row>
    <row r="1098" spans="1:1" hidden="1" x14ac:dyDescent="0.2">
      <c r="A1098" t="s">
        <v>53</v>
      </c>
    </row>
    <row r="1099" spans="1:1" hidden="1" x14ac:dyDescent="0.2">
      <c r="A1099" t="s">
        <v>54</v>
      </c>
    </row>
    <row r="1100" spans="1:1" x14ac:dyDescent="0.2">
      <c r="A1100" t="s">
        <v>824</v>
      </c>
    </row>
    <row r="1101" spans="1:1" x14ac:dyDescent="0.2">
      <c r="A1101" t="s">
        <v>825</v>
      </c>
    </row>
    <row r="1102" spans="1:1" x14ac:dyDescent="0.2">
      <c r="A1102" t="s">
        <v>826</v>
      </c>
    </row>
    <row r="1103" spans="1:1" x14ac:dyDescent="0.2">
      <c r="A1103" t="s">
        <v>827</v>
      </c>
    </row>
    <row r="1104" spans="1:1" x14ac:dyDescent="0.2">
      <c r="A1104" t="s">
        <v>828</v>
      </c>
    </row>
    <row r="1105" spans="1:1" x14ac:dyDescent="0.2">
      <c r="A1105" t="s">
        <v>829</v>
      </c>
    </row>
    <row r="1106" spans="1:1" x14ac:dyDescent="0.2">
      <c r="A1106" t="s">
        <v>830</v>
      </c>
    </row>
    <row r="1107" spans="1:1" x14ac:dyDescent="0.2">
      <c r="A1107" t="s">
        <v>831</v>
      </c>
    </row>
    <row r="1108" spans="1:1" x14ac:dyDescent="0.2">
      <c r="A1108" t="s">
        <v>832</v>
      </c>
    </row>
    <row r="1109" spans="1:1" hidden="1" x14ac:dyDescent="0.2">
      <c r="A1109" t="s">
        <v>50</v>
      </c>
    </row>
    <row r="1110" spans="1:1" hidden="1" x14ac:dyDescent="0.2"/>
    <row r="1111" spans="1:1" hidden="1" x14ac:dyDescent="0.2">
      <c r="A1111" t="s">
        <v>51</v>
      </c>
    </row>
    <row r="1112" spans="1:1" hidden="1" x14ac:dyDescent="0.2">
      <c r="A1112" t="s">
        <v>529</v>
      </c>
    </row>
    <row r="1113" spans="1:1" hidden="1" x14ac:dyDescent="0.2">
      <c r="A1113" t="s">
        <v>53</v>
      </c>
    </row>
    <row r="1114" spans="1:1" hidden="1" x14ac:dyDescent="0.2">
      <c r="A1114" t="s">
        <v>54</v>
      </c>
    </row>
    <row r="1115" spans="1:1" x14ac:dyDescent="0.2">
      <c r="A1115" t="s">
        <v>833</v>
      </c>
    </row>
    <row r="1116" spans="1:1" x14ac:dyDescent="0.2">
      <c r="A1116" t="s">
        <v>834</v>
      </c>
    </row>
    <row r="1117" spans="1:1" x14ac:dyDescent="0.2">
      <c r="A1117" t="s">
        <v>835</v>
      </c>
    </row>
    <row r="1118" spans="1:1" x14ac:dyDescent="0.2">
      <c r="A1118" t="s">
        <v>836</v>
      </c>
    </row>
    <row r="1119" spans="1:1" x14ac:dyDescent="0.2">
      <c r="A1119" t="s">
        <v>837</v>
      </c>
    </row>
    <row r="1120" spans="1:1" x14ac:dyDescent="0.2">
      <c r="A1120" t="s">
        <v>838</v>
      </c>
    </row>
    <row r="1121" spans="1:1" x14ac:dyDescent="0.2">
      <c r="A1121" t="s">
        <v>839</v>
      </c>
    </row>
    <row r="1122" spans="1:1" x14ac:dyDescent="0.2">
      <c r="A1122" t="s">
        <v>840</v>
      </c>
    </row>
    <row r="1123" spans="1:1" x14ac:dyDescent="0.2">
      <c r="A1123" t="s">
        <v>841</v>
      </c>
    </row>
    <row r="1124" spans="1:1" x14ac:dyDescent="0.2">
      <c r="A1124" t="s">
        <v>842</v>
      </c>
    </row>
    <row r="1125" spans="1:1" hidden="1" x14ac:dyDescent="0.2">
      <c r="A1125" t="s">
        <v>50</v>
      </c>
    </row>
    <row r="1126" spans="1:1" hidden="1" x14ac:dyDescent="0.2"/>
    <row r="1127" spans="1:1" hidden="1" x14ac:dyDescent="0.2">
      <c r="A1127" t="s">
        <v>51</v>
      </c>
    </row>
    <row r="1128" spans="1:1" hidden="1" x14ac:dyDescent="0.2">
      <c r="A1128" t="s">
        <v>529</v>
      </c>
    </row>
    <row r="1129" spans="1:1" hidden="1" x14ac:dyDescent="0.2">
      <c r="A1129" t="s">
        <v>53</v>
      </c>
    </row>
    <row r="1130" spans="1:1" hidden="1" x14ac:dyDescent="0.2">
      <c r="A1130" t="s">
        <v>54</v>
      </c>
    </row>
    <row r="1131" spans="1:1" x14ac:dyDescent="0.2">
      <c r="A1131" t="s">
        <v>843</v>
      </c>
    </row>
    <row r="1132" spans="1:1" x14ac:dyDescent="0.2">
      <c r="A1132" t="s">
        <v>844</v>
      </c>
    </row>
    <row r="1133" spans="1:1" x14ac:dyDescent="0.2">
      <c r="A1133" t="s">
        <v>845</v>
      </c>
    </row>
    <row r="1134" spans="1:1" x14ac:dyDescent="0.2">
      <c r="A1134" t="s">
        <v>846</v>
      </c>
    </row>
    <row r="1135" spans="1:1" x14ac:dyDescent="0.2">
      <c r="A1135" t="s">
        <v>847</v>
      </c>
    </row>
    <row r="1136" spans="1:1" x14ac:dyDescent="0.2">
      <c r="A1136" t="s">
        <v>848</v>
      </c>
    </row>
    <row r="1137" spans="1:1" x14ac:dyDescent="0.2">
      <c r="A1137" t="s">
        <v>849</v>
      </c>
    </row>
    <row r="1138" spans="1:1" x14ac:dyDescent="0.2">
      <c r="A1138" t="s">
        <v>850</v>
      </c>
    </row>
    <row r="1139" spans="1:1" x14ac:dyDescent="0.2">
      <c r="A1139" t="s">
        <v>851</v>
      </c>
    </row>
    <row r="1140" spans="1:1" x14ac:dyDescent="0.2">
      <c r="A1140" t="s">
        <v>852</v>
      </c>
    </row>
    <row r="1141" spans="1:1" hidden="1" x14ac:dyDescent="0.2">
      <c r="A1141" t="s">
        <v>50</v>
      </c>
    </row>
    <row r="1142" spans="1:1" hidden="1" x14ac:dyDescent="0.2"/>
    <row r="1143" spans="1:1" hidden="1" x14ac:dyDescent="0.2">
      <c r="A1143" t="s">
        <v>51</v>
      </c>
    </row>
    <row r="1144" spans="1:1" hidden="1" x14ac:dyDescent="0.2">
      <c r="A1144" t="s">
        <v>471</v>
      </c>
    </row>
    <row r="1145" spans="1:1" hidden="1" x14ac:dyDescent="0.2">
      <c r="A1145" t="s">
        <v>53</v>
      </c>
    </row>
    <row r="1146" spans="1:1" hidden="1" x14ac:dyDescent="0.2">
      <c r="A1146" t="s">
        <v>54</v>
      </c>
    </row>
    <row r="1147" spans="1:1" x14ac:dyDescent="0.2">
      <c r="A1147" t="s">
        <v>853</v>
      </c>
    </row>
    <row r="1148" spans="1:1" x14ac:dyDescent="0.2">
      <c r="A1148" t="s">
        <v>854</v>
      </c>
    </row>
    <row r="1149" spans="1:1" hidden="1" x14ac:dyDescent="0.2">
      <c r="A1149" t="s">
        <v>50</v>
      </c>
    </row>
    <row r="1150" spans="1:1" hidden="1" x14ac:dyDescent="0.2"/>
    <row r="1151" spans="1:1" hidden="1" x14ac:dyDescent="0.2">
      <c r="A1151" t="s">
        <v>51</v>
      </c>
    </row>
    <row r="1152" spans="1:1" hidden="1" x14ac:dyDescent="0.2">
      <c r="A1152" t="s">
        <v>471</v>
      </c>
    </row>
    <row r="1153" spans="1:1" hidden="1" x14ac:dyDescent="0.2">
      <c r="A1153" t="s">
        <v>53</v>
      </c>
    </row>
    <row r="1154" spans="1:1" hidden="1" x14ac:dyDescent="0.2">
      <c r="A1154" t="s">
        <v>54</v>
      </c>
    </row>
    <row r="1155" spans="1:1" x14ac:dyDescent="0.2">
      <c r="A1155" t="s">
        <v>855</v>
      </c>
    </row>
    <row r="1156" spans="1:1" x14ac:dyDescent="0.2">
      <c r="A1156" t="s">
        <v>856</v>
      </c>
    </row>
    <row r="1157" spans="1:1" hidden="1" x14ac:dyDescent="0.2">
      <c r="A1157" t="s">
        <v>50</v>
      </c>
    </row>
    <row r="1158" spans="1:1" hidden="1" x14ac:dyDescent="0.2"/>
    <row r="1159" spans="1:1" hidden="1" x14ac:dyDescent="0.2">
      <c r="A1159" t="s">
        <v>51</v>
      </c>
    </row>
    <row r="1160" spans="1:1" hidden="1" x14ac:dyDescent="0.2">
      <c r="A1160" t="s">
        <v>471</v>
      </c>
    </row>
    <row r="1161" spans="1:1" hidden="1" x14ac:dyDescent="0.2">
      <c r="A1161" t="s">
        <v>53</v>
      </c>
    </row>
    <row r="1162" spans="1:1" hidden="1" x14ac:dyDescent="0.2">
      <c r="A1162" t="s">
        <v>54</v>
      </c>
    </row>
    <row r="1163" spans="1:1" x14ac:dyDescent="0.2">
      <c r="A1163" t="s">
        <v>857</v>
      </c>
    </row>
    <row r="1164" spans="1:1" x14ac:dyDescent="0.2">
      <c r="A1164" t="s">
        <v>858</v>
      </c>
    </row>
    <row r="1165" spans="1:1" hidden="1" x14ac:dyDescent="0.2">
      <c r="A1165" t="s">
        <v>50</v>
      </c>
    </row>
    <row r="1166" spans="1:1" hidden="1" x14ac:dyDescent="0.2"/>
    <row r="1167" spans="1:1" hidden="1" x14ac:dyDescent="0.2">
      <c r="A1167" t="s">
        <v>51</v>
      </c>
    </row>
    <row r="1168" spans="1:1" hidden="1" x14ac:dyDescent="0.2">
      <c r="A1168" t="s">
        <v>591</v>
      </c>
    </row>
    <row r="1169" spans="1:1" hidden="1" x14ac:dyDescent="0.2">
      <c r="A1169" t="s">
        <v>53</v>
      </c>
    </row>
    <row r="1170" spans="1:1" hidden="1" x14ac:dyDescent="0.2">
      <c r="A1170" t="s">
        <v>54</v>
      </c>
    </row>
    <row r="1171" spans="1:1" x14ac:dyDescent="0.2">
      <c r="A1171" t="s">
        <v>859</v>
      </c>
    </row>
    <row r="1172" spans="1:1" hidden="1" x14ac:dyDescent="0.2">
      <c r="A1172" t="s">
        <v>50</v>
      </c>
    </row>
    <row r="1173" spans="1:1" hidden="1" x14ac:dyDescent="0.2"/>
    <row r="1174" spans="1:1" hidden="1" x14ac:dyDescent="0.2">
      <c r="A1174" t="s">
        <v>51</v>
      </c>
    </row>
    <row r="1175" spans="1:1" hidden="1" x14ac:dyDescent="0.2">
      <c r="A1175" t="s">
        <v>591</v>
      </c>
    </row>
    <row r="1176" spans="1:1" hidden="1" x14ac:dyDescent="0.2">
      <c r="A1176" t="s">
        <v>53</v>
      </c>
    </row>
    <row r="1177" spans="1:1" hidden="1" x14ac:dyDescent="0.2">
      <c r="A1177" t="s">
        <v>54</v>
      </c>
    </row>
    <row r="1178" spans="1:1" x14ac:dyDescent="0.2">
      <c r="A1178" t="s">
        <v>860</v>
      </c>
    </row>
    <row r="1179" spans="1:1" hidden="1" x14ac:dyDescent="0.2">
      <c r="A1179" t="s">
        <v>50</v>
      </c>
    </row>
    <row r="1180" spans="1:1" hidden="1" x14ac:dyDescent="0.2"/>
    <row r="1181" spans="1:1" hidden="1" x14ac:dyDescent="0.2">
      <c r="A1181" t="s">
        <v>51</v>
      </c>
    </row>
    <row r="1182" spans="1:1" hidden="1" x14ac:dyDescent="0.2">
      <c r="A1182" t="s">
        <v>603</v>
      </c>
    </row>
    <row r="1183" spans="1:1" hidden="1" x14ac:dyDescent="0.2">
      <c r="A1183" t="s">
        <v>53</v>
      </c>
    </row>
    <row r="1184" spans="1:1" hidden="1" x14ac:dyDescent="0.2">
      <c r="A1184" t="s">
        <v>54</v>
      </c>
    </row>
    <row r="1185" spans="1:1" x14ac:dyDescent="0.2">
      <c r="A1185" t="s">
        <v>861</v>
      </c>
    </row>
    <row r="1186" spans="1:1" x14ac:dyDescent="0.2">
      <c r="A1186" t="s">
        <v>862</v>
      </c>
    </row>
    <row r="1187" spans="1:1" x14ac:dyDescent="0.2">
      <c r="A1187" t="s">
        <v>863</v>
      </c>
    </row>
    <row r="1188" spans="1:1" x14ac:dyDescent="0.2">
      <c r="A1188" t="s">
        <v>864</v>
      </c>
    </row>
    <row r="1189" spans="1:1" x14ac:dyDescent="0.2">
      <c r="A1189" t="s">
        <v>865</v>
      </c>
    </row>
    <row r="1190" spans="1:1" x14ac:dyDescent="0.2">
      <c r="A1190" t="s">
        <v>866</v>
      </c>
    </row>
    <row r="1191" spans="1:1" x14ac:dyDescent="0.2">
      <c r="A1191" t="s">
        <v>867</v>
      </c>
    </row>
    <row r="1192" spans="1:1" x14ac:dyDescent="0.2">
      <c r="A1192" t="s">
        <v>868</v>
      </c>
    </row>
    <row r="1193" spans="1:1" x14ac:dyDescent="0.2">
      <c r="A1193" t="s">
        <v>869</v>
      </c>
    </row>
    <row r="1194" spans="1:1" x14ac:dyDescent="0.2">
      <c r="A1194" t="s">
        <v>870</v>
      </c>
    </row>
    <row r="1195" spans="1:1" x14ac:dyDescent="0.2">
      <c r="A1195" t="s">
        <v>871</v>
      </c>
    </row>
    <row r="1196" spans="1:1" x14ac:dyDescent="0.2">
      <c r="A1196" t="s">
        <v>872</v>
      </c>
    </row>
    <row r="1197" spans="1:1" x14ac:dyDescent="0.2">
      <c r="A1197" t="s">
        <v>873</v>
      </c>
    </row>
    <row r="1198" spans="1:1" x14ac:dyDescent="0.2">
      <c r="A1198" t="s">
        <v>874</v>
      </c>
    </row>
    <row r="1199" spans="1:1" x14ac:dyDescent="0.2">
      <c r="A1199" t="s">
        <v>875</v>
      </c>
    </row>
    <row r="1200" spans="1:1" x14ac:dyDescent="0.2">
      <c r="A1200" t="s">
        <v>876</v>
      </c>
    </row>
    <row r="1201" spans="1:1" x14ac:dyDescent="0.2">
      <c r="A1201" t="s">
        <v>877</v>
      </c>
    </row>
    <row r="1202" spans="1:1" x14ac:dyDescent="0.2">
      <c r="A1202" t="s">
        <v>878</v>
      </c>
    </row>
    <row r="1203" spans="1:1" x14ac:dyDescent="0.2">
      <c r="A1203" t="s">
        <v>879</v>
      </c>
    </row>
    <row r="1204" spans="1:1" x14ac:dyDescent="0.2">
      <c r="A1204" t="s">
        <v>880</v>
      </c>
    </row>
    <row r="1205" spans="1:1" x14ac:dyDescent="0.2">
      <c r="A1205" t="s">
        <v>881</v>
      </c>
    </row>
    <row r="1206" spans="1:1" x14ac:dyDescent="0.2">
      <c r="A1206" t="s">
        <v>882</v>
      </c>
    </row>
    <row r="1207" spans="1:1" hidden="1" x14ac:dyDescent="0.2">
      <c r="A1207" t="s">
        <v>50</v>
      </c>
    </row>
    <row r="1208" spans="1:1" hidden="1" x14ac:dyDescent="0.2"/>
    <row r="1209" spans="1:1" hidden="1" x14ac:dyDescent="0.2">
      <c r="A1209" t="s">
        <v>51</v>
      </c>
    </row>
    <row r="1210" spans="1:1" hidden="1" x14ac:dyDescent="0.2">
      <c r="A1210" t="s">
        <v>603</v>
      </c>
    </row>
    <row r="1211" spans="1:1" hidden="1" x14ac:dyDescent="0.2">
      <c r="A1211" t="s">
        <v>53</v>
      </c>
    </row>
    <row r="1212" spans="1:1" hidden="1" x14ac:dyDescent="0.2">
      <c r="A1212" t="s">
        <v>54</v>
      </c>
    </row>
    <row r="1213" spans="1:1" x14ac:dyDescent="0.2">
      <c r="A1213" t="s">
        <v>861</v>
      </c>
    </row>
    <row r="1214" spans="1:1" x14ac:dyDescent="0.2">
      <c r="A1214" t="s">
        <v>862</v>
      </c>
    </row>
    <row r="1215" spans="1:1" x14ac:dyDescent="0.2">
      <c r="A1215" t="s">
        <v>863</v>
      </c>
    </row>
    <row r="1216" spans="1:1" x14ac:dyDescent="0.2">
      <c r="A1216" t="s">
        <v>864</v>
      </c>
    </row>
    <row r="1217" spans="1:1" x14ac:dyDescent="0.2">
      <c r="A1217" t="s">
        <v>865</v>
      </c>
    </row>
    <row r="1218" spans="1:1" x14ac:dyDescent="0.2">
      <c r="A1218" t="s">
        <v>866</v>
      </c>
    </row>
    <row r="1219" spans="1:1" x14ac:dyDescent="0.2">
      <c r="A1219" t="s">
        <v>867</v>
      </c>
    </row>
    <row r="1220" spans="1:1" x14ac:dyDescent="0.2">
      <c r="A1220" t="s">
        <v>868</v>
      </c>
    </row>
    <row r="1221" spans="1:1" x14ac:dyDescent="0.2">
      <c r="A1221" t="s">
        <v>869</v>
      </c>
    </row>
    <row r="1222" spans="1:1" x14ac:dyDescent="0.2">
      <c r="A1222" t="s">
        <v>870</v>
      </c>
    </row>
    <row r="1223" spans="1:1" x14ac:dyDescent="0.2">
      <c r="A1223" t="s">
        <v>871</v>
      </c>
    </row>
    <row r="1224" spans="1:1" x14ac:dyDescent="0.2">
      <c r="A1224" t="s">
        <v>872</v>
      </c>
    </row>
    <row r="1225" spans="1:1" x14ac:dyDescent="0.2">
      <c r="A1225" t="s">
        <v>873</v>
      </c>
    </row>
    <row r="1226" spans="1:1" x14ac:dyDescent="0.2">
      <c r="A1226" t="s">
        <v>874</v>
      </c>
    </row>
    <row r="1227" spans="1:1" x14ac:dyDescent="0.2">
      <c r="A1227" t="s">
        <v>875</v>
      </c>
    </row>
    <row r="1228" spans="1:1" x14ac:dyDescent="0.2">
      <c r="A1228" t="s">
        <v>876</v>
      </c>
    </row>
    <row r="1229" spans="1:1" x14ac:dyDescent="0.2">
      <c r="A1229" t="s">
        <v>877</v>
      </c>
    </row>
    <row r="1230" spans="1:1" x14ac:dyDescent="0.2">
      <c r="A1230" t="s">
        <v>878</v>
      </c>
    </row>
    <row r="1231" spans="1:1" x14ac:dyDescent="0.2">
      <c r="A1231" t="s">
        <v>879</v>
      </c>
    </row>
    <row r="1232" spans="1:1" x14ac:dyDescent="0.2">
      <c r="A1232" t="s">
        <v>880</v>
      </c>
    </row>
    <row r="1233" spans="1:1" x14ac:dyDescent="0.2">
      <c r="A1233" t="s">
        <v>881</v>
      </c>
    </row>
    <row r="1234" spans="1:1" x14ac:dyDescent="0.2">
      <c r="A1234" t="s">
        <v>882</v>
      </c>
    </row>
    <row r="1235" spans="1:1" hidden="1" x14ac:dyDescent="0.2">
      <c r="A1235" t="s">
        <v>50</v>
      </c>
    </row>
  </sheetData>
  <autoFilter xmlns:x14="http://schemas.microsoft.com/office/spreadsheetml/2009/9/main" ref="A1:A1235">
    <filterColumn colId="0">
      <mc:AlternateContent xmlns:mc="http://schemas.openxmlformats.org/markup-compatibility/2006">
        <mc:Choice Requires="x14">
          <filters>
            <x14:filter val="&quot;rechargeable&quot;: &quot;Y&quot;, &quot;nationalimageurl&quot;:null, &quot;glasses&quot;:&quot;N&quot;, &quot;hoursthurs&quot;:&quot;10:00am-9:00pm&quot;, &quot;state&quot;:&quot;NY&quot;, &quot;retailerimageurl&quot;:null, &quot;hoursfri&quot;:&quot;10:00am-10:00pm&quot;, &quot;acceptedmaterialsurl&quot;:&quot;http://www.bestbuy.com/site/Global-Promotions/Recycling-Electronics/pcmcat149900050025.c?id=pcmcat149900050025&quot;, &quot;latitude&quot;:&quot;42.90886&quot;, &quot;url&quot;:&quot;http://www.bestbuy.com&quot;, &quot;postalcode&quot;:&quot;14225&quot;, &quot;province&quot;:null, &quot;sustainabilityurl&quot;:&quot;http://sustainability.bby.com/&quot;, &quot;hoursmon&quot;:&quot;10:00am-9:00pm&quot;, &quot;longitude&quot;:&quot;-78.76198&quot;, &quot;uid&quot;:1077248159, &quot;retailerlinkurl&quot;:null, &quot;hourssat&quot;:&quot;10:00am-10:00pm&quot;, &quot;clientkey&quot;:&quot;120809&quot;, &quot;name&quot;:&quot;Best Buy&quot;, &quot;locationlinkurl&quot;:null, &quot;address1&quot;:&quot;107 Walden Galleri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eektowaga&quot;, &quot;singleuse&quot;:&quot;N&quot;, &quot;fax&quot;:null, &quot;country&quot;:&quot;US&quot;, &quot;logourl&quot;:&quot;http://www.call2recycle.org/notpress/where2getit/bestbuy.png&quot;, &quot;phone&quot;:&quot;716-681-5406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10:00am-9:00pm&quot;, &quot;consumerelectronics&quot;:&quot;Y&quot;, &quot;hourswed&quot;:&quot;10:00am-9:00pm&quot;, &quot;rank&quot;:&quot;1&quot;"/>
            <x14:filter val="&quot;rechargeable&quot;: &quot;Y&quot;, &quot;nationalimageurl&quot;:null, &quot;glasses&quot;:&quot;N&quot;, &quot;hoursthurs&quot;:&quot;5:00 p.m. to 7:30 p.m.&quot;, &quot;state&quot;:null, &quot;retailerimageurl&quot;:null, &quot;hoursfri&quot;:&quot;Closed&quot;, &quot;acceptedmaterialsurl&quot;:null, &quot;latitude&quot;:&quot;45.53581&quot;, &quot;url&quot;:null, &quot;postalcode&quot;:&quot;K0J 2C0&quot;, &quot;province&quot;:&quot;ON&quot;, &quot;sustainabilityurl&quot;:null, &quot;hoursmon&quot;:&quot;5:00 p.m. to 7:30 p.m.&quot;, &quot;longitude&quot;:&quot;-78.0485&quot;, &quot;uid&quot;:523023626, &quot;retailerlinkurl&quot;:null, &quot;hourssat&quot;:&quot;Closed&quot;, &quot;clientkey&quot;:&quot;169096&quot;, &quot;name&quot;:&quot;Madawaska Library&quot;, &quot;locationlinkurl&quot;:null, &quot;address1&quot;:&quot;26A Major Lake Road&quot;, &quot;icon&quot;:&quot;normal&quot;, &quot;bho&quot;:null, &quot;_distanceuom&quot;:&quot;mile&quot;, &quot;hourssun&quot;:&quot;Closed&quot;, &quot;computers&quot;:&quot;N&quot;, &quot;cfl&quot;:&quot;N&quot;, &quot;regionalimageurl&quot;:null, &quot;city&quot;:&quot;Madawask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7.04&quot;, &quot;inktoner&quot;:&quot;N&quot;, &quot;nationalinkurl&quot;:null, &quot;regionallinkurl&quot;:null, &quot;cellphones&quot;:&quot;Y&quot;, &quot;hourstues&quot;:&quot;10:00 a.m. to 12:00 p.m.&quot;, &quot;consumerelectronics&quot;:&quot;N&quot;, &quot;hourswed&quot;:&quot;5:30 p.m. to 7:30 p.m.&quot;, &quot;rank&quot;:&quot;0&quot;"/>
            <x14:filter val="&quot;rechargeable&quot;: &quot;Y&quot;, &quot;nationalimageurl&quot;:null, &quot;glasses&quot;:&quot;N&quot;, &quot;hoursthurs&quot;:&quot;5:00 p.m. to 7:30 p.m&quot;, &quot;state&quot;:null, &quot;retailerimageurl&quot;:null, &quot;hoursfri&quot;:&quot;Closed&quot;, &quot;acceptedmaterialsurl&quot;:null, &quot;latitude&quot;:&quot;45.4600026&quot;, &quot;url&quot;:null, &quot;postalcode&quot;:&quot;K0J 2M0&quot;, &quot;province&quot;:&quot;ON&quot;, &quot;sustainabilityurl&quot;:null, &quot;hoursmon&quot;:&quot;Closed&quot;, &quot;longitude&quot;:&quot;-78.1642873&quot;, &quot;uid&quot;:523023627, &quot;retailerlinkurl&quot;:null, &quot;hourssat&quot;:&quot;Closed&quot;, &quot;clientkey&quot;:&quot;169097&quot;, &quot;name&quot;:&quot;Whitney Library&quot;, &quot;locationlinkurl&quot;:null, &quot;address1&quot;:&quot;33 Medical Centre Rd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4.65&quot;, &quot;inktoner&quot;:&quot;N&quot;, &quot;nationalinkurl&quot;:null, &quot;regionallinkurl&quot;:null, &quot;cellphones&quot;:&quot;Y&quot;, &quot;hourstues&quot;:&quot;5:00 p.m. to 7:30 p.m&quot;, &quot;consumerelectronics&quot;:&quot;N&quot;, &quot;hourswed&quot;:&quot;11:00 a.m. to 6:00 p.m&quot;, &quot;rank&quot;:&quot;0&quot;"/>
            <x14:filter val="&quot;rechargeable&quot;: &quot;Y&quot;, &quot;nationalimageurl&quot;:null, &quot;glasses&quot;:&quot;N&quot;, &quot;hoursthurs&quot;:&quot;5:00 p.m. to 7:30 p.m&quot;, &quot;state&quot;:null, &quot;retailerimageurl&quot;:null, &quot;hoursfri&quot;:&quot;Closed&quot;, &quot;acceptedmaterialsurl&quot;:null, &quot;latitude&quot;:&quot;45.4600026&quot;, &quot;url&quot;:null, &quot;postalcode&quot;:&quot;K0J 2M0&quot;, &quot;province&quot;:&quot;ON&quot;, &quot;sustainabilityurl&quot;:null, &quot;hoursmon&quot;:&quot;Closed&quot;, &quot;longitude&quot;:&quot;-78.1642873&quot;, &quot;uid&quot;:523023627, &quot;retailerlinkurl&quot;:null, &quot;hourssat&quot;:&quot;Closed&quot;, &quot;clientkey&quot;:&quot;169097&quot;, &quot;name&quot;:&quot;Whitney Library&quot;, &quot;locationlinkurl&quot;:null, &quot;address1&quot;:&quot;33 Medical Centre Rd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7.33&quot;, &quot;inktoner&quot;:&quot;N&quot;, &quot;nationalinkurl&quot;:null, &quot;regionallinkurl&quot;:null, &quot;cellphones&quot;:&quot;Y&quot;, &quot;hourstues&quot;:&quot;5:00 p.m. to 7:30 p.m&quot;, &quot;consumerelectronics&quot;:&quot;N&quot;, &quot;hourswed&quot;:&quot;11:00 a.m. to 6:00 p.m&quot;, &quot;rank&quot;:&quot;0&quot;"/>
            <x14:filter val="&quot;rechargeable&quot;: &quot;Y&quot;, &quot;nationalimageurl&quot;:null, &quot;glasses&quot;:&quot;N&quot;, &quot;hoursthurs&quot;:&quot;6:00am-10:00pm&quot;, &quot;state&quot;:&quot;MI&quot;, &quot;retailerimageurl&quot;:null, &quot;hoursfri&quot;:&quot;6:00am-10:00pm&quot;, &quot;acceptedmaterialsurl&quot;:null, &quot;latitude&quot;:&quot;42.1393206748466&quot;, &quot;url&quot;:&quot;http://www.homedepot.com&quot;, &quot;postalcode&quot;:&quot;48183&quot;, &quot;province&quot;:null, &quot;sustainabilityurl&quot;:&quot;https://corporate.homedepot.com/CorporateResponsibility/Environment/Pages/default.aspx&quot;, &quot;hoursmon&quot;:&quot;6:00am-10:00pm&quot;, &quot;longitude&quot;:&quot;-83.2260723312883&quot;, &quot;uid&quot;:1182196931, &quot;retailerlinkurl&quot;:null, &quot;hourssat&quot;:&quot;6:00am-10:00pm&quot;, &quot;clientkey&quot;:&quot;43129&quot;, &quot;name&quot;:&quot;The Home Depot&quot;, &quot;locationlinkurl&quot;:null, &quot;address1&quot;:&quot;23300 Allen R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Woodhaven&quot;, &quot;singleuse&quot;:&quot;N&quot;, &quot;fax&quot;:null, &quot;country&quot;:&quot;US&quot;, &quot;logourl&quot;:&quot;http://www.call2recycle.org/notpress/where2getit/homedepot.png&quot;, &quot;phone&quot;:&quot;734-671-4400&quot;, &quot;address2&quot;:null, &quot;locationimageurl&quot;:null, &quot;_distance&quot;:&quot;14.90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MI&quot;, &quot;retailerimageurl&quot;:null, &quot;hoursfri&quot;:&quot;6:00am-10:00pm&quot;, &quot;acceptedmaterialsurl&quot;:null, &quot;latitude&quot;:&quot;42.1883091835448&quot;, &quot;url&quot;:&quot;http://www.lowes.com&quot;, &quot;postalcode&quot;:&quot;48195&quot;, &quot;province&quot;:null, &quot;sustainabilityurl&quot;:&quot;http://responsibility.lowes.com/environment/our-programs/our-mission/&quot;, &quot;hoursmon&quot;:&quot;6:00am-10:00pm&quot;, &quot;longitude&quot;:&quot;-83.1925567531649&quot;, &quot;uid&quot;:1182182070, &quot;retailerlinkurl&quot;:null, &quot;hourssat&quot;:&quot;6:00am-10:00pm&quot;, &quot;clientkey&quot;:&quot;69124&quot;, &quot;name&quot;:&quot;Lowes&quot;, &quot;locationlinkurl&quot;:null, &quot;address1&quot;:&quot;16410 Trenton R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Southgate&quot;, &quot;singleuse&quot;:&quot;N&quot;, &quot;fax&quot;:null, &quot;country&quot;:&quot;US&quot;, &quot;logourl&quot;:&quot;http://www.call2recycle.org/notpress/where2getit/lowes.png&quot;, &quot;phone&quot;:&quot;734-284-6843&quot;, &quot;address2&quot;:null, &quot;locationimageurl&quot;:null, &quot;_distance&quot;:&quot;13.33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2.9050804209813&quot;, &quot;url&quot;:&quot;http://www.homedepot.com&quot;, &quot;postalcode&quot;:&quot;14225&quot;, &quot;province&quot;:null, &quot;sustainabilityurl&quot;:&quot;https://corporate.homedepot.com/CorporateResponsibility/Environment/Pages/default.aspx&quot;, &quot;hoursmon&quot;:&quot;6:00am-10:00pm&quot;, &quot;longitude&quot;:&quot;-78.7805894293704&quot;, &quot;uid&quot;:1182199229, &quot;retailerlinkurl&quot;:null, &quot;hourssat&quot;:&quot;6:00am-10:00pm&quot;, &quot;clientkey&quot;:&quot;42638&quot;, &quot;name&quot;:&quot;The Home Depot&quot;, &quot;locationlinkurl&quot;:null, &quot;address1&quot;:&quot;300 Thruway Plaza Dr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homedepot.png&quot;, &quot;phone&quot;:&quot;716-895-6680&quot;, &quot;address2&quot;:null, &quot;locationimageurl&quot;:null, &quot;_distance&quot;:&quot;14.05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2.9543446666667&quot;, &quot;url&quot;:&quot;http://www.homedepot.com&quot;, &quot;postalcode&quot;:&quot;14207&quot;, &quot;province&quot;:null, &quot;sustainabilityurl&quot;:&quot;https://corporate.homedepot.com/CorporateResponsibility/Environment/Pages/default.aspx&quot;, &quot;hoursmon&quot;:&quot;6:00am-10:00pm&quot;, &quot;longitude&quot;:&quot;-78.8783137142857&quot;, &quot;uid&quot;:1182178119, &quot;retailerlinkurl&quot;:null, &quot;hourssat&quot;:&quot;6:00am-10:00pm&quot;, &quot;clientkey&quot;:&quot;42642&quot;, &quot;name&quot;:&quot;The Home Depot&quot;, &quot;locationlinkurl&quot;:null, &quot;address1&quot;:&quot;2100 Elmwood Ave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homedepot.png&quot;, &quot;phone&quot;:&quot;716-871-8800&quot;, &quot;address2&quot;:null, &quot;locationimageurl&quot;:null, &quot;_distance&quot;:&quot;8.5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004893628919&quot;, &quot;url&quot;:&quot;http://www.lowes.com&quot;, &quot;postalcode&quot;:&quot;14228&quot;, &quot;province&quot;:null, &quot;sustainabilityurl&quot;:&quot;http://responsibility.lowes.com/environment/our-programs/our-mission/&quot;, &quot;hoursmon&quot;:&quot;6:00am-10:00pm&quot;, &quot;longitude&quot;:&quot;-78.8223262699096&quot;, &quot;uid&quot;:1182178889, &quot;retailerlinkurl&quot;:null, &quot;hourssat&quot;:&quot;6:00am-10:00pm&quot;, &quot;clientkey&quot;:&quot;76601&quot;, &quot;name&quot;:&quot;Lowes&quot;, &quot;locationlinkurl&quot;:null, &quot;address1&quot;:&quot;1659 Niagara Falls Blv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Buffalo&quot;, &quot;singleuse&quot;:&quot;N&quot;, &quot;fax&quot;:null, &quot;country&quot;:&quot;US&quot;, &quot;logourl&quot;:&quot;http://www.call2recycle.org/notpress/where2getit/lowes.png&quot;, &quot;phone&quot;:&quot;716-831-5990&quot;, &quot;address2&quot;:null, &quot;locationimageurl&quot;:null, &quot;_distance&quot;:&quot;11.62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10624&quot;, &quot;url&quot;:&quot;http://www.homedepot.com&quot;, &quot;postalcode&quot;:&quot;14228&quot;, &quot;province&quot;:null, &quot;sustainabilityurl&quot;:&quot;https://corporate.homedepot.com/CorporateResponsibility/Environment/Pages/default.aspx&quot;, &quot;hoursmon&quot;:&quot;6:00am-10:00pm&quot;, &quot;longitude&quot;:&quot;-78.822318&quot;, &quot;uid&quot;:1182188669, &quot;retailerlinkurl&quot;:null, &quot;hourssat&quot;:&quot;6:00am-10:00pm&quot;, &quot;clientkey&quot;:&quot;42641&quot;, &quot;name&quot;:&quot;The Home Depot&quot;, &quot;locationlinkurl&quot;:null, &quot;address1&quot;:&quot;2065 Niagara Falls Blvd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Amherst&quot;, &quot;singleuse&quot;:&quot;N&quot;, &quot;fax&quot;:null, &quot;country&quot;:&quot;US&quot;, &quot;logourl&quot;:&quot;http://www.call2recycle.org/notpress/where2getit/homedepot.png&quot;, &quot;phone&quot;:&quot;716-639-9600&quot;, &quot;address2&quot;:null, &quot;locationimageurl&quot;:null, &quot;_distance&quot;:&quot;11.79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6:00am-10:00pm&quot;, &quot;state&quot;:&quot;NY&quot;, &quot;retailerimageurl&quot;:null, &quot;hoursfri&quot;:&quot;6:00am-10:00pm&quot;, &quot;acceptedmaterialsurl&quot;:null, &quot;latitude&quot;:&quot;43.0882292307692&quot;, &quot;url&quot;:&quot;http://www.homedepot.com&quot;, &quot;postalcode&quot;:&quot;14304&quot;, &quot;province&quot;:null, &quot;sustainabilityurl&quot;:&quot;https://corporate.homedepot.com/CorporateResponsibility/Environment/Pages/default.aspx&quot;, &quot;hoursmon&quot;:&quot;6:00am-10:00pm&quot;, &quot;longitude&quot;:&quot;-78.9914680769231&quot;, &quot;uid&quot;:1182199230, &quot;retailerlinkurl&quot;:null, &quot;hourssat&quot;:&quot;6:00am-10:00pm&quot;, &quot;clientkey&quot;:&quot;42646&quot;, &quot;name&quot;:&quot;The Home Depot&quot;, &quot;locationlinkurl&quot;:null, &quot;address1&quot;:&quot;750 Builders Way&quot;, &quot;icon&quot;:&quot;preferred&quot;, &quot;bho&quot;:null, &quot;_distanceuom&quot;:&quot;mile&quot;, &quot;hourssun&quot;:&quot;8:00am-8:00pm&quot;, &quot;computers&quot;:&quot;N&quot;, &quot;cfl&quot;:&quot;Y&quot;, &quot;regionalimageurl&quot;:null, &quot;city&quot;:&quot;Niagara Falls&quot;, &quot;singleuse&quot;:&quot;N&quot;, &quot;fax&quot;:null, &quot;country&quot;:&quot;US&quot;, &quot;logourl&quot;:&quot;http://www.call2recycle.org/notpress/where2getit/homedepot.png&quot;, &quot;phone&quot;:&quot;716-236-0761&quot;, &quot;address2&quot;:null, &quot;locationimageurl&quot;:null, &quot;_distance&quot;:&quot;9.04&quot;, &quot;inktoner&quot;:&quot;N&quot;, &quot;nationalinkurl&quot;:null, &quot;regionallinkurl&quot;:null, &quot;cellphones&quot;:&quot;Y&quot;, &quot;hourstues&quot;:&quot;6:00am-10:00pm&quot;, &quot;consumerelectronics&quot;:&quot;N&quot;, &quot;hourswed&quot;:&quot;6:00am-10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062405882353&quot;, &quot;url&quot;:&quot;http://www.canadiantire.ca&quot;, &quot;postalcode&quot;:&quot;N5V 4Y5&quot;, &quot;province&quot;:&quot;ON&quot;, &quot;sustainabilityurl&quot;:null, &quot;hoursmon&quot;:&quot;8:00am-9:00pm&quot;, &quot;longitude&quot;:&quot;-81.1704935294118&quot;, &quot;uid&quot;:1182182746, &quot;retailerlinkurl&quot;:null, &quot;hourssat&quot;:&quot;Please Call&quot;, &quot;clientkey&quot;:&quot;1555&quot;, &quot;name&quot;:&quot;Canadian Tire&quot;, &quot;locationlinkurl&quot;:null, &quot;address1&quot;:&quot;1975 Dunda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canadiantire.png&quot;, &quot;phone&quot;:&quot;519-451-6260&quot;, &quot;address2&quot;:null, &quot;locationimageurl&quot;:null, &quot;_distance&quot;:&quot;12.5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062405882353&quot;, &quot;url&quot;:&quot;http://www.canadiantire.ca&quot;, &quot;postalcode&quot;:&quot;N5V 4Y5&quot;, &quot;province&quot;:&quot;ON&quot;, &quot;sustainabilityurl&quot;:null, &quot;hoursmon&quot;:&quot;8:00am-9:00pm&quot;, &quot;longitude&quot;:&quot;-81.1704935294118&quot;, &quot;uid&quot;:1182182746, &quot;retailerlinkurl&quot;:null, &quot;hourssat&quot;:&quot;Please Call&quot;, &quot;clientkey&quot;:&quot;1555&quot;, &quot;name&quot;:&quot;Canadian Tire&quot;, &quot;locationlinkurl&quot;:null, &quot;address1&quot;:&quot;1975 Dunda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canadiantire.png&quot;, &quot;phone&quot;:&quot;519-451-6260&quot;, &quot;address2&quot;:null, &quot;locationimageurl&quot;:null, &quot;_distance&quot;:&quot;13.0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0416027272727&quot;, &quot;url&quot;:&quot;http://www.canadiantire.ca&quot;, &quot;postalcode&quot;:&quot;N5C 1S5&quot;, &quot;province&quot;:&quot;ON&quot;, &quot;sustainabilityurl&quot;:null, &quot;hoursmon&quot;:&quot;8:00am-9:00pm&quot;, &quot;longitude&quot;:&quot;-80.8822027272727&quot;, &quot;uid&quot;:239851921, &quot;retailerlinkurl&quot;:null, &quot;hourssat&quot;:&quot;Please Call&quot;, &quot;clientkey&quot;:&quot;1514&quot;, &quot;name&quot;:&quot;Canadian Tire&quot;, &quot;locationlinkurl&quot;:null, &quot;address1&quot;:&quot;98 Mutual St S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Ingersoll&quot;, &quot;singleuse&quot;:&quot;Y&quot;, &quot;fax&quot;:null, &quot;country&quot;:&quot;CA&quot;, &quot;logourl&quot;:&quot;http://www.call2recycle.org/notpress/where2getit/canadiantire.png&quot;, &quot;phone&quot;:&quot;519-485-3900&quot;, &quot;address2&quot;:null, &quot;locationimageurl&quot;:null, &quot;_distance&quot;:&quot;6.8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25503&quot;, &quot;url&quot;:&quot;http://www.canadiantire.ca&quot;, &quot;postalcode&quot;:&quot;L8L 2V6&quot;, &quot;province&quot;:&quot;ON&quot;, &quot;sustainabilityurl&quot;:null, &quot;hoursmon&quot;:&quot;8:00am-9:00pm&quot;, &quot;longitude&quot;:&quot;-79.83035&quot;, &quot;uid&quot;:1182194750, &quot;retailerlinkurl&quot;:null, &quot;hourssat&quot;:&quot;Please Call&quot;, &quot;clientkey&quot;:&quot;1528&quot;, &quot;name&quot;:&quot;Canadian Tire&quot;, &quot;locationlinkurl&quot;:null, &quot;address1&quot;:&quot;Barton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canadiantire.png&quot;, &quot;phone&quot;:&quot;905-549-1336&quot;, &quot;address2&quot;:null, &quot;locationimageurl&quot;:null, &quot;_distance&quot;:&quot;13.2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25503&quot;, &quot;url&quot;:&quot;http://www.canadiantire.ca&quot;, &quot;postalcode&quot;:&quot;L8L 2V6&quot;, &quot;province&quot;:&quot;ON&quot;, &quot;sustainabilityurl&quot;:null, &quot;hoursmon&quot;:&quot;8:00am-9:00pm&quot;, &quot;longitude&quot;:&quot;-79.83035&quot;, &quot;uid&quot;:1182194750, &quot;retailerlinkurl&quot;:null, &quot;hourssat&quot;:&quot;Please Call&quot;, &quot;clientkey&quot;:&quot;1528&quot;, &quot;name&quot;:&quot;Canadian Tire&quot;, &quot;locationlinkurl&quot;:null, &quot;address1&quot;:&quot;Barton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canadiantire.png&quot;, &quot;phone&quot;:&quot;905-549-1336&quot;, &quot;address2&quot;:null, &quot;locationimageurl&quot;:null, &quot;_distance&quot;:&quot;13.6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3464639130435&quot;, &quot;url&quot;:&quot;http://www.canadiantire.ca&quot;, &quot;postalcode&quot;:&quot;L7R 3N2&quot;, &quot;province&quot;:&quot;ON&quot;, &quot;sustainabilityurl&quot;:null, &quot;hoursmon&quot;:&quot;8:00am-9:00pm&quot;, &quot;longitude&quot;:&quot;-79.7963565217391&quot;, &quot;uid&quot;:587927861, &quot;retailerlinkurl&quot;:null, &quot;hourssat&quot;:&quot;Please Call&quot;, &quot;clientkey&quot;:&quot;1682&quot;, &quot;name&quot;:&quot;Canadian Tire&quot;, &quot;locationlinkurl&quot;:null, &quot;address1&quot;:&quot;777 Guelph Lin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urlington&quot;, &quot;singleuse&quot;:&quot;Y&quot;, &quot;fax&quot;:null, &quot;country&quot;:&quot;CA&quot;, &quot;logourl&quot;:&quot;http://www.call2recycle.org/notpress/where2getit/canadiantire.png&quot;, &quot;phone&quot;:&quot;905-639-6711&quot;, &quot;address2&quot;:null, &quot;locationimageurl&quot;:null, &quot;_distance&quot;:&quot;9.1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415727&quot;, &quot;url&quot;:&quot;http://www.canadiantire.ca&quot;, &quot;postalcode&quot;:&quot;L9T 6R1&quot;, &quot;province&quot;:&quot;ON&quot;, &quot;sustainabilityurl&quot;:null, &quot;hoursmon&quot;:&quot;8:00am-9:00pm&quot;, &quot;longitude&quot;:&quot;-79.8715343&quot;, &quot;uid&quot;:-2088431991, &quot;retailerlinkurl&quot;:null, &quot;hourssat&quot;:&quot;Please Call&quot;, &quot;clientkey&quot;:&quot;1583&quot;, &quot;name&quot;:&quot;Canadian Tire&quot;, &quot;locationlinkurl&quot;:null, &quot;address1&quot;:&quot;1210 Steeles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lton&quot;, &quot;singleuse&quot;:&quot;Y&quot;, &quot;fax&quot;:null, &quot;country&quot;:&quot;CA&quot;, &quot;logourl&quot;:&quot;http://www.call2recycle.org/notpress/where2getit/canadiantire.png&quot;, &quot;phone&quot;:&quot;905-878-2349&quot;, &quot;address2&quot;:null, &quot;locationimageurl&quot;:null, &quot;_distance&quot;:&quot;12.4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415727&quot;, &quot;url&quot;:&quot;http://www.canadiantire.ca&quot;, &quot;postalcode&quot;:&quot;L9T 6R1&quot;, &quot;province&quot;:&quot;ON&quot;, &quot;sustainabilityurl&quot;:null, &quot;hoursmon&quot;:&quot;8:00am-9:00pm&quot;, &quot;longitude&quot;:&quot;-79.8715343&quot;, &quot;uid&quot;:-2088431991, &quot;retailerlinkurl&quot;:null, &quot;hourssat&quot;:&quot;Please Call&quot;, &quot;clientkey&quot;:&quot;1583&quot;, &quot;name&quot;:&quot;Canadian Tire&quot;, &quot;locationlinkurl&quot;:null, &quot;address1&quot;:&quot;1210 Steeles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lton&quot;, &quot;singleuse&quot;:&quot;Y&quot;, &quot;fax&quot;:null, &quot;country&quot;:&quot;CA&quot;, &quot;logourl&quot;:&quot;http://www.call2recycle.org/notpress/where2getit/canadiantire.png&quot;, &quot;phone&quot;:&quot;905-878-2349&quot;, &quot;address2&quot;:null, &quot;locationimageurl&quot;:null, &quot;_distance&quot;:&quot;13.1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5669954054054&quot;, &quot;url&quot;:&quot;http://www.canadiantire.ca&quot;, &quot;postalcode&quot;:&quot;L5C 1T8&quot;, &quot;province&quot;:&quot;ON&quot;, &quot;sustainabilityurl&quot;:null, &quot;hoursmon&quot;:&quot;8:00am-9:00pm&quot;, &quot;longitude&quot;:&quot;-79.6343627027027&quot;, &quot;uid&quot;:1724594261, &quot;retailerlinkurl&quot;:null, &quot;hourssat&quot;:&quot;Please Call&quot;, &quot;clientkey&quot;:&quot;1569&quot;, &quot;name&quot;:&quot;Canadian Tire&quot;, &quot;locationlinkurl&quot;:null, &quot;address1&quot;:&quot;3050 Mavis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canadiantire.png&quot;, &quot;phone&quot;:&quot;905-270-9200&quot;, &quot;address2&quot;:null, &quot;locationimageurl&quot;:null, &quot;_distance&quot;:&quot;8.9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0446&quot;, &quot;url&quot;:&quot;http://www.canadiantire.ca&quot;, &quot;postalcode&quot;:&quot;L4Y 2C1&quot;, &quot;province&quot;:&quot;ON&quot;, &quot;sustainabilityurl&quot;:null, &quot;hoursmon&quot;:&quot;8:00am-9:00pm&quot;, &quot;longitude&quot;:&quot;-79.58928&quot;, &quot;uid&quot;:1182177842, &quot;retailerlinkurl&quot;:null, &quot;hourssat&quot;:&quot;Please Call&quot;, &quot;clientkey&quot;:&quot;134344&quot;, &quot;name&quot;:&quot;Canadian Tire&quot;, &quot;locationlinkurl&quot;:null, &quot;address1&quot;:&quot;1156 Dundas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canadiantire.png&quot;, &quot;phone&quot;:&quot;905-272-4800&quot;, &quot;address2&quot;:null, &quot;locationimageurl&quot;:null, &quot;_distance&quot;:&quot;12.0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493977405453&quot;, &quot;url&quot;:&quot;http://www.canadiantire.ca&quot;, &quot;postalcode&quot;:&quot;L7G 4B3&quot;, &quot;province&quot;:&quot;ON&quot;, &quot;sustainabilityurl&quot;:null, &quot;hoursmon&quot;:&quot;8:00am-9:00pm&quot;, &quot;longitude&quot;:&quot;-79.8871084649661&quot;, &quot;uid&quot;:1182191356, &quot;retailerlinkurl&quot;:null, &quot;hourssat&quot;:&quot;Please Call&quot;, &quot;clientkey&quot;:&quot;1516&quot;, &quot;name&quot;:&quot;Canadian Tire&quot;, &quot;locationlinkurl&quot;:null, &quot;address1&quot;:&quot;315 Guelph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eorgetown&quot;, &quot;singleuse&quot;:&quot;Y&quot;, &quot;fax&quot;:null, &quot;country&quot;:&quot;CA&quot;, &quot;logourl&quot;:&quot;http://www.call2recycle.org/notpress/where2getit/canadiantire.png&quot;, &quot;phone&quot;:&quot;905-877-5289&quot;, &quot;address2&quot;:null, &quot;locationimageurl&quot;:null, &quot;_distance&quot;:&quot;10.5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5879&quot;, &quot;url&quot;:&quot;http://www.canadiantire.ca&quot;, &quot;postalcode&quot;:&quot;M4M 1B4&quot;, &quot;province&quot;:&quot;ON&quot;, &quot;sustainabilityurl&quot;:null, &quot;hoursmon&quot;:&quot;8:00am-9:00pm&quot;, &quot;longitude&quot;:&quot;-79.3289&quot;, &quot;uid&quot;:1503278433, &quot;retailerlinkurl&quot;:null, &quot;hourssat&quot;:&quot;Please Call&quot;, &quot;clientkey&quot;:&quot;116817&quot;, &quot;name&quot;:&quot;Canadian Tire&quot;, &quot;locationlinkurl&quot;:null, &quot;address1&quot;:&quot;1025 Lakeshore Blvd E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78-0102&quot;, &quot;address2&quot;:null, &quot;locationimageurl&quot;:null, &quot;_distance&quot;:&quot;2.6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08312&quot;, &quot;url&quot;:&quot;http://www.canadiantire.ca&quot;, &quot;postalcode&quot;:&quot;M6N 5B4&quot;, &quot;province&quot;:&quot;ON&quot;, &quot;sustainabilityurl&quot;:null, &quot;hoursmon&quot;:&quot;8:00am-9:00pm&quot;, &quot;longitude&quot;:&quot;-79.471975&quot;, &quot;uid&quot;:1182174480, &quot;retailerlinkurl&quot;:null, &quot;hourssat&quot;:&quot;Please Call&quot;, &quot;clientkey&quot;:&quot;32961&quot;, &quot;name&quot;:&quot;Canadian Tire&quot;, &quot;locationlinkurl&quot;:null, &quot;address1&quot;:&quot;2129 St Clair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66-8141&quot;, &quot;address2&quot;:null, &quot;locationimageurl&quot;:null, &quot;_distance&quot;:&quot;7.4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08312&quot;, &quot;url&quot;:&quot;http://www.canadiantire.ca&quot;, &quot;postalcode&quot;:&quot;M6N 5B4&quot;, &quot;province&quot;:&quot;ON&quot;, &quot;sustainabilityurl&quot;:null, &quot;hoursmon&quot;:&quot;8:00am-9:00pm&quot;, &quot;longitude&quot;:&quot;-79.471975&quot;, &quot;uid&quot;:1182174480, &quot;retailerlinkurl&quot;:null, &quot;hourssat&quot;:&quot;Please Call&quot;, &quot;clientkey&quot;:&quot;32961&quot;, &quot;name&quot;:&quot;Canadian Tire&quot;, &quot;locationlinkurl&quot;:null, &quot;address1&quot;:&quot;2129 St Clair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66-8141&quot;, &quot;address2&quot;:null, &quot;locationimageurl&quot;:null, &quot;_distance&quot;:&quot;7.9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72983030303&quot;, &quot;url&quot;:&quot;http://www.canadiantire.ca&quot;, &quot;postalcode&quot;:&quot;M4W 2H2&quot;, &quot;province&quot;:&quot;ON&quot;, &quot;sustainabilityurl&quot;:null, &quot;hoursmon&quot;:&quot;8:00am-9:00pm&quot;, &quot;longitude&quot;:&quot;-79.3878990909091&quot;, &quot;uid&quot;:1522038878, &quot;retailerlinkurl&quot;:null, &quot;hourssat&quot;:&quot;Please Call&quot;, &quot;clientkey&quot;:&quot;1445&quot;, &quot;name&quot;:&quot;Canadian Tire&quot;, &quot;locationlinkurl&quot;:null, &quot;address1&quot;:&quot;839 Yonge Stree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925-9592&quot;, &quot;address2&quot;:null, &quot;locationimageurl&quot;:null, &quot;_distance&quot;:&quot;4.70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6914476674055&quot;, &quot;url&quot;:&quot;http://www.canadiantire.ca&quot;, &quot;postalcode&quot;:&quot;N1M 3N7&quot;, &quot;province&quot;:&quot;ON&quot;, &quot;sustainabilityurl&quot;:null, &quot;hoursmon&quot;:&quot;8:00am-9:00pm&quot;, &quot;longitude&quot;:&quot;-80.3603031196803&quot;, &quot;uid&quot;:131278621, &quot;retailerlinkurl&quot;:null, &quot;hourssat&quot;:&quot;Please Call&quot;, &quot;clientkey&quot;:&quot;1501&quot;, &quot;name&quot;:&quot;Canadian Tire&quot;, &quot;locationlinkurl&quot;:null, &quot;address1&quot;:&quot;950 Tower St S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Fergus&quot;, &quot;singleuse&quot;:&quot;Y&quot;, &quot;fax&quot;:null, &quot;country&quot;:&quot;CA&quot;, &quot;logourl&quot;:&quot;http://www.call2recycle.org/notpress/where2getit/canadiantire.png&quot;, &quot;phone&quot;:&quot;519-843-3680&quot;, &quot;address2&quot;:null, &quot;locationimageurl&quot;:null, &quot;_distance&quot;:&quot;13.6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23005&quot;, &quot;url&quot;:&quot;http://www.canadiantire.ca&quot;, &quot;postalcode&quot;:&quot;M4G 4G9&quot;, &quot;province&quot;:&quot;ON&quot;, &quot;sustainabilityurl&quot;:null, &quot;hoursmon&quot;:&quot;8:00am-9:00pm&quot;, &quot;longitude&quot;:&quot;-79.3634007&quot;, &quot;uid&quot;:1182180701, &quot;retailerlinkurl&quot;:null, &quot;hourssat&quot;:&quot;Please Call&quot;, &quot;clientkey&quot;:&quot;1409&quot;, &quot;name&quot;:&quot;Canadian Tire&quot;, &quot;locationlinkurl&quot;:null, &quot;address1&quot;:&quot;825 Eglinton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422-0303&quot;, &quot;address2&quot;:null, &quot;locationimageurl&quot;:null, &quot;_distance&quot;:&quot;6.5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66569&quot;, &quot;url&quot;:&quot;http://www.canadiantire.ca&quot;, &quot;postalcode&quot;:&quot;M6A 1B6&quot;, &quot;province&quot;:&quot;ON&quot;, &quot;sustainabilityurl&quot;:null, &quot;hoursmon&quot;:&quot;8:00am-9:00pm&quot;, &quot;longitude&quot;:&quot;-79.4472576&quot;, &quot;uid&quot;:1561147013, &quot;retailerlinkurl&quot;:null, &quot;hourssat&quot;:&quot;Please Call&quot;, &quot;clientkey&quot;:&quot;1465&quot;, &quot;name&quot;:&quot;Canadian Tire&quot;, &quot;locationlinkurl&quot;:null, &quot;address1&quot;:&quot;700 Lawrence Ave.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87-1203&quot;, &quot;address2&quot;:null, &quot;locationimageurl&quot;:null, &quot;_distance&quot;:&quot;7.4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166569&quot;, &quot;url&quot;:&quot;http://www.canadiantire.ca&quot;, &quot;postalcode&quot;:&quot;M6A 1B6&quot;, &quot;province&quot;:&quot;ON&quot;, &quot;sustainabilityurl&quot;:null, &quot;hoursmon&quot;:&quot;8:00am-9:00pm&quot;, &quot;longitude&quot;:&quot;-79.4472576&quot;, &quot;uid&quot;:1561147013, &quot;retailerlinkurl&quot;:null, &quot;hourssat&quot;:&quot;Please Call&quot;, &quot;clientkey&quot;:&quot;1465&quot;, &quot;name&quot;:&quot;Canadian Tire&quot;, &quot;locationlinkurl&quot;:null, &quot;address1&quot;:&quot;700 Lawrence Ave.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canadiantire.png&quot;, &quot;phone&quot;:&quot;416-787-1203&quot;, &quot;address2&quot;:null, &quot;locationimageurl&quot;:null, &quot;_distance&quot;:&quot;8.9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255739&quot;, &quot;url&quot;:&quot;http://www.canadiantire.ca&quot;, &quot;postalcode&quot;:&quot;M1L 2L8&quot;, &quot;province&quot;:&quot;ON&quot;, &quot;sustainabilityurl&quot;:null, &quot;hoursmon&quot;:&quot;8:00am-9:00pm&quot;, &quot;longitude&quot;:&quot;-79.2934661&quot;, &quot;uid&quot;:1838960285, &quot;retailerlinkurl&quot;:null, &quot;hourssat&quot;:&quot;Please Call&quot;, &quot;clientkey&quot;:&quot;146324&quot;, &quot;name&quot;:&quot;Canadian Tire&quot;, &quot;locationlinkurl&quot;:null, &quot;address1&quot;:&quot;1901 Eglinton Ave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615-2666&quot;, &quot;address2&quot;:null, &quot;locationimageurl&quot;:null, &quot;_distance&quot;:&quot;7.4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887668115942&quot;, &quot;url&quot;:&quot;http://www.canadiantire.ca&quot;, &quot;postalcode&quot;:&quot;L4L 9C3&quot;, &quot;province&quot;:&quot;ON&quot;, &quot;sustainabilityurl&quot;:null, &quot;hoursmon&quot;:&quot;8:00am-9:00pm&quot;, &quot;longitude&quot;:&quot;-79.5506539130435&quot;, &quot;uid&quot;:-473872663, &quot;retailerlinkurl&quot;:null, &quot;hourssat&quot;:&quot;Please Call&quot;, &quot;clientkey&quot;:&quot;163900&quot;, &quot;name&quot;:&quot;Canadian Tire&quot;, &quot;locationlinkurl&quot;:null, &quot;address1&quot;:&quot;3850 Highway 7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Woodbridge&quot;, &quot;singleuse&quot;:&quot;Y&quot;, &quot;fax&quot;:null, &quot;country&quot;:&quot;CA&quot;, &quot;logourl&quot;:&quot;http://www.call2recycle.org/notpress/where2getit/canadiantire.png&quot;, &quot;phone&quot;:&quot;905-851-3214&quot;, &quot;address2&quot;:null, &quot;locationimageurl&quot;:null, &quot;_distance&quot;:&quot;4.5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899618&quot;, &quot;url&quot;:&quot;http://www.canadiantire.ca&quot;, &quot;postalcode&quot;:&quot;M1S 3V5&quot;, &quot;province&quot;:&quot;ON&quot;, &quot;sustainabilityurl&quot;:null, &quot;hoursmon&quot;:&quot;8:00am-9:00pm&quot;, &quot;longitude&quot;:&quot;-79.2610837&quot;, &quot;uid&quot;:1182180694, &quot;retailerlinkurl&quot;:null, &quot;hourssat&quot;:&quot;Please Call&quot;, &quot;clientkey&quot;:&quot;1662&quot;, &quot;name&quot;:&quot;Canadian Tire&quot;, &quot;locationlinkurl&quot;:null, &quot;address1&quot;:&quot;4630 Sheppard Ave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298-0000&quot;, &quot;address2&quot;:null, &quot;locationimageurl&quot;:null, &quot;_distance&quot;:&quot;6.9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957925&quot;, &quot;url&quot;:&quot;http://www.canadiantire.ca&quot;, &quot;postalcode&quot;:&quot;M2M 3X4&quot;, &quot;province&quot;:&quot;ON&quot;, &quot;sustainabilityurl&quot;:null, &quot;hoursmon&quot;:&quot;8:00am-9:00pm&quot;, &quot;longitude&quot;:&quot;-79.41948875&quot;, &quot;uid&quot;:121745434, &quot;retailerlinkurl&quot;:null, &quot;hourssat&quot;:&quot;Please Call&quot;, &quot;clientkey&quot;:&quot;1506&quot;, &quot;name&quot;:&quot;Canadian Tire&quot;, &quot;locationlinkurl&quot;:null, &quot;address1&quot;:&quot;6310 Yonge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illowdale&quot;, &quot;singleuse&quot;:&quot;Y&quot;, &quot;fax&quot;:null, &quot;country&quot;:&quot;CA&quot;, &quot;logourl&quot;:&quot;http://www.call2recycle.org/notpress/where2getit/canadiantire.png&quot;, &quot;phone&quot;:&quot;416-222-2511&quot;, &quot;address2&quot;:null, &quot;locationimageurl&quot;:null, &quot;_distance&quot;:&quot;7.3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7976226086956&quot;, &quot;url&quot;:&quot;http://www.canadiantire.ca&quot;, &quot;postalcode&quot;:&quot;M1B 4X3&quot;, &quot;province&quot;:&quot;ON&quot;, &quot;sustainabilityurl&quot;:null, &quot;hoursmon&quot;:&quot;8:00am-9:00pm&quot;, &quot;longitude&quot;:&quot;-79.1538730434783&quot;, &quot;uid&quot;:-2116053898, &quot;retailerlinkurl&quot;:null, &quot;hourssat&quot;:&quot;Please Call&quot;, &quot;clientkey&quot;:&quot;156622&quot;, &quot;name&quot;:&quot;Canadian Tire&quot;, &quot;locationlinkurl&quot;:null, &quot;address1&quot;:&quot;111 Rylander Blv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canadiantire.png&quot;, &quot;phone&quot;:&quot;416-283-7707&quot;, &quot;address2&quot;:null, &quot;locationimageurl&quot;:null, &quot;_distance&quot;:&quot;10.2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1358&quot;, &quot;url&quot;:&quot;http://www.canadiantire.ca&quot;, &quot;postalcode&quot;:&quot;L4J 8R9&quot;, &quot;province&quot;:&quot;ON&quot;, &quot;sustainabilityurl&quot;:null, &quot;hoursmon&quot;:&quot;8:00am-9:00pm&quot;, &quot;longitude&quot;:&quot;-79.47625&quot;, &quot;uid&quot;:-473872855, &quot;retailerlinkurl&quot;:null, &quot;hourssat&quot;:&quot;Please Call&quot;, &quot;clientkey&quot;:&quot;163898&quot;, &quot;name&quot;:&quot;Canadian Tire&quot;, &quot;locationlinkurl&quot;:null, &quot;address1&quot;:&quot;8081 Dufferin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ornhill&quot;, &quot;singleuse&quot;:&quot;Y&quot;, &quot;fax&quot;:null, &quot;country&quot;:&quot;CA&quot;, &quot;logourl&quot;:&quot;http://www.call2recycle.org/notpress/where2getit/canadiantire.png&quot;, &quot;phone&quot;:&quot;905-889-7455&quot;, &quot;address2&quot;:null, &quot;locationimageurl&quot;:null, &quot;_distance&quot;:&quot;8.2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1358&quot;, &quot;url&quot;:&quot;http://www.canadiantire.ca&quot;, &quot;postalcode&quot;:&quot;L4J 8R9&quot;, &quot;province&quot;:&quot;ON&quot;, &quot;sustainabilityurl&quot;:null, &quot;hoursmon&quot;:&quot;8:00am-9:00pm&quot;, &quot;longitude&quot;:&quot;-79.47625&quot;, &quot;uid&quot;:-473872855, &quot;retailerlinkurl&quot;:null, &quot;hourssat&quot;:&quot;Please Call&quot;, &quot;clientkey&quot;:&quot;163898&quot;, &quot;name&quot;:&quot;Canadian Tire&quot;, &quot;locationlinkurl&quot;:null, &quot;address1&quot;:&quot;8081 Dufferin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ornhill&quot;, &quot;singleuse&quot;:&quot;Y&quot;, &quot;fax&quot;:null, &quot;country&quot;:&quot;CA&quot;, &quot;logourl&quot;:&quot;http://www.call2recycle.org/notpress/where2getit/canadiantire.png&quot;, &quot;phone&quot;:&quot;905-889-7455&quot;, &quot;address2&quot;:null, &quot;locationimageurl&quot;:null, &quot;_distance&quot;:&quot;8.6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297258263448&quot;, &quot;url&quot;:&quot;http://www.canadiantire.ca&quot;, &quot;postalcode&quot;:&quot;L4K 5R3&quot;, &quot;province&quot;:&quot;ON&quot;, &quot;sustainabilityurl&quot;:null, &quot;hoursmon&quot;:&quot;8:00am-9:00pm&quot;, &quot;longitude&quot;:&quot;-79.5372892772554&quot;, &quot;uid&quot;:1182176231, &quot;retailerlinkurl&quot;:null, &quot;hourssat&quot;:&quot;Please Call&quot;, &quot;clientkey&quot;:&quot;116683&quot;, &quot;name&quot;:&quot;Canadian Tire&quot;, &quot;locationlinkurl&quot;:null, &quot;address1&quot;:&quot;3200 Rutherford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Vaughan&quot;, &quot;singleuse&quot;:&quot;Y&quot;, &quot;fax&quot;:null, &quot;country&quot;:&quot;CA&quot;, &quot;logourl&quot;:&quot;http://www.call2recycle.org/notpress/where2getit/canadiantire.png&quot;, &quot;phone&quot;:&quot;905-417-0125&quot;, &quot;address2&quot;:null, &quot;locationimageurl&quot;:null, &quot;_distance&quot;:&quot;7.37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8434917861008&quot;, &quot;url&quot;:&quot;http://www.canadiantire.ca&quot;, &quot;postalcode&quot;:&quot;L1V 7C7&quot;, &quot;province&quot;:&quot;ON&quot;, &quot;sustainabilityurl&quot;:null, &quot;hoursmon&quot;:&quot;8:00am-9:00pm&quot;, &quot;longitude&quot;:&quot;-79.0698554505003&quot;, &quot;uid&quot;:1182173765, &quot;retailerlinkurl&quot;:null, &quot;hourssat&quot;:&quot;Please Call&quot;, &quot;clientkey&quot;:&quot;1582&quot;, &quot;name&quot;:&quot;Canadian Tire&quot;, &quot;locationlinkurl&quot;:null, &quot;address1&quot;:&quot;1735 Pickering Pky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Pickering&quot;, &quot;singleuse&quot;:&quot;Y&quot;, &quot;fax&quot;:null, &quot;country&quot;:&quot;CA&quot;, &quot;logourl&quot;:&quot;http://www.call2recycle.org/notpress/where2getit/canadiantire.png&quot;, &quot;phone&quot;:&quot;905-686-2308&quot;, &quot;address2&quot;:null, &quot;locationimageurl&quot;:null, &quot;_distance&quot;:&quot;10.4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0952&quot;, &quot;url&quot;:&quot;http://www.canadiantire.ca&quot;, &quot;postalcode&quot;:&quot;L1C 0K5&quot;, &quot;province&quot;:&quot;ON&quot;, &quot;sustainabilityurl&quot;:null, &quot;hoursmon&quot;:&quot;8:00am-9:00pm&quot;, &quot;longitude&quot;:&quot;-78.71215&quot;, &quot;uid&quot;:1717512590, &quot;retailerlinkurl&quot;:null, &quot;hourssat&quot;:&quot;Please Call&quot;, &quot;clientkey&quot;:&quot;1680&quot;, &quot;name&quot;:&quot;Canadian Tire&quot;, &quot;locationlinkurl&quot;:null, &quot;address1&quot;:&quot;2000 Green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owmanville&quot;, &quot;singleuse&quot;:&quot;Y&quot;, &quot;fax&quot;:null, &quot;country&quot;:&quot;CA&quot;, &quot;logourl&quot;:&quot;http://www.call2recycle.org/notpress/where2getit/canadiantire.png&quot;, &quot;phone&quot;:&quot;905-623-5000&quot;, &quot;address2&quot;:null, &quot;locationimageurl&quot;:null, &quot;_distance&quot;:&quot;10.7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191693112809&quot;, &quot;url&quot;:&quot;http://www.canadiantire.ca&quot;, &quot;postalcode&quot;:&quot;L1R 3K5&quot;, &quot;province&quot;:&quot;ON&quot;, &quot;sustainabilityurl&quot;:null, &quot;hoursmon&quot;:&quot;8:00am-9:00pm&quot;, &quot;longitude&quot;:&quot;-78.9481985068482&quot;, &quot;uid&quot;:1182188826, &quot;retailerlinkurl&quot;:null, &quot;hourssat&quot;:&quot;Please Call&quot;, &quot;clientkey&quot;:&quot;42452&quot;, &quot;name&quot;:&quot;Canadian Tire&quot;, &quot;locationlinkurl&quot;:null, &quot;address1&quot;:&quot;4100 Garden Stree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hitby&quot;, &quot;singleuse&quot;:&quot;Y&quot;, &quot;fax&quot;:null, &quot;country&quot;:&quot;CA&quot;, &quot;logourl&quot;:&quot;http://www.call2recycle.org/notpress/where2getit/canadiantire.png&quot;, &quot;phone&quot;:&quot;905-430-4962&quot;, &quot;address2&quot;:null, &quot;locationimageurl&quot;:null, &quot;_distance&quot;:&quot;2.4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363815152165&quot;, &quot;url&quot;:&quot;http://www.canadiantire.ca&quot;, &quot;postalcode&quot;:&quot;L1K 2B8&quot;, &quot;province&quot;:&quot;ON&quot;, &quot;sustainabilityurl&quot;:null, &quot;hoursmon&quot;:&quot;8:00am-9:00pm&quot;, &quot;longitude&quot;:&quot;-78.8589058995898&quot;, &quot;uid&quot;:119639356, &quot;retailerlinkurl&quot;:null, &quot;hourssat&quot;:&quot;Please Call&quot;, &quot;clientkey&quot;:&quot;1397&quot;, &quot;name&quot;:&quot;Canadian Tire&quot;, &quot;locationlinkurl&quot;:null, &quot;address1&quot;:&quot;1333 Wilson Rd N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shawa&quot;, &quot;singleuse&quot;:&quot;Y&quot;, &quot;fax&quot;:null, &quot;country&quot;:&quot;CA&quot;, &quot;logourl&quot;:&quot;http://www.call2recycle.org/notpress/where2getit/canadiantire.png&quot;, &quot;phone&quot;:&quot;905-433-5575&quot;, &quot;address2&quot;:null, &quot;locationimageurl&quot;:null, &quot;_distance&quot;:&quot;3.1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3.9568185393775&quot;, &quot;url&quot;:&quot;http://www.canadiantire.ca&quot;, &quot;postalcode&quot;:&quot;L4A 0K2&quot;, &quot;province&quot;:&quot;ON&quot;, &quot;sustainabilityurl&quot;:null, &quot;hoursmon&quot;:&quot;8:00am-9:00pm&quot;, &quot;longitude&quot;:&quot;-79.2786247921156&quot;, &quot;uid&quot;:1751302932, &quot;retailerlinkurl&quot;:null, &quot;hourssat&quot;:&quot;Please Call&quot;, &quot;clientkey&quot;:&quot;1451&quot;, &quot;name&quot;:&quot;Canadian Tire&quot;, &quot;locationlinkurl&quot;:null, &quot;address1&quot;:&quot;1090 Hoover Park Dri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ouffville&quot;, &quot;singleuse&quot;:&quot;Y&quot;, &quot;fax&quot;:null, &quot;country&quot;:&quot;CA&quot;, &quot;logourl&quot;:&quot;http://www.call2recycle.org/notpress/where2getit/canadiantire.png&quot;, &quot;phone&quot;:&quot;905-640-5800&quot;, &quot;address2&quot;:null, &quot;locationimageurl&quot;:null, &quot;_distance&quot;:&quot;5.9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28028625&quot;, &quot;url&quot;:&quot;http://www.canadiantire.ca&quot;, &quot;postalcode&quot;:&quot;K9J 2A1&quot;, &quot;province&quot;:&quot;ON&quot;, &quot;sustainabilityurl&quot;:null, &quot;hoursmon&quot;:&quot;8:00am-9:00pm&quot;, &quot;longitude&quot;:&quot;-78.35212875&quot;, &quot;uid&quot;:1182182777, &quot;retailerlinkurl&quot;:null, &quot;hourssat&quot;:&quot;Please Call&quot;, &quot;clientkey&quot;:&quot;1581&quot;, &quot;name&quot;:&quot;Canadian Tire&quot;, &quot;locationlinkurl&quot;:null, &quot;address1&quot;:&quot;1200 Lansdowne Street W.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Peterborough&quot;, &quot;singleuse&quot;:&quot;Y&quot;, &quot;fax&quot;:null, &quot;country&quot;:&quot;CA&quot;, &quot;logourl&quot;:&quot;http://www.call2recycle.org/notpress/where2getit/canadiantire.png&quot;, &quot;phone&quot;:&quot;705-742-0406&quot;, &quot;address2&quot;:null, &quot;locationimageurl&quot;:null, &quot;_distance&quot;:&quot;6.7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337385&quot;, &quot;url&quot;:&quot;http://www.canadiantire.ca&quot;, &quot;postalcode&quot;:&quot;K7G 1H4&quot;, &quot;province&quot;:&quot;ON&quot;, &quot;sustainabilityurl&quot;:null, &quot;hoursmon&quot;:&quot;8:00am-9:00pm&quot;, &quot;longitude&quot;:&quot;-76.1504239285714&quot;, &quot;uid&quot;:1182179187, &quot;retailerlinkurl&quot;:null, &quot;hourssat&quot;:&quot;Please Call&quot;, &quot;clientkey&quot;:&quot;1505&quot;, &quot;name&quot;:&quot;Canadian Tire&quot;, &quot;locationlinkurl&quot;:null, &quot;address1&quot;:&quot;705 King S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Gananoque&quot;, &quot;singleuse&quot;:&quot;Y&quot;, &quot;fax&quot;:null, &quot;country&quot;:&quot;CA&quot;, &quot;logourl&quot;:&quot;http://www.call2recycle.org/notpress/where2getit/canadiantire.png&quot;, &quot;phone&quot;:&quot;613-382-3729&quot;, &quot;address2&quot;:null, &quot;locationimageurl&quot;:null, &quot;_distance&quot;:&quot;13.3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40157&quot;, &quot;url&quot;:&quot;http://www.canadiantire.ca&quot;, &quot;postalcode&quot;:&quot;L4M 3C1&quot;, &quot;province&quot;:&quot;ON&quot;, &quot;sustainabilityurl&quot;:null, &quot;hoursmon&quot;:&quot;8:00am-9:00pm&quot;, &quot;longitude&quot;:&quot;-79.70077&quot;, &quot;uid&quot;:1182173701, &quot;retailerlinkurl&quot;:null, &quot;hourssat&quot;:&quot;Please Call&quot;, &quot;clientkey&quot;:&quot;1649&quot;, &quot;name&quot;:&quot;Canadian Tire&quot;, &quot;locationlinkurl&quot;:null, &quot;address1&quot;:&quot;320 Bayfield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arrie&quot;, &quot;singleuse&quot;:&quot;Y&quot;, &quot;fax&quot;:null, &quot;country&quot;:&quot;CA&quot;, &quot;logourl&quot;:&quot;http://www.call2recycle.org/notpress/where2getit/canadiantire.png&quot;, &quot;phone&quot;:&quot;705-726-6418&quot;, &quot;address2&quot;:null, &quot;locationimageurl&quot;:null, &quot;_distance&quot;:&quot;5.9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63189&quot;, &quot;url&quot;:&quot;http://www.canadiantire.ca&quot;, &quot;postalcode&quot;:&quot;L3V 7X6&quot;, &quot;province&quot;:&quot;ON&quot;, &quot;sustainabilityurl&quot;:null, &quot;hoursmon&quot;:&quot;8:00am-9:00pm&quot;, &quot;longitude&quot;:&quot;-79.43708&quot;, &quot;uid&quot;:1182182704, &quot;retailerlinkurl&quot;:null, &quot;hourssat&quot;:&quot;Please Call&quot;, &quot;clientkey&quot;:&quot;1381&quot;, &quot;name&quot;:&quot;Canadian Tire&quot;, &quot;locationlinkurl&quot;:null, &quot;address1&quot;:&quot;1017 Brodie Dri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rillia&quot;, &quot;singleuse&quot;:&quot;Y&quot;, &quot;fax&quot;:null, &quot;country&quot;:&quot;CA&quot;, &quot;logourl&quot;:&quot;http://www.call2recycle.org/notpress/where2getit/canadiantire.png&quot;, &quot;phone&quot;:&quot;705-325-7414&quot;, &quot;address2&quot;:null, &quot;locationimageurl&quot;:null, &quot;_distance&quot;:&quot;4.8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4.9962773&quot;, &quot;url&quot;:&quot;http://www.canadiantire.ca&quot;, &quot;postalcode&quot;:&quot;P1L 1V4&quot;, &quot;province&quot;:&quot;ON&quot;, &quot;sustainabilityurl&quot;:null, &quot;hoursmon&quot;:&quot;8:00am-9:00pm&quot;, &quot;longitude&quot;:&quot;-79.3083362&quot;, &quot;uid&quot;:1182187679, &quot;retailerlinkurl&quot;:null, &quot;hourssat&quot;:&quot;Please Call&quot;, &quot;clientkey&quot;:&quot;1693&quot;, &quot;name&quot;:&quot;Canadian Tire&quot;, &quot;locationlinkurl&quot;:null, &quot;address1&quot;:&quot;Highway #118 We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racebridge&quot;, &quot;singleuse&quot;:&quot;Y&quot;, &quot;fax&quot;:null, &quot;country&quot;:&quot;CA&quot;, &quot;logourl&quot;:&quot;http://www.call2recycle.org/notpress/where2getit/canadiantire.png&quot;, &quot;phone&quot;:&quot;705-645-5261&quot;, &quot;address2&quot;:null, &quot;locationimageurl&quot;:null, &quot;_distance&quot;:&quot;12.88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0827948913303&quot;, &quot;url&quot;:&quot;http://www.canadiantire.ca&quot;, &quot;postalcode&quot;:&quot;K0L 1C0&quot;, &quot;province&quot;:&quot;ON&quot;, &quot;sustainabilityurl&quot;:null, &quot;hoursmon&quot;:&quot;8:00am-9:00pm&quot;, &quot;longitude&quot;:&quot;-77.8604298133936&quot;, &quot;uid&quot;:1182191280, &quot;retailerlinkurl&quot;:null, &quot;hourssat&quot;:&quot;Please Call&quot;, &quot;clientkey&quot;:&quot;1648&quot;, &quot;name&quot;:&quot;Canadian Tire&quot;, &quot;locationlinkurl&quot;:null, &quot;address1&quot;:&quot;341 Hastings St N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ancroft&quot;, &quot;singleuse&quot;:&quot;Y&quot;, &quot;fax&quot;:null, &quot;country&quot;:&quot;CA&quot;, &quot;logourl&quot;:&quot;http://www.call2recycle.org/notpress/where2getit/canadiantire.png&quot;, &quot;phone&quot;:&quot;613-332-1074&quot;, &quot;address2&quot;:null, &quot;locationimageurl&quot;:null, &quot;_distance&quot;:&quot;45.3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13363&quot;, &quot;url&quot;:&quot;http://www.canadiantire.ca&quot;, &quot;postalcode&quot;:&quot;K7C 4S6&quot;, &quot;province&quot;:&quot;ON&quot;, &quot;sustainabilityurl&quot;:null, &quot;hoursmon&quot;:&quot;8:00am-9:00pm&quot;, &quot;longitude&quot;:&quot;-76.12181&quot;, &quot;uid&quot;:1522039162, &quot;retailerlinkurl&quot;:null, &quot;hourssat&quot;:&quot;Please Call&quot;, &quot;clientkey&quot;:&quot;1629&quot;, &quot;name&quot;:&quot;Canadian Tire&quot;, &quot;locationlinkurl&quot;:null, &quot;address1&quot;:&quot;485 McNeely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rleton Place&quot;, &quot;singleuse&quot;:&quot;Y&quot;, &quot;fax&quot;:null, &quot;country&quot;:&quot;CA&quot;, &quot;logourl&quot;:&quot;http://www.call2recycle.org/notpress/where2getit/canadiantire.png&quot;, &quot;phone&quot;:&quot;613-253-8473&quot;, &quot;address2&quot;:null, &quot;locationimageurl&quot;:null, &quot;_distance&quot;:&quot;43.75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27155&quot;, &quot;url&quot;:&quot;http://www.canadiantire.ca&quot;, &quot;postalcode&quot;:&quot;K2J 4Y6&quot;, &quot;province&quot;:&quot;ON&quot;, &quot;sustainabilityurl&quot;:null, &quot;hoursmon&quot;:&quot;8:00am-9:00pm&quot;, &quot;longitude&quot;:&quot;-75.74702&quot;, &quot;uid&quot;:-451185972, &quot;retailerlinkurl&quot;:null, &quot;hourssat&quot;:&quot;Please Call&quot;, &quot;clientkey&quot;:&quot;163961&quot;, &quot;name&quot;:&quot;Canadian Tire&quot;, &quot;locationlinkurl&quot;:null, &quot;address1&quot;:&quot;2501 Greenbank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epean&quot;, &quot;singleuse&quot;:&quot;Y&quot;, &quot;fax&quot;:null, &quot;country&quot;:&quot;CA&quot;, &quot;logourl&quot;:&quot;http://www.call2recycle.org/notpress/where2getit/canadiantire.png&quot;, &quot;phone&quot;:&quot;613-823-5278&quot;, &quot;address2&quot;:null, &quot;locationimageurl&quot;:null, &quot;_distance&quot;:&quot;13.8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048483&quot;, &quot;url&quot;:&quot;http://www.canadiantire.ca&quot;, &quot;postalcode&quot;:&quot;K0A 1M0&quot;, &quot;province&quot;:&quot;ON&quot;, &quot;sustainabilityurl&quot;:null, &quot;hoursmon&quot;:&quot;8:00am-9:00pm&quot;, &quot;longitude&quot;:&quot;-75.0842176&quot;, &quot;uid&quot;:-196090022, &quot;retailerlinkurl&quot;:null, &quot;hourssat&quot;:&quot;Please Call&quot;, &quot;clientkey&quot;:&quot;117300&quot;, &quot;name&quot;:&quot;Canadian Tire&quot;, &quot;locationlinkurl&quot;:null, &quot;address1&quot;:&quot;95 Boul Laflech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sselman&quot;, &quot;singleuse&quot;:&quot;Y&quot;, &quot;fax&quot;:null, &quot;country&quot;:&quot;CA&quot;, &quot;logourl&quot;:&quot;http://www.call2recycle.org/notpress/where2getit/canadiantire.png&quot;, &quot;phone&quot;:&quot;613-764-0401&quot;, &quot;address2&quot;:null, &quot;locationimageurl&quot;:null, &quot;_distance&quot;:&quot;7.5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4272814617&quot;, &quot;url&quot;:&quot;http://www.canadiantire.ca&quot;, &quot;postalcode&quot;:&quot;P1H 1E5&quot;, &quot;province&quot;:&quot;ON&quot;, &quot;sustainabilityurl&quot;:null, &quot;hoursmon&quot;:&quot;8:00am-9:00pm&quot;, &quot;longitude&quot;:&quot;-79.2056134299262&quot;, &quot;uid&quot;:1182173767, &quot;retailerlinkurl&quot;:null, &quot;hourssat&quot;:&quot;Please Call&quot;, &quot;clientkey&quot;:&quot;1513&quot;, &quot;name&quot;:&quot;Canadian Tire&quot;, &quot;locationlinkurl&quot;:null, &quot;address1&quot;:&quot;77 King William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Huntsville&quot;, &quot;singleuse&quot;:&quot;Y&quot;, &quot;fax&quot;:null, &quot;country&quot;:&quot;CA&quot;, &quot;logourl&quot;:&quot;http://www.call2recycle.org/notpress/where2getit/canadiantire.png&quot;, &quot;phone&quot;:&quot;705-789-5566&quot;, &quot;address2&quot;:null, &quot;locationimageurl&quot;:null, &quot;_distance&quot;:&quot;21.0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334272814617&quot;, &quot;url&quot;:&quot;http://www.canadiantire.ca&quot;, &quot;postalcode&quot;:&quot;P1H 1E5&quot;, &quot;province&quot;:&quot;ON&quot;, &quot;sustainabilityurl&quot;:null, &quot;hoursmon&quot;:&quot;8:00am-9:00pm&quot;, &quot;longitude&quot;:&quot;-79.2056134299262&quot;, &quot;uid&quot;:1182173767, &quot;retailerlinkurl&quot;:null, &quot;hourssat&quot;:&quot;Please Call&quot;, &quot;clientkey&quot;:&quot;1513&quot;, &quot;name&quot;:&quot;Canadian Tire&quot;, &quot;locationlinkurl&quot;:null, &quot;address1&quot;:&quot;77 King William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Huntsville&quot;, &quot;singleuse&quot;:&quot;Y&quot;, &quot;fax&quot;:null, &quot;country&quot;:&quot;CA&quot;, &quot;logourl&quot;:&quot;http://www.call2recycle.org/notpress/where2getit/canadiantire.png&quot;, &quot;phone&quot;:&quot;705-789-5566&quot;, &quot;address2&quot;:null, &quot;locationimageurl&quot;:null, &quot;_distance&quot;:&quot;33.84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5.4815908474576&quot;, &quot;url&quot;:&quot;http://www.canadiantire.ca&quot;, &quot;postalcode&quot;:&quot;K7V 3Z4&quot;, &quot;province&quot;:&quot;ON&quot;, &quot;sustainabilityurl&quot;:null, &quot;hoursmon&quot;:&quot;8:00am-9:00pm&quot;, &quot;longitude&quot;:&quot;-76.6472638983051&quot;, &quot;uid&quot;:-1613173642, &quot;retailerlinkurl&quot;:null, &quot;hourssat&quot;:&quot;Please Call&quot;, &quot;clientkey&quot;:&quot;1599&quot;, &quot;name&quot;:&quot;Canadian Tire&quot;, &quot;locationlinkurl&quot;:null, &quot;address1&quot;:&quot;1050 O'Brien Roa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Renfrew&quot;, &quot;singleuse&quot;:&quot;Y&quot;, &quot;fax&quot;:null, &quot;country&quot;:&quot;CA&quot;, &quot;logourl&quot;:&quot;http://www.call2recycle.org/notpress/where2getit/canadiantire.png&quot;, &quot;phone&quot;:&quot;613-432-5821&quot;, &quot;address2&quot;:null, &quot;locationimageurl&quot;:null, &quot;_distance&quot;:&quot;42.01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35.2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39.62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38084&quot;, &quot;url&quot;:&quot;http://www.canadiantire.ca&quot;, &quot;postalcode&quot;:&quot;P7K 1A7&quot;, &quot;province&quot;:&quot;ON&quot;, &quot;sustainabilityurl&quot;:null, &quot;hoursmon&quot;:&quot;8:00am-9:00pm&quot;, &quot;longitude&quot;:&quot;-89.3126881564245&quot;, &quot;uid&quot;:1217406843, &quot;retailerlinkurl&quot;:null, &quot;hourssat&quot;:&quot;Please Call&quot;, &quot;clientkey&quot;:&quot;1461&quot;, &quot;name&quot;:&quot;Canadian Tire&quot;, &quot;locationlinkurl&quot;:null, &quot;address1&quot;:&quot;1221 Arthur Stree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hunder Bay&quot;, &quot;singleuse&quot;:&quot;Y&quot;, &quot;fax&quot;:null, &quot;country&quot;:&quot;CA&quot;, &quot;logourl&quot;:&quot;http://www.call2recycle.org/notpress/where2getit/canadiantire.png&quot;, &quot;phone&quot;:&quot;807-475-4235&quot;, &quot;address2&quot;:null, &quot;locationimageurl&quot;:null, &quot;_distance&quot;:&quot;90.7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8.60725&quot;, &quot;url&quot;:&quot;http://www.canadiantire.ca&quot;, &quot;postalcode&quot;:&quot;P9A 2X6&quot;, &quot;province&quot;:&quot;ON&quot;, &quot;sustainabilityurl&quot;:null, &quot;hoursmon&quot;:&quot;8:00am-9:00pm&quot;, &quot;longitude&quot;:&quot;-93.42748&quot;, &quot;uid&quot;:1182191374, &quot;retailerlinkurl&quot;:null, &quot;hourssat&quot;:&quot;Please Call&quot;, &quot;clientkey&quot;:&quot;1504&quot;, &quot;name&quot;:&quot;Canadian Tire&quot;, &quot;locationlinkurl&quot;:null, &quot;address1&quot;:&quot;1000 King's Hwy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Fort Frances&quot;, &quot;singleuse&quot;:&quot;Y&quot;, &quot;fax&quot;:null, &quot;country&quot;:&quot;CA&quot;, &quot;logourl&quot;:&quot;http://www.call2recycle.org/notpress/where2getit/canadiantire.png&quot;, &quot;phone&quot;:&quot;807-274-7711&quot;, &quot;address2&quot;:null, &quot;locationimageurl&quot;:null, &quot;_distance&quot;:&quot;33.66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9.0600608&quot;, &quot;url&quot;:&quot;http://www.canadiantire.ca&quot;, &quot;postalcode&quot;:&quot;P0L 1C0&quot;, &quot;province&quot;:&quot;ON&quot;, &quot;sustainabilityurl&quot;:null, &quot;hoursmon&quot;:&quot;8:00am-9:00pm&quot;, &quot;longitude&quot;:&quot;-81.045488&quot;, &quot;uid&quot;:-1892669155, &quot;retailerlinkurl&quot;:null, &quot;hourssat&quot;:&quot;Please Call&quot;, &quot;clientkey&quot;:&quot;1611&quot;, &quot;name&quot;:&quot;Canadian Tire&quot;, &quot;locationlinkurl&quot;:null, &quot;address1&quot;:&quot;201 11 Hwy W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ochrane&quot;, &quot;singleuse&quot;:&quot;Y&quot;, &quot;fax&quot;:null, &quot;country&quot;:&quot;CA&quot;, &quot;logourl&quot;:&quot;http://www.call2recycle.org/notpress/where2getit/canadiantire.png&quot;, &quot;phone&quot;:&quot;705-272-4341&quot;, &quot;address2&quot;:null, &quot;locationimageurl&quot;:null, &quot;_distance&quot;:&quot;173.63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0&quot;"/>
            <x14:filter val="&quot;rechargeable&quot;: &quot;Y&quot;, &quot;nationalimageurl&quot;:null, &quot;glasses&quot;:&quot;N&quot;, &quot;hoursthurs&quot;:&quot;8:00am-9:00pm&quot;, &quot;state&quot;:null, &quot;retailerimageurl&quot;:null, &quot;hoursfri&quot;:&quot;8:00am-9:00pm&quot;, &quot;acceptedmaterialsurl&quot;:null, &quot;latitude&quot;:&quot;49.7599093383811&quot;, &quot;url&quot;:&quot;http://www.canadiantire.ca&quot;, &quot;postalcode&quot;:&quot;P9N 1L9&quot;, &quot;province&quot;:&quot;ON&quot;, &quot;sustainabilityurl&quot;:null, &quot;hoursmon&quot;:&quot;8:00am-9:00pm&quot;, &quot;longitude&quot;:&quot;-94.4716898710625&quot;, &quot;uid&quot;:-399945453, &quot;retailerlinkurl&quot;:null, &quot;hourssat&quot;:&quot;Please Call&quot;, &quot;clientkey&quot;:&quot;164072&quot;, &quot;name&quot;:&quot;Canadian Tire&quot;, &quot;locationlinkurl&quot;:null, &quot;address1&quot;:&quot;1229 Highway 17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enora&quot;, &quot;singleuse&quot;:&quot;Y&quot;, &quot;fax&quot;:null, &quot;country&quot;:&quot;CA&quot;, &quot;logourl&quot;:&quot;http://www.call2recycle.org/notpress/where2getit/canadiantire.png&quot;, &quot;phone&quot;:&quot;807-468-3014&quot;, &quot;address2&quot;:null, &quot;locationimageurl&quot;:null, &quot;_distance&quot;:&quot;39.79&quot;, &quot;inktoner&quot;:&quot;N&quot;, &quot;nationalinkurl&quot;:null, &quot;regionallinkurl&quot;:null, &quot;cellphones&quot;:&quot;Y&quot;, &quot;hourstues&quot;:&quot;8:00am-9:00pm&quot;, &quot;consumerelectronics&quot;:&quot;N&quot;, &quot;hourswed&quot;:&quot;8:00am-9:00pm&quot;, &quot;rank&quot;:&quot;1&quot;"/>
            <x14:filter val="&quot;rechargeable&quot;: &quot;Y&quot;, &quot;nationalimageurl&quot;:null, &quot;glasses&quot;:&quot;N&quot;, &quot;hoursthurs&quot;:&quot;8:30 a.m. to 4:00 p.m.&quot;, &quot;state&quot;:null, &quot;retailerimageurl&quot;:null, &quot;hoursfri&quot;:&quot;8:30 a.m. to 4:00 p.m.&quot;, &quot;acceptedmaterialsurl&quot;:null, &quot;latitude&quot;:&quot;45.4860755&quot;, &quot;url&quot;:null, &quot;postalcode&quot;:&quot;K0J 2M0&quot;, &quot;province&quot;:&quot;ON&quot;, &quot;sustainabilityurl&quot;:null, &quot;hoursmon&quot;:&quot;8:30 a.m. to 4:00 p.m.&quot;, &quot;longitude&quot;:&quot;-78.2406405&quot;, &quot;uid&quot;:523023613, &quot;retailerlinkurl&quot;:null, &quot;hourssat&quot;:&quot;Closed&quot;, &quot;clientkey&quot;:&quot;169093&quot;, &quot;name&quot;:&quot;Whitney Municipal Office&quot;, &quot;locationlinkurl&quot;:null, &quot;address1&quot;:&quot;7 Third Avenue&quot;, &quot;icon&quot;:&quot;normal&quot;, &quot;bho&quot;:null, &quot;_distanceuom&quot;:&quot;mile&quot;, &quot;hourssun&quot;:&quot;Closed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3.23&quot;, &quot;inktoner&quot;:&quot;N&quot;, &quot;nationalinkurl&quot;:null, &quot;regionallinkurl&quot;:null, &quot;cellphones&quot;:&quot;Y&quot;, &quot;hourstues&quot;:&quot;8:30 a.m. to 4:00 p.m.&quot;, &quot;consumerelectronics&quot;:&quot;N&quot;, &quot;hourswed&quot;:&quot;8:30 a.m. to 4:00 p.m.&quot;, &quot;rank&quot;:&quot;0&quot;"/>
            <x14:filter val="&quot;rechargeable&quot;: &quot;Y&quot;, &quot;nationalimageurl&quot;:null, &quot;glasses&quot;:&quot;N&quot;, &quot;hoursthurs&quot;:&quot;8h à 17h30&quot;, &quot;state&quot;:null, &quot;retailerimageurl&quot;:null, &quot;hoursfri&quot;:&quot;Veuillez appeler le point de dépôt.&quot;, &quot;acceptedmaterialsurl&quot;:null, &quot;latitude&quot;:&quot;47.33069&quot;, &quot;url&quot;:null, &quot;postalcode&quot;:&quot;J9V 1J9&quot;, &quot;province&quot;:&quot;QC&quot;, &quot;sustainabilityurl&quot;:null, &quot;hoursmon&quot;:&quot;8h à 17h30&quot;, &quot;longitude&quot;:&quot;-79.43604&quot;, &quot;uid&quot;:349877388, &quot;retailerlinkurl&quot;:null, &quot;hourssat&quot;:&quot;Veuillez appeler le point de dépôt.&quot;, &quot;clientkey&quot;:&quot;155858&quot;, &quot;name&quot;:&quot;BMR J. Drolet &amp; Fils ltée&quot;, &quot;locationlinkurl&quot;:null, &quot;address1&quot;:&quot;11 Rue Des Oblats S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819-629-2885&quot;, &quot;address2&quot;:null, &quot;locationimageurl&quot;:null, &quot;_distance&quot;:&quot;48.28&quot;, &quot;inktoner&quot;:&quot;N&quot;, &quot;nationalinkurl&quot;:null, &quot;regionallinkurl&quot;:null, &quot;cellphones&quot;:&quot;Y&quot;, &quot;hourstues&quot;:&quot;8h à 17h30&quot;, &quot;consumerelectronics&quot;:&quot;N&quot;, &quot;hourswed&quot;:&quot;8h à 17h30&quot;, &quot;rank&quot;:&quot;0&quot;"/>
            <x14:filter val="&quot;rechargeable&quot;: &quot;Y&quot;, &quot;nationalimageurl&quot;:null, &quot;glasses&quot;:&quot;N&quot;, &quot;hoursthurs&quot;:&quot;9am - 5pm&quot;, &quot;state&quot;:null, &quot;retailerimageurl&quot;:null, &quot;hoursfri&quot;:&quot;9am - 5pm&quot;, &quot;acceptedmaterialsurl&quot;:null, &quot;latitude&quot;:&quot;42.29867&quot;, &quot;url&quot;:null, &quot;postalcode&quot;:&quot;N8X 2S2&quot;, &quot;province&quot;:&quot;ON&quot;, &quot;sustainabilityurl&quot;:null, &quot;hoursmon&quot;:&quot;Closed&quot;, &quot;longitude&quot;:&quot;-83.01356&quot;, &quot;uid&quot;:639478145, &quot;retailerlinkurl&quot;:null, &quot;hourssat&quot;:&quot;9am to 12noon&quot;, &quot;clientkey&quot;:&quot;169601&quot;, &quot;name&quot;:&quot;Appliance Medic&quot;, &quot;locationlinkurl&quot;:null, &quot;address1&quot;:&quot;766 Tecumseh Rd E&quot;, &quot;icon&quot;:&quot;preferred&quot;, &quot;bho&quot;:null, &quot;_distanceuom&quot;:&quot;mile&quot;, &quot;hourssun&quot;:&quot;Closed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2-1500&quot;, &quot;address2&quot;:null, &quot;locationimageurl&quot;:null, &quot;_distance&quot;:&quot;10.66&quot;, &quot;inktoner&quot;:&quot;N&quot;, &quot;nationalinkurl&quot;:null, &quot;regionallinkurl&quot;:null, &quot;cellphones&quot;:&quot;Y&quot;, &quot;hourstues&quot;:&quot;9am - 5pm&quot;, &quot;consumerelectronics&quot;:&quot;N&quot;, &quot;hourswed&quot;:&quot;9am - 5pm&quot;, &quot;rank&quot;:&quot;1&quot;"/>
            <x14:filter val="&quot;rechargeable&quot;: &quot;Y&quot;, &quot;nationalimageurl&quot;:null, &quot;glasses&quot;:&quot;N&quot;, &quot;hoursthurs&quot;:&quot;9h à 21h&quot;, &quot;state&quot;:null, &quot;retailerimageurl&quot;:null, &quot;hoursfri&quot;:&quot;Please Call&quot;, &quot;acceptedmaterialsurl&quot;:null, &quot;latitude&quot;:&quot;45.32124&quot;, &quot;url&quot;:null, &quot;postalcode&quot;:&quot;K0A 1M0&quot;, &quot;province&quot;:&quot;ON&quot;, &quot;sustainabilityurl&quot;:null, &quot;hoursmon&quot;:&quot;9h à 21h&quot;, &quot;longitude&quot;:&quot;-75.10929&quot;, &quot;uid&quot;:1986299601, &quot;retailerlinkurl&quot;:null, &quot;hourssat&quot;:&quot;9h à 18h&quot;, &quot;clientkey&quot;:&quot;155077&quot;, &quot;name&quot;:&quot;Jean Coutu&quot;, &quot;locationlinkurl&quot;:null, &quot;address1&quot;:&quot;Rue Principale&quot;, &quot;icon&quot;:&quot;preferred&quot;, &quot;bho&quot;:null, &quot;_distanceuom&quot;:&quot;mile&quot;, &quot;hourssun&quot;:&quot;10h à 17h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call2recycle.png&quot;, &quot;phone&quot;:&quot;613-764-5455&quot;, &quot;address2&quot;:null, &quot;locationimageurl&quot;:null, &quot;_distance&quot;:&quot;9.09&quot;, &quot;inktoner&quot;:&quot;N&quot;, &quot;nationalinkurl&quot;:null, &quot;regionallinkurl&quot;:null, &quot;cellphones&quot;:&quot;Y&quot;, &quot;hourstues&quot;:&quot;9h à 21h&quot;, &quot;consumerelectronics&quot;:&quot;N&quot;, &quot;hourswed&quot;:&quot;9h à 21h&quot;, &quot;rank&quot;:&quot;1&quot;"/>
            <x14:filter val="&quot;rechargeable&quot;: &quot;Y&quot;, &quot;nationalimageurl&quot;:null, &quot;glasses&quot;:&quot;N&quot;, &quot;hoursthurs&quot;:&quot;Please Call&quot;, &quot;state&quot;:&quot;MI&quot;, &quot;retailerimageurl&quot;:null, &quot;hoursfri&quot;:&quot;Please Call&quot;, &quot;acceptedmaterialsurl&quot;:&quot;http://radioshack.cexchange.com/online/home/index.rails&quot;, &quot;latitude&quot;:&quot;42.2543057894737&quot;, &quot;url&quot;:&quot;http://www.radioshack.com&quot;, &quot;postalcode&quot;:&quot;48146&quot;, &quot;province&quot;:null, &quot;sustainabilityurl&quot;:&quot;http://www.radioshackcorporation.com/citizenship/environment.php&quot;, &quot;hoursmon&quot;:&quot;Please Call&quot;, &quot;longitude&quot;:&quot;-83.1912273684211&quot;, &quot;uid&quot;:116278944, &quot;retailerlinkurl&quot;:null, &quot;hourssat&quot;:&quot;Please Call&quot;, &quot;clientkey&quot;:&quot;3189&quot;, &quot;name&quot;:&quot;RadioShack&quot;, &quot;locationlinkurl&quot;:null, &quot;address1&quot;:&quot;1887 Southfiel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coln Park&quot;, &quot;singleuse&quot;:&quot;N&quot;, &quot;fax&quot;:null, &quot;country&quot;:&quot;US&quot;, &quot;logourl&quot;:&quot;http://www.call2recycle.org/notpress/where2getit/radioshack.png&quot;, &quot;phone&quot;:&quot;313-388-1120&quot;, &quot;address2&quot;:null, &quot;locationimageurl&quot;:null, &quot;_distance&quot;:&quot;14.7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MI&quot;, &quot;retailerimageurl&quot;:null, &quot;hoursfri&quot;:&quot;Please Call&quot;, &quot;acceptedmaterialsurl&quot;:null, &quot;latitude&quot;:&quot;42.32707&quot;, &quot;url&quot;:null, &quot;postalcode&quot;:&quot;48226&quot;, &quot;province&quot;:null, &quot;sustainabilityurl&quot;:null, &quot;hoursmon&quot;:&quot;Please Call&quot;, &quot;longitude&quot;:&quot;-83.05858&quot;, &quot;uid&quot;:1028681220, &quot;retailerlinkurl&quot;:null, &quot;hourssat&quot;:&quot;Please Call&quot;, &quot;clientkey&quot;:&quot;100956&quot;, &quot;name&quot;:&quot;Grainger&quot;, &quot;locationlinkurl&quot;:null, &quot;address1&quot;:&quot;1201 W Lafayette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etroit&quot;, &quot;singleuse&quot;:&quot;N&quot;, &quot;fax&quot;:null, &quot;country&quot;:&quot;US&quot;, &quot;logourl&quot;:&quot;http://www.call2recycle.org/notpress/where2getit/call2recycle.png&quot;, &quot;phone&quot;:&quot;313-965-3500&quot;, &quot;address2&quot;:null, &quot;locationimageurl&quot;:null, &quot;_distance&quot;:&quot;13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7.7506&quot;, &quot;url&quot;:null, &quot;postalcode&quot;:&quot;55604&quot;, &quot;province&quot;:null, &quot;sustainabilityurl&quot;:null, &quot;hoursmon&quot;:&quot;Please Call&quot;, &quot;longitude&quot;:&quot;-90.33459&quot;, &quot;uid&quot;:691654816, &quot;retailerlinkurl&quot;:null, &quot;hourssat&quot;:&quot;Please Call&quot;, &quot;clientkey&quot;:&quot;33658&quot;, &quot;name&quot;:&quot;Bucks Hardware&quot;, &quot;locationlinkurl&quot;:null, &quot;address1&quot;:&quot;18 1st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and Marais&quot;, &quot;singleuse&quot;:&quot;N&quot;, &quot;fax&quot;:null, &quot;country&quot;:&quot;US&quot;, &quot;logourl&quot;:&quot;http://www.call2recycle.org/notpress/where2getit/call2recycle.png&quot;, &quot;phone&quot;:&quot;218-387-2280&quot;, &quot;address2&quot;:null, &quot;locationimageurl&quot;:null, &quot;_distance&quot;:&quot;3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7.7506&quot;, &quot;url&quot;:null, &quot;postalcode&quot;:&quot;55604&quot;, &quot;province&quot;:null, &quot;sustainabilityurl&quot;:null, &quot;hoursmon&quot;:&quot;Please Call&quot;, &quot;longitude&quot;:&quot;-90.33459&quot;, &quot;uid&quot;:691654816, &quot;retailerlinkurl&quot;:null, &quot;hourssat&quot;:&quot;Please Call&quot;, &quot;clientkey&quot;:&quot;33658&quot;, &quot;name&quot;:&quot;Bucks Hardware&quot;, &quot;locationlinkurl&quot;:null, &quot;address1&quot;:&quot;18 1st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and Marais&quot;, &quot;singleuse&quot;:&quot;N&quot;, &quot;fax&quot;:null, &quot;country&quot;:&quot;US&quot;, &quot;logourl&quot;:&quot;http://www.call2recycle.org/notpress/where2getit/call2recycle.png&quot;, &quot;phone&quot;:&quot;218-387-2280&quot;, &quot;address2&quot;:null, &quot;locationimageurl&quot;:null, &quot;_distance&quot;:&quot;7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MN&quot;, &quot;retailerimageurl&quot;:null, &quot;hoursfri&quot;:&quot;Please Call&quot;, &quot;acceptedmaterialsurl&quot;:null, &quot;latitude&quot;:&quot;48.5798686080344&quot;, &quot;url&quot;:null, &quot;postalcode&quot;:&quot;56649&quot;, &quot;province&quot;:null, &quot;sustainabilityurl&quot;:null, &quot;hoursmon&quot;:&quot;Please Call&quot;, &quot;longitude&quot;:&quot;-93.4027900347991&quot;, &quot;uid&quot;:-511708793, &quot;retailerlinkurl&quot;:null, &quot;hourssat&quot;:&quot;Please Call&quot;, &quot;clientkey&quot;:&quot;7984&quot;, &quot;name&quot;:&quot;Sound North&quot;, &quot;locationlinkurl&quot;:null, &quot;address1&quot;:&quot;1802 Highway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ternational Falls&quot;, &quot;singleuse&quot;:&quot;N&quot;, &quot;fax&quot;:null, &quot;country&quot;:&quot;US&quot;, &quot;logourl&quot;:&quot;http://www.call2recycle.org/notpress/where2getit/call2recycle.png&quot;, &quot;phone&quot;:&quot;218-283-9290&quot;, &quot;address2&quot;:null, &quot;locationimageurl&quot;:null, &quot;_distance&quot;:&quot;33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2.9423522222222&quot;, &quot;url&quot;:&quot;http://www.radioshack.com&quot;, &quot;postalcode&quot;:&quot;14216&quot;, &quot;province&quot;:null, &quot;sustainabilityurl&quot;:&quot;http://www.radioshackcorporation.com/citizenship/environment.php&quot;, &quot;hoursmon&quot;:&quot;Please Call&quot;, &quot;longitude&quot;:&quot;-78.8678733333333&quot;, &quot;uid&quot;:116279046, &quot;retailerlinkurl&quot;:null, &quot;hourssat&quot;:&quot;Please Call&quot;, &quot;clientkey&quot;:&quot;3448&quot;, &quot;name&quot;:&quot;RadioShack&quot;, &quot;locationlinkurl&quot;:null, &quot;address1&quot;:&quot;2143 Delawar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radioshack.png&quot;, &quot;phone&quot;:&quot;716-874-506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2.95801&quot;, &quot;url&quot;:&quot;http://www.radioshack.com&quot;, &quot;postalcode&quot;:&quot;14226&quot;, &quot;province&quot;:null, &quot;sustainabilityurl&quot;:&quot;http://www.radioshackcorporation.com/citizenship/environment.php&quot;, &quot;hoursmon&quot;:&quot;Please Call&quot;, &quot;longitude&quot;:&quot;-78.81771&quot;, &quot;uid&quot;:116279053, &quot;retailerlinkurl&quot;:null, &quot;hourssat&quot;:&quot;Please Call&quot;, &quot;clientkey&quot;:&quot;3487&quot;, &quot;name&quot;:&quot;RadioShack&quot;, &quot;locationlinkurl&quot;:null, &quot;address1&quot;:&quot;3500 Main St Ste 27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radioshack.png&quot;, &quot;phone&quot;:&quot;716-832-8311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510285714286&quot;, &quot;url&quot;:&quot;http://www.radioshack.com&quot;, &quot;postalcode&quot;:&quot;14120&quot;, &quot;province&quot;:null, &quot;sustainabilityurl&quot;:&quot;http://www.radioshackcorporation.com/citizenship/environment.php&quot;, &quot;hoursmon&quot;:&quot;Please Call&quot;, &quot;longitude&quot;:&quot;-78.87809&quot;, &quot;uid&quot;:972804052, &quot;retailerlinkurl&quot;:null, &quot;hourssat&quot;:&quot;Please Call&quot;, &quot;clientkey&quot;:&quot;3447&quot;, &quot;name&quot;:&quot;RadioShack&quot;, &quot;locationlinkurl&quot;:null, &quot;address1&quot;:&quot;1029 Payn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Tonawanda&quot;, &quot;singleuse&quot;:&quot;N&quot;, &quot;fax&quot;:null, &quot;country&quot;:&quot;US&quot;, &quot;logourl&quot;:&quot;http://www.call2recycle.org/notpress/where2getit/radioshack.png&quot;, &quot;phone&quot;:&quot;716-693-0500&quot;, &quot;address2&quot;:null, &quot;locationimageurl&quot;:null, &quot;_distance&quot;:&quot;10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879566895736&quot;, &quot;url&quot;:&quot;http://www.radioshack.com&quot;, &quot;postalcode&quot;:&quot;14304&quot;, &quot;province&quot;:null, &quot;sustainabilityurl&quot;:&quot;http://www.radioshackcorporation.com/citizenship/environment.php&quot;, &quot;hoursmon&quot;:&quot;Please Call&quot;, &quot;longitude&quot;:&quot;-78.9805609232238&quot;, &quot;uid&quot;:116279279, &quot;retailerlinkurl&quot;:null, &quot;hourssat&quot;:&quot;Please Call&quot;, &quot;clientkey&quot;:&quot;43863&quot;, &quot;name&quot;:&quot;RadioShack&quot;, &quot;locationlinkurl&quot;:null, &quot;address1&quot;:&quot;7312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radioshack.png&quot;, &quot;phone&quot;:&quot;716-283-5648&quot;, &quot;address2&quot;:null, &quot;locationimageurl&quot;:null, &quot;_distance&quot;:&quot;9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&quot;http://radioshack.cexchange.com/online/home/index.rails&quot;, &quot;latitude&quot;:&quot;43.0941245569268&quot;, &quot;url&quot;:&quot;http://www.radioshack.com&quot;, &quot;postalcode&quot;:&quot;14304&quot;, &quot;province&quot;:null, &quot;sustainabilityurl&quot;:&quot;http://www.radioshackcorporation.com/citizenship/environment.php&quot;, &quot;hoursmon&quot;:&quot;Please Call&quot;, &quot;longitude&quot;:&quot;-78.9719036349523&quot;, &quot;uid&quot;:944899263, &quot;retailerlinkurl&quot;:null, &quot;hourssat&quot;:&quot;Please Call&quot;, &quot;clientkey&quot;:&quot;3461&quot;, &quot;name&quot;:&quot;RadioShack&quot;, &quot;locationlinkurl&quot;:null, &quot;address1&quot;:&quot;1593 Military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radioshack.png&quot;, &quot;phone&quot;:&quot;716-297-3333&quot;, &quot;address2&quot;:null, &quot;locationimageurl&quot;:null, &quot;_distance&quot;:&quot;9.7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8880854545455&quot;, &quot;url&quot;:null, &quot;postalcode&quot;:&quot;14206&quot;, &quot;province&quot;:null, &quot;sustainabilityurl&quot;:null, &quot;hoursmon&quot;:&quot;Please Call&quot;, &quot;longitude&quot;:&quot;-78.7807954545455&quot;, &quot;uid&quot;:1182182835, &quot;retailerlinkurl&quot;:null, &quot;hourssat&quot;:&quot;Please Call&quot;, &quot;clientkey&quot;:&quot;43401&quot;, &quot;name&quot;:&quot;Saia Communications&quot;, &quot;locationlinkurl&quot;:null, &quot;address1&quot;:&quot;100 Stradtma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92-2900&quot;, &quot;address2&quot;:null, &quot;locationimageurl&quot;:null, &quot;_distance&quot;:&quot;14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088948979592&quot;, &quot;url&quot;:null, &quot;postalcode&quot;:&quot;14225&quot;, &quot;province&quot;:null, &quot;sustainabilityurl&quot;:null, &quot;hoursmon&quot;:&quot;Please Call&quot;, &quot;longitude&quot;:&quot;-78.7619793877551&quot;, &quot;uid&quot;:518232761, &quot;retailerlinkurl&quot;:null, &quot;hourssat&quot;:&quot;Please Call&quot;, &quot;clientkey&quot;:&quot;24453&quot;, &quot;name&quot;:&quot;Sears&quot;, &quot;locationlinkurl&quot;:null, &quot;address1&quot;:&quot;7 Walden Galleri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686-6276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1461&quot;, &quot;url&quot;:null, &quot;postalcode&quot;:&quot;14211&quot;, &quot;province&quot;:null, &quot;sustainabilityurl&quot;:null, &quot;hoursmon&quot;:&quot;Please Call&quot;, &quot;longitude&quot;:&quot;-78.83779&quot;, &quot;uid&quot;:364747239, &quot;retailerlinkurl&quot;:null, &quot;hourssat&quot;:&quot;Please Call&quot;, &quot;clientkey&quot;:&quot;160408&quot;, &quot;name&quot;:&quot;Dollar General&quot;, &quot;locationlinkurl&quot;:null, &quot;address1&quot;:&quot;663 E Fer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1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2228&quot;, &quot;url&quot;:null, &quot;postalcode&quot;:&quot;14209&quot;, &quot;province&quot;:null, &quot;sustainabilityurl&quot;:null, &quot;hoursmon&quot;:&quot;Please Call&quot;, &quot;longitude&quot;:&quot;-78.8663458064516&quot;, &quot;uid&quot;:1182191504, &quot;retailerlinkurl&quot;:null, &quot;hourssat&quot;:&quot;Please Call&quot;, &quot;clientkey&quot;:&quot;6429&quot;, &quot;name&quot;:&quot;Dewalt Factory Service Center&quot;, &quot;locationlinkurl&quot;:null, &quot;address1&quot;:&quot;881 W Delav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84-6220&quot;, &quot;address2&quot;:null, &quot;locationimageurl&quot;:null, &quot;_distance&quot;:&quot;9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474754545455&quot;, &quot;url&quot;:null, &quot;postalcode&quot;:&quot;14207&quot;, &quot;province&quot;:null, &quot;sustainabilityurl&quot;:null, &quot;hoursmon&quot;:&quot;Please Call&quot;, &quot;longitude&quot;:&quot;-78.8782163636364&quot;, &quot;uid&quot;:1641920075, &quot;retailerlinkurl&quot;:null, &quot;hourssat&quot;:&quot;Please Call&quot;, &quot;clientkey&quot;:&quot;143671&quot;, &quot;name&quot;:&quot;Valu Home Centers&quot;, &quot;locationlinkurl&quot;:null, &quot;address1&quot;:&quot;1841 Elmwoo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8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58335&quot;, &quot;url&quot;:null, &quot;postalcode&quot;:&quot;14223&quot;, &quot;province&quot;:null, &quot;sustainabilityurl&quot;:null, &quot;hoursmon&quot;:&quot;Please Call&quot;, &quot;longitude&quot;:&quot;-78.83363&quot;, &quot;uid&quot;:121745553, &quot;retailerlinkurl&quot;:null, &quot;hourssat&quot;:&quot;Please Call&quot;, &quot;clientkey&quot;:&quot;143686&quot;, &quot;name&quot;:&quot;Valu Home Centers&quot;, &quot;locationlinkurl&quot;:null, &quot;address1&quot;:&quot;396 Kenmor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5-0677&quot;, &quot;address2&quot;:null, &quot;locationimageurl&quot;:null, &quot;_distance&quot;:&quot;10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7735&quot;, &quot;url&quot;:null, &quot;postalcode&quot;:&quot;14226&quot;, &quot;province&quot;:null, &quot;sustainabilityurl&quot;:null, &quot;hoursmon&quot;:&quot;Please Call&quot;, &quot;longitude&quot;:&quot;-78.78386&quot;, &quot;uid&quot;:-1201013948, &quot;retailerlinkurl&quot;:null, &quot;hourssat&quot;:&quot;Please Call&quot;, &quot;clientkey&quot;:&quot;160553&quot;, &quot;name&quot;:&quot;Hilti&quot;, &quot;locationlinkurl&quot;:null, &quot;address1&quot;:&quot;4974 Harlem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839-3989&quot;, &quot;address2&quot;:null, &quot;locationimageurl&quot;:null, &quot;_distance&quot;:&quot;13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773606896552&quot;, &quot;url&quot;:null, &quot;postalcode&quot;:&quot;14223&quot;, &quot;province&quot;:null, &quot;sustainabilityurl&quot;:null, &quot;hoursmon&quot;:&quot;Please Call&quot;, &quot;longitude&quot;:&quot;-78.8231268965517&quot;, &quot;uid&quot;:1182185543, &quot;retailerlinkurl&quot;:null, &quot;hourssat&quot;:&quot;Please Call&quot;, &quot;clientkey&quot;:&quot;63243&quot;, &quot;name&quot;:&quot;Kenilworth Electronics Co.&quot;, &quot;locationlinkurl&quot;:null, &quot;address1&quot;:&quot;860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7-6666&quot;, &quot;address2&quot;:null, &quot;locationimageurl&quot;:null, &quot;_distance&quot;:&quot;11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01228571429&quot;, &quot;url&quot;:null, &quot;postalcode&quot;:&quot;14226&quot;, &quot;province&quot;:null, &quot;sustainabilityurl&quot;:null, &quot;hoursmon&quot;:&quot;Please Call&quot;, &quot;longitude&quot;:&quot;-78.8123042857143&quot;, &quot;uid&quot;:65506197, &quot;retailerlinkurl&quot;:null, &quot;hourssat&quot;:&quot;Please Call&quot;, &quot;clientkey&quot;:&quot;143697&quot;, &quot;name&quot;:&quot;Valu Home Centers&quot;, &quot;locationlinkurl&quot;:null, &quot;address1&quot;:&quot;3275 Sheridan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2-3331&quot;, &quot;address2&quot;:null, &quot;locationimageurl&quot;:null, &quot;_distance&quot;:&quot;1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816&quot;, &quot;url&quot;:null, &quot;postalcode&quot;:&quot;14150&quot;, &quot;province&quot;:null, &quot;sustainabilityurl&quot;:null, &quot;hoursmon&quot;:&quot;Please Call&quot;, &quot;longitude&quot;:&quot;-78.82275&quot;, &quot;uid&quot;:907645591, &quot;retailerlinkurl&quot;:null, &quot;hourssat&quot;:&quot;Please Call&quot;, &quot;clientkey&quot;:&quot;170714&quot;, &quot;name&quot;:&quot;CPR of WNY Tonawanda&quot;, &quot;locationlinkurl&quot;:null, &quot;address1&quot;:&quot;1246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832-4277&quot;, &quot;address2&quot;:null, &quot;locationimageurl&quot;:null, &quot;_distance&quot;:&quot;11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86017391304&quot;, &quot;url&quot;:null, &quot;postalcode&quot;:&quot;14226&quot;, &quot;province&quot;:null, &quot;sustainabilityurl&quot;:null, &quot;hoursmon&quot;:&quot;Please Call&quot;, &quot;longitude&quot;:&quot;-78.8172191304348&quot;, &quot;uid&quot;:-261162743, &quot;retailerlinkurl&quot;:null, &quot;hourssat&quot;:&quot;Please Call&quot;, &quot;clientkey&quot;:&quot;143487&quot;, &quot;name&quot;:&quot;Wegmans&quot;, &quot;locationlinkurl&quot;:null, &quot;address1&quot;:&quot;675 Albert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ffalo&quot;, &quot;singleuse&quot;:&quot;N&quot;, &quot;fax&quot;:null, &quot;country&quot;:&quot;US&quot;, &quot;logourl&quot;:&quot;http://www.call2recycle.org/notpress/where2getit/call2recycle.png&quot;, &quot;phone&quot;:&quot;716-831-6300&quot;, &quot;address2&quot;:null, &quot;locationimageurl&quot;:null, &quot;_distance&quot;:&quot;11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89312&quot;, &quot;url&quot;:null, &quot;postalcode&quot;:&quot;14226&quot;, &quot;province&quot;:null, &quot;sustainabilityurl&quot;:null, &quot;hoursmon&quot;:&quot;Please Call&quot;, &quot;longitude&quot;:&quot;-78.822522&quot;, &quot;uid&quot;:-1648973982, &quot;retailerlinkurl&quot;:null, &quot;hourssat&quot;:&quot;Please Call&quot;, &quot;clientkey&quot;:&quot;110439&quot;, &quot;name&quot;:&quot;Sears&quot;, &quot;locationlinkurl&quot;:null, &quot;address1&quot;:&quot;1261 Niagara Falls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446-5100&quot;, &quot;address2&quot;:null, &quot;locationimageurl&quot;:null, &quot;_distance&quot;:&quot;11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91042962963&quot;, &quot;url&quot;:null, &quot;postalcode&quot;:&quot;14221&quot;, &quot;province&quot;:null, &quot;sustainabilityurl&quot;:null, &quot;hoursmon&quot;:&quot;Please Call&quot;, &quot;longitude&quot;:&quot;-78.7550407407407&quot;, &quot;uid&quot;:-1369329670, &quot;retailerlinkurl&quot;:null, &quot;hourssat&quot;:&quot;Please Call&quot;, &quot;clientkey&quot;:&quot;142863&quot;, &quot;name&quot;:&quot;Hectors Hardware&quot;, &quot;locationlinkurl&quot;:null, &quot;address1&quot;:&quot;876 Mapl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lliamsville&quot;, &quot;singleuse&quot;:&quot;N&quot;, &quot;fax&quot;:null, &quot;country&quot;:&quot;US&quot;, &quot;logourl&quot;:&quot;http://www.call2recycle.org/notpress/where2getit/call2recycle.png&quot;, &quot;phone&quot;:&quot;716-688-4488&quot;, &quot;address2&quot;:null, &quot;locationimageurl&quot;:null, &quot;_distance&quot;:&quot;14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2.9976371111111&quot;, &quot;url&quot;:null, &quot;postalcode&quot;:&quot;14228&quot;, &quot;province&quot;:null, &quot;sustainabilityurl&quot;:null, &quot;hoursmon&quot;:&quot;Please Call&quot;, &quot;longitude&quot;:&quot;-78.8223682222222&quot;, &quot;uid&quot;:341260924, &quot;retailerlinkurl&quot;:null, &quot;hourssat&quot;:&quot;Please Call&quot;, &quot;clientkey&quot;:&quot;148567&quot;, &quot;name&quot;:&quot;Barnes &amp; Noble&quot;, &quot;locationlinkurl&quot;:null, &quot;address1&quot;:&quot;1565 Niagara Falls Blvd Ste 300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mherst&quot;, &quot;singleuse&quot;:&quot;N&quot;, &quot;fax&quot;:null, &quot;country&quot;:&quot;US&quot;, &quot;logourl&quot;:&quot;http://www.call2recycle.org/notpress/where2getit/call2recycle.png&quot;, &quot;phone&quot;:&quot;716-837-7209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004266666667&quot;, &quot;url&quot;:null, &quot;postalcode&quot;:&quot;14150&quot;, &quot;province&quot;:null, &quot;sustainabilityurl&quot;:null, &quot;hoursmon&quot;:&quot;Please Call&quot;, &quot;longitude&quot;:&quot;-78.8751380952381&quot;, &quot;uid&quot;:-1428495321, &quot;retailerlinkurl&quot;:null, &quot;hourssat&quot;:&quot;Please Call&quot;, &quot;clientkey&quot;:&quot;143673&quot;, &quot;name&quot;:&quot;Valu Home Centers&quot;, &quot;locationlinkurl&quot;:null, &quot;address1&quot;:&quot;4264 Delawar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694-8155&quot;, &quot;address2&quot;:null, &quot;locationimageurl&quot;:null, &quot;_distance&quot;:&quot;9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110638888889&quot;, &quot;url&quot;:null, &quot;postalcode&quot;:&quot;14150&quot;, &quot;province&quot;:null, &quot;sustainabilityurl&quot;:null, &quot;hoursmon&quot;:&quot;Please Call&quot;, &quot;longitude&quot;:&quot;-78.8223138888889&quot;, &quot;uid&quot;:1182191432, &quot;retailerlinkurl&quot;:null, &quot;hourssat&quot;:&quot;Please Call&quot;, &quot;clientkey&quot;:&quot;5252&quot;, &quot;name&quot;:&quot;The Battery Commercial Battery Company&quot;, &quot;locationlinkurl&quot;:null, &quot;address1&quot;:&quot;2086 Niagara Falls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nawanda&quot;, &quot;singleuse&quot;:&quot;N&quot;, &quot;fax&quot;:null, &quot;country&quot;:&quot;US&quot;, &quot;logourl&quot;:&quot;http://www.call2recycle.org/notpress/where2getit/call2recycle.png&quot;, &quot;phone&quot;:&quot;716-743-1554&quot;, &quot;address2&quot;:null, &quot;locationimageurl&quot;:null, &quot;_distance&quot;:&quot;11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2266&quot;, &quot;url&quot;:null, &quot;postalcode&quot;:&quot;14072&quot;, &quot;province&quot;:null, &quot;sustainabilityurl&quot;:null, &quot;hoursmon&quot;:&quot;Please Call&quot;, &quot;longitude&quot;:&quot;-78.96575&quot;, &quot;uid&quot;:1182175110, &quot;retailerlinkurl&quot;:null, &quot;hourssat&quot;:&quot;Please Call&quot;, &quot;clientkey&quot;:&quot;68192&quot;, &quot;name&quot;:&quot;Town of Grand Island&quot;, &quot;locationlinkurl&quot;:null, &quot;address1&quot;:&quot;2255 Baseline Rd Ste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rand Island&quot;, &quot;singleuse&quot;:&quot;N&quot;, &quot;fax&quot;:null, &quot;country&quot;:&quot;US&quot;, &quot;logourl&quot;:&quot;http://www.call2recycle.org/notpress/where2getit/call2recycle.png&quot;, &quot;phone&quot;:&quot;716-773-9600&quot;, &quot;address2&quot;:null, &quot;locationimageurl&quot;:null, &quot;_distance&quot;:&quot;5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601114705882&quot;, &quot;url&quot;:null, &quot;postalcode&quot;:&quot;14120&quot;, &quot;province&quot;:null, &quot;sustainabilityurl&quot;:null, &quot;hoursmon&quot;:&quot;Please Call&quot;, &quot;longitude&quot;:&quot;-78.8657948529412&quot;, &quot;uid&quot;:-936092454, &quot;retailerlinkurl&quot;:null, &quot;hourssat&quot;:&quot;Please Call&quot;, &quot;clientkey&quot;:&quot;143677&quot;, &quot;name&quot;:&quot;Valu Home Centers&quot;, &quot;locationlinkurl&quot;:null, &quot;address1&quot;:&quot;1365 Nash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Tonawanda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1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09407&quot;, &quot;url&quot;:null, &quot;postalcode&quot;:&quot;14304&quot;, &quot;province&quot;:null, &quot;sustainabilityurl&quot;:null, &quot;hoursmon&quot;:&quot;Please Call&quot;, &quot;longitude&quot;:&quot;-78.93922&quot;, &quot;uid&quot;:151479587, &quot;retailerlinkurl&quot;:null, &quot;hourssat&quot;:&quot;Please Call&quot;, &quot;clientkey&quot;:&quot;158763&quot;, &quot;name&quot;:&quot;Drake Lawn &amp; Garden Inc.&quot;, &quot;locationlinkurl&quot;:null, &quot;address1&quot;:&quot;2070 Cayuga Drive Ex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call2recycle.png&quot;, &quot;phone&quot;:&quot;716-731-133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10931&quot;, &quot;url&quot;:null, &quot;postalcode&quot;:&quot;14304&quot;, &quot;province&quot;:null, &quot;sustainabilityurl&quot;:null, &quot;hoursmon&quot;:&quot;Please Call&quot;, &quot;longitude&quot;:&quot;-78.9843&quot;, &quot;uid&quot;:-1091701347, &quot;retailerlinkurl&quot;:null, &quot;hourssat&quot;:&quot;Please Call&quot;, &quot;clientkey&quot;:&quot;143672&quot;, &quot;name&quot;:&quot;Valu Home Centers&quot;, &quot;locationlinkurl&quot;:null, &quot;address1&quot;:&quot;Porter &amp; Packard Rd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N&quot;, &quot;fax&quot;:null, &quot;country&quot;:&quot;US&quot;, &quot;logourl&quot;:&quot;http://www.call2recycle.org/notpress/where2getit/call2recycle.png&quot;, &quot;phone&quot;:&quot;--&quot;, &quot;address2&quot;:null, &quot;locationimageurl&quot;:null, &quot;_distance&quot;:&quot;10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&quot;NY&quot;, &quot;retailerimageurl&quot;:null, &quot;hoursfri&quot;:&quot;Please Call&quot;, &quot;acceptedmaterialsurl&quot;:null, &quot;latitude&quot;:&quot;43.14327&quot;, &quot;url&quot;:null, &quot;postalcode&quot;:&quot;14132&quot;, &quot;province&quot;:null, &quot;sustainabilityurl&quot;:null, &quot;hoursmon&quot;:&quot;Please Call&quot;, &quot;longitude&quot;:&quot;-78.88343&quot;, &quot;uid&quot;:815753093, &quot;retailerlinkurl&quot;:null, &quot;hourssat&quot;:&quot;Please Call&quot;, &quot;clientkey&quot;:&quot;119095&quot;, &quot;name&quot;:&quot;CVS Pharmacy&quot;, &quot;locationlinkurl&quot;:null, &quot;address1&quot;:&quot;2972 Saunders Settlement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nborn&quot;, &quot;singleuse&quot;:&quot;N&quot;, &quot;fax&quot;:null, &quot;country&quot;:&quot;US&quot;, &quot;logourl&quot;:&quot;http://www.call2recycle.org/notpress/where2getit/call2recycle.png&quot;, &quot;phone&quot;:&quot;0--&quot;, &quot;address2&quot;:null, &quot;locationimageurl&quot;:null, &quot;_distance&quot;:&quot;14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0475540404885&quot;, &quot;url&quot;:&quot;http://www.rona.ca&quot;, &quot;postalcode&quot;:&quot;N8H 4H3&quot;, &quot;province&quot;:&quot;ON&quot;, &quot;sustainabilityurl&quot;:&quot;http://www.rona.ca/corporate/corporate-responsibility&quot;, &quot;hoursmon&quot;:&quot;Please Call&quot;, &quot;longitude&quot;:&quot;-82.6224780931071&quot;, &quot;uid&quot;:-473872937, &quot;retailerlinkurl&quot;:null, &quot;hourssat&quot;:&quot;Please Call&quot;, &quot;clientkey&quot;:&quot;123603&quot;, &quot;name&quot;:&quot;RONA&quot;, &quot;locationlinkurl&quot;:null, &quot;address1&quot;:&quot;274 Talbot St W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eamington&quot;, &quot;singleuse&quot;:&quot;Y&quot;, &quot;fax&quot;:null, &quot;country&quot;:&quot;CA&quot;, &quot;logourl&quot;:&quot;http://www.call2recycle.org/notpress/where2getit/rona.png&quot;, &quot;phone&quot;:&quot;519-322-4908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7859033333333&quot;, &quot;url&quot;:&quot;http://www.rona.ca&quot;, &quot;postalcode&quot;:&quot;N5P 1Y8&quot;, &quot;province&quot;:&quot;ON&quot;, &quot;sustainabilityurl&quot;:&quot;http://www.rona.ca/corporate/corporate-responsibility&quot;, &quot;hoursmon&quot;:&quot;Please Call&quot;, &quot;longitude&quot;:&quot;-81.1773933333333&quot;, &quot;uid&quot;:1182201457, &quot;retailerlinkurl&quot;:null, &quot;hourssat&quot;:&quot;Please Call&quot;, &quot;clientkey&quot;:&quot;128189&quot;, &quot;name&quot;:&quot;RONA&quot;, &quot;locationlinkurl&quot;:null, &quot;address1&quot;:&quot;101 Edward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 Thomas&quot;, &quot;singleuse&quot;:&quot;Y&quot;, &quot;fax&quot;:null, &quot;country&quot;:&quot;CA&quot;, &quot;logourl&quot;:&quot;http://www.call2recycle.org/notpress/where2getit/rona.png&quot;, &quot;phone&quot;:&quot;519-631-2250&quot;, &quot;address2&quot;:null, &quot;locationimageurl&quot;:null, &quot;_distance&quot;:&quot;6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852505519481&quot;, &quot;url&quot;:&quot;http://www.rona.ca&quot;, &quot;postalcode&quot;:&quot;N3Y 4N5&quot;, &quot;province&quot;:&quot;ON&quot;, &quot;sustainabilityurl&quot;:&quot;http://www.rona.ca/corporate/corporate-responsibility&quot;, &quot;hoursmon&quot;:&quot;Please Call&quot;, &quot;longitude&quot;:&quot;-80.3089040584248&quot;, &quot;uid&quot;:1182198053, &quot;retailerlinkurl&quot;:null, &quot;hourssat&quot;:&quot;Please Call&quot;, &quot;clientkey&quot;:&quot;128187&quot;, &quot;name&quot;:&quot;RONA&quot;, &quot;locationlinkurl&quot;:null, &quot;address1&quot;:&quot;10 Davis S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imcoe&quot;, &quot;singleuse&quot;:&quot;Y&quot;, &quot;fax&quot;:null, &quot;country&quot;:&quot;CA&quot;, &quot;logourl&quot;:&quot;http://www.call2recycle.org/notpress/where2getit/rona.png&quot;, &quot;phone&quot;:&quot;519-426-2740&quot;, &quot;address2&quot;:null, &quot;locationimageurl&quot;:null, &quot;_distance&quot;:&quot;7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2.9911473069883&quot;, &quot;url&quot;:&quot;http://www.rona.ca&quot;, &quot;postalcode&quot;:&quot;N6H 4L1&quot;, &quot;province&quot;:&quot;ON&quot;, &quot;sustainabilityurl&quot;:&quot;http://www.rona.ca/corporate/corporate-responsibility&quot;, &quot;hoursmon&quot;:&quot;Please Call&quot;, &quot;longitude&quot;:&quot;-81.3002761337478&quot;, &quot;uid&quot;:1182187030, &quot;retailerlinkurl&quot;:null, &quot;hourssat&quot;:&quot;Please Call&quot;, &quot;clientkey&quot;:&quot;121764&quot;, &quot;name&quot;:&quot;RONA&quot;, &quot;locationlinkurl&quot;:null, &quot;address1&quot;:&quot;820 Blythwoo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don&quot;, &quot;singleuse&quot;:&quot;Y&quot;, &quot;fax&quot;:null, &quot;country&quot;:&quot;CA&quot;, &quot;logourl&quot;:&quot;http://www.call2recycle.org/notpress/where2getit/rona.png&quot;, &quot;phone&quot;:&quot;519-471-6621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2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9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0143557171621&quot;, &quot;url&quot;:&quot;http://www.rona.ca&quot;, &quot;postalcode&quot;:&quot;L3B 0A1&quot;, &quot;province&quot;:&quot;ON&quot;, &quot;sustainabilityurl&quot;:&quot;http://www.rona.ca/corporate/corporate-responsibility&quot;, &quot;hoursmon&quot;:&quot;Please Call&quot;, &quot;longitude&quot;:&quot;-79.2291830209854&quot;, &quot;uid&quot;:1379773340, &quot;retailerlinkurl&quot;:null, &quot;hourssat&quot;:&quot;Please Call&quot;, &quot;clientkey&quot;:&quot;146245&quot;, &quot;name&quot;:&quot;Rona Welland&quot;, &quot;locationlinkurl&quot;:null, &quot;address1&quot;:&quot;165 Primeway Dr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elland&quot;, &quot;singleuse&quot;:&quot;Y&quot;, &quot;fax&quot;:null, &quot;country&quot;:&quot;CA&quot;, &quot;logourl&quot;:&quot;http://www.call2recycle.org/notpress/where2getit/rona.png&quot;, &quot;phone&quot;:&quot;905-732-0073&quot;, &quot;address2&quot;:null, &quot;locationimageurl&quot;:null, &quot;_distance&quot;:&quot;9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6581&quot;, &quot;url&quot;:&quot;http://www.rona.ca&quot;, &quot;postalcode&quot;:&quot;L2M 7X2&quot;, &quot;province&quot;:&quot;ON&quot;, &quot;sustainabilityurl&quot;:&quot;http://www.rona.ca/corporate/corporate-responsibility&quot;, &quot;hoursmon&quot;:&quot;Please Call&quot;, &quot;longitude&quot;:&quot;-79.20202&quot;, &quot;uid&quot;:821565247, &quot;retailerlinkurl&quot;:null, &quot;hourssat&quot;:&quot;Please Call&quot;, &quot;clientkey&quot;:&quot;128188&quot;, &quot;name&quot;:&quot;RONA&quot;, &quot;locationlinkurl&quot;:null, &quot;address1&quot;:&quot;250 Dunkirk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St Catharines&quot;, &quot;singleuse&quot;:&quot;Y&quot;, &quot;fax&quot;:null, &quot;country&quot;:&quot;CA&quot;, &quot;logourl&quot;:&quot;http://www.call2recycle.org/notpress/where2getit/rona.png&quot;, &quot;phone&quot;:&quot;905-684-9264&quot;, &quot;address2&quot;:null, &quot;locationimageurl&quot;:null, &quot;_distance&quot;:&quot;13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8895&quot;, &quot;url&quot;:&quot;http://www.rona.ca&quot;, &quot;postalcode&quot;:&quot;L3M 4E8&quot;, &quot;province&quot;:&quot;ON&quot;, &quot;sustainabilityurl&quot;:&quot;http://www.rona.ca/corporate/corporate-responsibility&quot;, &quot;hoursmon&quot;:&quot;Please Call&quot;, &quot;longitude&quot;:&quot;-79.5127447319383&quot;, &quot;uid&quot;:-1292109251, &quot;retailerlinkurl&quot;:null, &quot;hourssat&quot;:&quot;Please Call&quot;, &quot;clientkey&quot;:&quot;128186&quot;, &quot;name&quot;:&quot;RONA&quot;, &quot;locationlinkurl&quot;:null, &quot;address1&quot;:&quot;359S South Servic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Grimsby&quot;, &quot;singleuse&quot;:&quot;Y&quot;, &quot;fax&quot;:null, &quot;country&quot;:&quot;CA&quot;, &quot;logourl&quot;:&quot;http://www.call2recycle.org/notpress/where2getit/rona.png&quot;, &quot;phone&quot;:&quot;905-309-1959&quot;, &quot;address2&quot;:null, &quot;locationimageurl&quot;:null, &quot;_distance&quot;:&quot;10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18895&quot;, &quot;url&quot;:&quot;http://www.rona.ca&quot;, &quot;postalcode&quot;:&quot;L3M 4E8&quot;, &quot;province&quot;:&quot;ON&quot;, &quot;sustainabilityurl&quot;:&quot;http://www.rona.ca/corporate/corporate-responsibility&quot;, &quot;hoursmon&quot;:&quot;Please Call&quot;, &quot;longitude&quot;:&quot;-79.5127447319383&quot;, &quot;uid&quot;:-1292109251, &quot;retailerlinkurl&quot;:null, &quot;hourssat&quot;:&quot;Please Call&quot;, &quot;clientkey&quot;:&quot;128186&quot;, &quot;name&quot;:&quot;RONA&quot;, &quot;locationlinkurl&quot;:null, &quot;address1&quot;:&quot;359S South Servic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Grimsby&quot;, &quot;singleuse&quot;:&quot;Y&quot;, &quot;fax&quot;:null, &quot;country&quot;:&quot;CA&quot;, &quot;logourl&quot;:&quot;http://www.call2recycle.org/notpress/where2getit/rona.png&quot;, &quot;phone&quot;:&quot;905-309-1959&quot;, &quot;address2&quot;:null, &quot;locationimageurl&quot;:null, &quot;_distance&quot;:&quot;11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2532231&quot;, &quot;url&quot;:&quot;http://www.rona.ca&quot;, &quot;postalcode&quot;:&quot;L8H 5Z1&quot;, &quot;province&quot;:&quot;ON&quot;, &quot;sustainabilityurl&quot;:&quot;http://www.rona.ca/corporate/corporate-responsibility&quot;, &quot;hoursmon&quot;:&quot;Please Call&quot;, &quot;longitude&quot;:&quot;-79.7863211&quot;, &quot;uid&quot;:941812222, &quot;retailerlinkurl&quot;:null, &quot;hourssat&quot;:&quot;Please Call&quot;, &quot;clientkey&quot;:&quot;153256&quot;, &quot;name&quot;:&quot;RONA&quot;, &quot;locationlinkurl&quot;:null, &quot;address1&quot;:&quot;633 Parkdale Avenue N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Hamilton&quot;, &quot;singleuse&quot;:&quot;Y&quot;, &quot;fax&quot;:null, &quot;country&quot;:&quot;CA&quot;, &quot;logourl&quot;:&quot;http://www.call2recycle.org/notpress/where2getit/rona.png&quot;, &quot;phone&quot;:&quot;905-547-3444&quot;, &quot;address2&quot;:null, &quot;locationimageurl&quot;:null, &quot;_distance&quot;:&quot;12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3155955555556&quot;, &quot;url&quot;:&quot;http://www.rona.ca&quot;, &quot;postalcode&quot;:&quot;L9H 0C2&quot;, &quot;province&quot;:&quot;ON&quot;, &quot;sustainabilityurl&quot;:&quot;http://www.rona.ca/corporate/corporate-responsibility&quot;, &quot;hoursmon&quot;:&quot;Please Call&quot;, &quot;longitude&quot;:&quot;-79.9137022222222&quot;, &quot;uid&quot;:1182183543, &quot;retailerlinkurl&quot;:null, &quot;hourssat&quot;:&quot;Please Call&quot;, &quot;clientkey&quot;:&quot;121761&quot;, &quot;name&quot;:&quot;RONA&quot;, &quot;locationlinkurl&quot;:null, &quot;address1&quot;:&quot;52 Dundas Street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Waterdown&quot;, &quot;singleuse&quot;:&quot;Y&quot;, &quot;fax&quot;:null, &quot;country&quot;:&quot;CA&quot;, &quot;logourl&quot;:&quot;http://www.call2recycle.org/notpress/where2getit/rona.png&quot;, &quot;phone&quot;:&quot;905-689-8700&quot;, &quot;address2&quot;:null, &quot;locationimageurl&quot;:null, &quot;_distance&quot;:&quot;10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3908735022933&quot;, &quot;url&quot;:&quot;http://www.rona.ca&quot;, &quot;postalcode&quot;:&quot;L7L 5V3&quot;, &quot;province&quot;:&quot;ON&quot;, &quot;sustainabilityurl&quot;:&quot;http://www.rona.ca/corporate/corporate-responsibility&quot;, &quot;hoursmon&quot;:&quot;Please Call&quot;, &quot;longitude&quot;:&quot;-79.7902297597762&quot;, &quot;uid&quot;:1182185757, &quot;retailerlinkurl&quot;:null, &quot;hourssat&quot;:&quot;Please Call&quot;, &quot;clientkey&quot;:&quot;68496&quot;, &quot;name&quot;:&quot;RONA&quot;, &quot;locationlinkurl&quot;:null, &quot;address1&quot;:&quot;1830 Ironstone Dr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Burlington&quot;, &quot;singleuse&quot;:&quot;Y&quot;, &quot;fax&quot;:null, &quot;country&quot;:&quot;CA&quot;, &quot;logourl&quot;:&quot;http://www.call2recycle.org/notpress/where2getit/rona.png&quot;, &quot;phone&quot;:&quot;905-332-8868&quot;, &quot;address2&quot;:null, &quot;locationimageurl&quot;:null, &quot;_distance&quot;:&quot;7.0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4093093872598&quot;, &quot;url&quot;:&quot;http://www.rona.ca&quot;, &quot;postalcode&quot;:&quot;N1R 8K5&quot;, &quot;province&quot;:&quot;ON&quot;, &quot;sustainabilityurl&quot;:&quot;http://www.rona.ca/corporate/corporate-responsibility&quot;, &quot;hoursmon&quot;:&quot;Please Call&quot;, &quot;longitude&quot;:&quot;-80.3206893040419&quot;, &quot;uid&quot;:1182186901, &quot;retailerlinkurl&quot;:null, &quot;hourssat&quot;:&quot;Please Call&quot;, &quot;clientkey&quot;:&quot;121758&quot;, &quot;name&quot;:&quot;RONA&quot;, &quot;locationlinkurl&quot;:null, &quot;address1&quot;:&quot;66 Pinebush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Cambridge&quot;, &quot;singleuse&quot;:&quot;Y&quot;, &quot;fax&quot;:null, &quot;country&quot;:&quot;CA&quot;, &quot;logourl&quot;:&quot;http://www.call2recycle.org/notpress/where2getit/rona.png&quot;, &quot;phone&quot;:&quot;519-623-5666&quot;, &quot;address2&quot;:null, &quot;locationimageurl&quot;:null, &quot;_distance&quot;:&quot;9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513803&quot;, &quot;url&quot;:&quot;http://www.rona.ca&quot;, &quot;postalcode&quot;:&quot;L5M 6J3&quot;, &quot;province&quot;:&quot;ON&quot;, &quot;sustainabilityurl&quot;:&quot;http://www.rona.ca/corporate/corporate-responsibility&quot;, &quot;hoursmon&quot;:&quot;Please Call&quot;, &quot;longitude&quot;:&quot;-79.7186544&quot;, &quot;uid&quot;:1182200370, &quot;retailerlinkurl&quot;:null, &quot;hourssat&quot;:&quot;Please Call&quot;, &quot;clientkey&quot;:&quot;36073&quot;, &quot;name&quot;:&quot;RONA&quot;, &quot;locationlinkurl&quot;:null, &quot;address1&quot;:&quot;2933-A Eglinton Ave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820-9965&quot;, &quot;address2&quot;:null, &quot;locationimageurl&quot;:null, &quot;_distance&quot;:&quot;8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941053846154&quot;, &quot;url&quot;:&quot;http://www.rona.ca&quot;, &quot;postalcode&quot;:&quot;L5A 3Y6&quot;, &quot;province&quot;:&quot;ON&quot;, &quot;sustainabilityurl&quot;:&quot;http://www.rona.ca/corporate/corporate-responsibility&quot;, &quot;hoursmon&quot;:&quot;Please Call&quot;, &quot;longitude&quot;:&quot;-79.6007069230769&quot;, &quot;uid&quot;:362272653, &quot;retailerlinkurl&quot;:null, &quot;hourssat&quot;:&quot;Please Call&quot;, &quot;clientkey&quot;:&quot;68508&quot;, &quot;name&quot;:&quot;RONA&quot;, &quot;locationlinkurl&quot;:null, &quot;address1&quot;:&quot;650 Dundas St 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276-6350&quot;, &quot;address2&quot;:null, &quot;locationimageurl&quot;:null, &quot;_distance&quot;:&quot;11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5965272142405&quot;, &quot;url&quot;:&quot;http://www.rona.ca&quot;, &quot;postalcode&quot;:&quot;L5N 8E1&quot;, &quot;province&quot;:&quot;ON&quot;, &quot;sustainabilityurl&quot;:&quot;http://www.rona.ca/corporate/corporate-responsibility&quot;, &quot;hoursmon&quot;:&quot;Please Call&quot;, &quot;longitude&quot;:&quot;-79.7850797312542&quot;, &quot;uid&quot;:941812253, &quot;retailerlinkurl&quot;:null, &quot;hourssat&quot;:&quot;Please Call&quot;, &quot;clientkey&quot;:&quot;121759&quot;, &quot;name&quot;:&quot;RONA&quot;, &quot;locationlinkurl&quot;:null, &quot;address1&quot;:&quot;3115 Argentia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824-1865&quot;, &quot;address2&quot;:null, &quot;locationimageurl&quot;:null, &quot;_distance&quot;:&quot;12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54612467473&quot;, &quot;url&quot;:&quot;http://www.rona.ca&quot;, &quot;postalcode&quot;:&quot;L4W 1V5&quot;, &quot;province&quot;:&quot;ON&quot;, &quot;sustainabilityurl&quot;:&quot;http://www.rona.ca/corporate/corporate-responsibility&quot;, &quot;hoursmon&quot;:&quot;Please Call&quot;, &quot;longitude&quot;:&quot;-79.6065350291245&quot;, &quot;uid&quot;:802759546, &quot;retailerlinkurl&quot;:null, &quot;hourssat&quot;:&quot;Please Call&quot;, &quot;clientkey&quot;:&quot;156296&quot;, &quot;name&quot;:&quot;RONA&quot;, &quot;locationlinkurl&quot;:null, &quot;address1&quot;:&quot;Rockwood Mall 4141 Dixi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602-0795&quot;, &quot;address2&quot;:null, &quot;locationimageurl&quot;:null, &quot;_distance&quot;:&quot;13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54612467473&quot;, &quot;url&quot;:&quot;http://www.rona.ca&quot;, &quot;postalcode&quot;:&quot;L4W 1V5&quot;, &quot;province&quot;:&quot;ON&quot;, &quot;sustainabilityurl&quot;:&quot;http://www.rona.ca/corporate/corporate-responsibility&quot;, &quot;hoursmon&quot;:&quot;Please Call&quot;, &quot;longitude&quot;:&quot;-79.6065350291245&quot;, &quot;uid&quot;:802759546, &quot;retailerlinkurl&quot;:null, &quot;hourssat&quot;:&quot;Please Call&quot;, &quot;clientkey&quot;:&quot;156296&quot;, &quot;name&quot;:&quot;RONA&quot;, &quot;locationlinkurl&quot;:null, &quot;address1&quot;:&quot;Rockwood Mall 4141 Dixie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Mississauga&quot;, &quot;singleuse&quot;:&quot;Y&quot;, &quot;fax&quot;:null, &quot;country&quot;:&quot;CA&quot;, &quot;logourl&quot;:&quot;http://www.call2recycle.org/notpress/where2getit/rona.png&quot;, &quot;phone&quot;:&quot;905-602-0795&quot;, &quot;address2&quot;:null, &quot;locationimageurl&quot;:null, &quot;_distance&quot;:&quot;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29895&quot;, &quot;url&quot;:&quot;http://www.rona.ca&quot;, &quot;postalcode&quot;:&quot;M8Z 4P8&quot;, &quot;province&quot;:&quot;ON&quot;, &quot;sustainabilityurl&quot;:&quot;http://www.rona.ca/corporate/corporate-responsibility&quot;, &quot;hoursmon&quot;:&quot;Please Call&quot;, &quot;longitude&quot;:&quot;-79.5173525&quot;, &quot;uid&quot;:1910674697, &quot;retailerlinkurl&quot;:null, &quot;hourssat&quot;:&quot;Please Call&quot;, &quot;clientkey&quot;:&quot;154373&quot;, &quot;name&quot;:&quot;RONA&quot;, &quot;locationlinkurl&quot;:null, &quot;address1&quot;:&quot;994 Islington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Etobicoke&quot;, &quot;singleuse&quot;:&quot;Y&quot;, &quot;fax&quot;:null, &quot;country&quot;:&quot;CA&quot;, &quot;logourl&quot;:&quot;http://www.call2recycle.org/notpress/where2getit/rona.png&quot;, &quot;phone&quot;:&quot;416-503-2469&quot;, &quot;address2&quot;:null, &quot;locationimageurl&quot;:null, &quot;_distance&quot;:&quot;8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05323529412&quot;, &quot;url&quot;:&quot;http://www.rona.ca&quot;, &quot;postalcode&quot;:&quot;M8X 1Y6&quot;, &quot;province&quot;:&quot;ON&quot;, &quot;sustainabilityurl&quot;:&quot;http://www.rona.ca/corporate/corporate-responsibility&quot;, &quot;hoursmon&quot;:&quot;Please Call&quot;, &quot;longitude&quot;:&quot;-79.5107564705882&quot;, &quot;uid&quot;:-2079340080, &quot;retailerlinkurl&quot;:null, &quot;hourssat&quot;:&quot;Please Call&quot;, &quot;clientkey&quot;:&quot;68486&quot;, &quot;name&quot;:&quot;RONA&quot;, &quot;locationlinkurl&quot;:null, &quot;address1&quot;:&quot;4208 Dundas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Etobicoke&quot;, &quot;singleuse&quot;:&quot;Y&quot;, &quot;fax&quot;:null, &quot;country&quot;:&quot;CA&quot;, &quot;logourl&quot;:&quot;http://www.call2recycle.org/notpress/where2getit/rona.png&quot;, &quot;phone&quot;:&quot;416-232-1460&quot;, &quot;address2&quot;:null, &quot;locationimageurl&quot;:null, &quot;_distance&quot;:&quot;6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924&quot;, &quot;url&quot;:&quot;http://www.rona.ca&quot;, &quot;postalcode&quot;:&quot;M6N 5B7&quot;, &quot;province&quot;:&quot;ON&quot;, &quot;sustainabilityurl&quot;:&quot;http://www.rona.ca/corporate/corporate-responsibility&quot;, &quot;hoursmon&quot;:&quot;Please Call&quot;, &quot;longitude&quot;:&quot;-79.46998&quot;, &quot;uid&quot;:1182188579, &quot;retailerlinkurl&quot;:null, &quot;hourssat&quot;:&quot;Please Call&quot;, &quot;clientkey&quot;:&quot;38727&quot;, &quot;name&quot;:&quot;RONA&quot;, &quot;locationlinkurl&quot;:null, &quot;address1&quot;:&quot;110 West Toronto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rona.png&quot;, &quot;phone&quot;:&quot;416-766-9393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66924&quot;, &quot;url&quot;:&quot;http://www.rona.ca&quot;, &quot;postalcode&quot;:&quot;M6N 5B7&quot;, &quot;province&quot;:&quot;ON&quot;, &quot;sustainabilityurl&quot;:&quot;http://www.rona.ca/corporate/corporate-responsibility&quot;, &quot;hoursmon&quot;:&quot;Please Call&quot;, &quot;longitude&quot;:&quot;-79.46998&quot;, &quot;uid&quot;:1182188579, &quot;retailerlinkurl&quot;:null, &quot;hourssat&quot;:&quot;Please Call&quot;, &quot;clientkey&quot;:&quot;38727&quot;, &quot;name&quot;:&quot;RONA&quot;, &quot;locationlinkurl&quot;:null, &quot;address1&quot;:&quot;110 West Toronto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oronto&quot;, &quot;singleuse&quot;:&quot;Y&quot;, &quot;fax&quot;:null, &quot;country&quot;:&quot;CA&quot;, &quot;logourl&quot;:&quot;http://www.call2recycle.org/notpress/where2getit/rona.png&quot;, &quot;phone&quot;:&quot;416-766-9393&quot;, &quot;address2&quot;:null, &quot;locationimageurl&quot;:null, &quot;_distance&quot;:&quot;7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72284&quot;, &quot;url&quot;:&quot;http://www.rona.ca&quot;, &quot;postalcode&quot;:&quot;M1L 4T7&quot;, &quot;province&quot;:&quot;ON&quot;, &quot;sustainabilityurl&quot;:&quot;http://www.rona.ca/corporate/corporate-responsibility&quot;, &quot;hoursmon&quot;:&quot;Please Call&quot;, &quot;longitude&quot;:&quot;-79.285535&quot;, &quot;uid&quot;:-511708699, &quot;retailerlinkurl&quot;:null, &quot;hourssat&quot;:&quot;Please Call&quot;, &quot;clientkey&quot;:&quot;38939&quot;, &quot;name&quot;:&quot;RONA&quot;, &quot;locationlinkurl&quot;:null, &quot;address1&quot;:&quot;768 Warden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rona.png&quot;, &quot;phone&quot;:&quot;416-751-7556&quot;, &quot;address2&quot;:null, &quot;locationimageurl&quot;:null, &quot;_distance&quot;:&quot;7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7644127&quot;, &quot;url&quot;:&quot;http://www.rona.ca&quot;, &quot;postalcode&quot;:&quot;M2N 3B1&quot;, &quot;province&quot;:&quot;ON&quot;, &quot;sustainabilityurl&quot;:&quot;http://www.rona.ca/corporate/corporate-responsibility&quot;, &quot;hoursmon&quot;:&quot;Please Call&quot;, &quot;longitude&quot;:&quot;-79.3993942&quot;, &quot;uid&quot;:1182192166, &quot;retailerlinkurl&quot;:null, &quot;hourssat&quot;:&quot;Please Call&quot;, &quot;clientkey&quot;:&quot;38931&quot;, &quot;name&quot;:&quot;RONA&quot;, &quot;locationlinkurl&quot;:null, &quot;address1&quot;:&quot;258 Sheppar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North York&quot;, &quot;singleuse&quot;:&quot;Y&quot;, &quot;fax&quot;:null, &quot;country&quot;:&quot;CA&quot;, &quot;logourl&quot;:&quot;http://www.call2recycle.org/notpress/where2getit/rona.png&quot;, &quot;phone&quot;:&quot;416-225-7726&quot;, &quot;address2&quot;:null, &quot;locationimageurl&quot;:null, &quot;_distance&quot;:&quot;8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8146&quot;, &quot;url&quot;:&quot;http://www.rona.ca&quot;, &quot;postalcode&quot;:&quot;M1V 4V3&quot;, &quot;province&quot;:&quot;ON&quot;, &quot;sustainabilityurl&quot;:&quot;http://www.rona.ca/corporate/corporate-responsibility&quot;, &quot;hoursmon&quot;:&quot;Please Call&quot;, &quot;longitude&quot;:&quot;-79.29221&quot;, &quot;uid&quot;:1182201033, &quot;retailerlinkurl&quot;:null, &quot;hourssat&quot;:&quot;Please Call&quot;, &quot;clientkey&quot;:&quot;121766&quot;, &quot;name&quot;:&quot;RONA&quot;, &quot;locationlinkurl&quot;:null, &quot;address1&quot;:&quot;3750 Midland Av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carborough&quot;, &quot;singleuse&quot;:&quot;Y&quot;, &quot;fax&quot;:null, &quot;country&quot;:&quot;CA&quot;, &quot;logourl&quot;:&quot;http://www.call2recycle.org/notpress/where2getit/rona.png&quot;, &quot;phone&quot;:&quot;416-396-3453&quot;, &quot;address2&quot;:null, &quot;locationimageurl&quot;:null, &quot;_distance&quot;:&quot;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3.9076045270157&quot;, &quot;url&quot;:&quot;http://www.rona.ca&quot;, &quot;postalcode&quot;:&quot;L1B 1C2&quot;, &quot;province&quot;:&quot;ON&quot;, &quot;sustainabilityurl&quot;:&quot;http://www.rona.ca/corporate/corporate-responsibility&quot;, &quot;hoursmon&quot;:&quot;Please Call&quot;, &quot;longitude&quot;:&quot;-78.5910229561934&quot;, &quot;uid&quot;:477915148, &quot;retailerlinkurl&quot;:null, &quot;hourssat&quot;:&quot;Please Call&quot;, &quot;clientkey&quot;:&quot;102292&quot;, &quot;name&quot;:&quot;RONA&quot;, &quot;locationlinkurl&quot;:null, &quot;address1&quot;:&quot;275 Toronto S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Newcastle&quot;, &quot;singleuse&quot;:&quot;Y&quot;, &quot;fax&quot;:null, &quot;country&quot;:&quot;CA&quot;, &quot;logourl&quot;:&quot;http://www.call2recycle.org/notpress/where2getit/rona.png&quot;, &quot;phone&quot;:&quot;905-987-4560&quot;, &quot;address2&quot;:null, &quot;locationimageurl&quot;:null, &quot;_distance&quot;:&quot;10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13611&quot;, &quot;url&quot;:&quot;http://www.rona.ca&quot;, &quot;postalcode&quot;:&quot;K8V 5W6&quot;, &quot;province&quot;:&quot;ON&quot;, &quot;sustainabilityurl&quot;:&quot;http://www.rona.ca/corporate/corporate-responsibility&quot;, &quot;hoursmon&quot;:&quot;Please Call&quot;, &quot;longitude&quot;:&quot;-77.58462&quot;, &quot;uid&quot;:791543757, &quot;retailerlinkurl&quot;:null, &quot;hourssat&quot;:&quot;Please Call&quot;, &quot;clientkey&quot;:&quot;68497&quot;, &quot;name&quot;:&quot;RONA&quot;, &quot;locationlinkurl&quot;:null, &quot;address1&quot;:&quot;234 Glen Miller R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Trenton&quot;, &quot;singleuse&quot;:&quot;Y&quot;, &quot;fax&quot;:null, &quot;country&quot;:&quot;CA&quot;, &quot;logourl&quot;:&quot;http://www.call2recycle.org/notpress/where2getit/rona.png&quot;, &quot;phone&quot;:&quot;613-394-3351&quot;, &quot;address2&quot;:null, &quot;locationimageurl&quot;:null, &quot;_distance&quot;:&quot;6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581559259259&quot;, &quot;url&quot;:&quot;http://www.rona.ca&quot;, &quot;postalcode&quot;:&quot;K7M 3G4&quot;, &quot;province&quot;:&quot;ON&quot;, &quot;sustainabilityurl&quot;:&quot;http://www.rona.ca/corporate/corporate-responsibility&quot;, &quot;hoursmon&quot;:&quot;Please Call&quot;, &quot;longitude&quot;:&quot;-76.5518459259259&quot;, &quot;uid&quot;:1182194036, &quot;retailerlinkurl&quot;:null, &quot;hourssat&quot;:&quot;Please Call&quot;, &quot;clientkey&quot;:&quot;121748&quot;, &quot;name&quot;:&quot;RONA&quot;, &quot;locationlinkurl&quot;:null, &quot;address1&quot;:&quot;2342 Princes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ingston&quot;, &quot;singleuse&quot;:&quot;Y&quot;, &quot;fax&quot;:null, &quot;country&quot;:&quot;CA&quot;, &quot;logourl&quot;:&quot;http://www.call2recycle.org/notpress/where2getit/rona.png&quot;, &quot;phone&quot;:&quot;613-531-6225&quot;, &quot;address2&quot;:null, &quot;locationimageurl&quot;:null, &quot;_distance&quot;:&quot;13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581559259259&quot;, &quot;url&quot;:&quot;http://www.rona.ca&quot;, &quot;postalcode&quot;:&quot;K7M 3G4&quot;, &quot;province&quot;:&quot;ON&quot;, &quot;sustainabilityurl&quot;:&quot;http://www.rona.ca/corporate/corporate-responsibility&quot;, &quot;hoursmon&quot;:&quot;Please Call&quot;, &quot;longitude&quot;:&quot;-76.5518459259259&quot;, &quot;uid&quot;:1182194036, &quot;retailerlinkurl&quot;:null, &quot;hourssat&quot;:&quot;Please Call&quot;, &quot;clientkey&quot;:&quot;121748&quot;, &quot;name&quot;:&quot;RONA&quot;, &quot;locationlinkurl&quot;:null, &quot;address1&quot;:&quot;2342 Princess S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Kingston&quot;, &quot;singleuse&quot;:&quot;Y&quot;, &quot;fax&quot;:null, &quot;country&quot;:&quot;CA&quot;, &quot;logourl&quot;:&quot;http://www.call2recycle.org/notpress/where2getit/rona.png&quot;, &quot;phone&quot;:&quot;613-531-6225&quot;, &quot;address2&quot;:null, &quot;locationimageurl&quot;:null, &quot;_distance&quot;:&quot;4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890461052992&quot;, &quot;url&quot;:&quot;http://www.rona.ca&quot;, &quot;postalcode&quot;:&quot;K0L 1L0&quot;, &quot;province&quot;:&quot;ON&quot;, &quot;sustainabilityurl&quot;:&quot;http://www.rona.ca/corporate/corporate-responsibility&quot;, &quot;hoursmon&quot;:&quot;Please Call&quot;, &quot;longitude&quot;:&quot;-77.8092744786324&quot;, &quot;uid&quot;:1182174305, &quot;retailerlinkurl&quot;:null, &quot;hourssat&quot;:&quot;Please Call&quot;, &quot;clientkey&quot;:&quot;134514&quot;, &quot;name&quot;:&quot;RONA Campbellford&quot;, &quot;locationlinkurl&quot;:null, &quot;address1&quot;:&quot;509 Gran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ampbellford&quot;, &quot;singleuse&quot;:&quot;Y&quot;, &quot;fax&quot;:null, &quot;country&quot;:&quot;CA&quot;, &quot;logourl&quot;:&quot;http://www.call2recycle.org/notpress/where2getit/rona.png&quot;, &quot;phone&quot;:&quot;705-653-1440&quot;, &quot;address2&quot;:null, &quot;locationimageurl&quot;:null, &quot;_distance&quot;:&quot;11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890461052992&quot;, &quot;url&quot;:&quot;http://www.rona.ca&quot;, &quot;postalcode&quot;:&quot;K0L 1L0&quot;, &quot;province&quot;:&quot;ON&quot;, &quot;sustainabilityurl&quot;:&quot;http://www.rona.ca/corporate/corporate-responsibility&quot;, &quot;hoursmon&quot;:&quot;Please Call&quot;, &quot;longitude&quot;:&quot;-77.8092744786324&quot;, &quot;uid&quot;:1182174305, &quot;retailerlinkurl&quot;:null, &quot;hourssat&quot;:&quot;Please Call&quot;, &quot;clientkey&quot;:&quot;134514&quot;, &quot;name&quot;:&quot;RONA Campbellford&quot;, &quot;locationlinkurl&quot;:null, &quot;address1&quot;:&quot;509 Grand Rd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Campbellford&quot;, &quot;singleuse&quot;:&quot;Y&quot;, &quot;fax&quot;:null, &quot;country&quot;:&quot;CA&quot;, &quot;logourl&quot;:&quot;http://www.call2recycle.org/notpress/where2getit/rona.png&quot;, &quot;phone&quot;:&quot;705-653-1440&quot;, &quot;address2&quot;:null, &quot;locationimageurl&quot;:null, &quot;_distance&quot;:&quot;12.0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918933333333&quot;, &quot;url&quot;:&quot;http://www.rona.ca&quot;, &quot;postalcode&quot;:&quot;K0K 3E0&quot;, &quot;province&quot;:&quot;ON&quot;, &quot;sustainabilityurl&quot;:&quot;http://www.rona.ca/corporate/corporate-responsibility&quot;, &quot;hoursmon&quot;:&quot;Please Call&quot;, &quot;longitude&quot;:&quot;-77.5647533333333&quot;, &quot;uid&quot;:989641543, &quot;retailerlinkurl&quot;:null, &quot;hourssat&quot;:&quot;Please Call&quot;, &quot;clientkey&quot;:&quot;122264&quot;, &quot;name&quot;:&quot;RONA&quot;, &quot;locationlinkurl&quot;:null, &quot;address1&quot;:&quot;436 Front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irling&quot;, &quot;singleuse&quot;:&quot;Y&quot;, &quot;fax&quot;:null, &quot;country&quot;:&quot;CA&quot;, &quot;logourl&quot;:&quot;http://www.call2recycle.org/notpress/where2getit/rona.png&quot;, &quot;phone&quot;:&quot;613-395-3361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2918933333333&quot;, &quot;url&quot;:&quot;http://www.rona.ca&quot;, &quot;postalcode&quot;:&quot;K0K 3E0&quot;, &quot;province&quot;:&quot;ON&quot;, &quot;sustainabilityurl&quot;:&quot;http://www.rona.ca/corporate/corporate-responsibility&quot;, &quot;hoursmon&quot;:&quot;Please Call&quot;, &quot;longitude&quot;:&quot;-77.5647533333333&quot;, &quot;uid&quot;:989641543, &quot;retailerlinkurl&quot;:null, &quot;hourssat&quot;:&quot;Please Call&quot;, &quot;clientkey&quot;:&quot;122264&quot;, &quot;name&quot;:&quot;RONA&quot;, &quot;locationlinkurl&quot;:null, &quot;address1&quot;:&quot;436 Front St W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Stirling&quot;, &quot;singleuse&quot;:&quot;Y&quot;, &quot;fax&quot;:null, &quot;country&quot;:&quot;CA&quot;, &quot;logourl&quot;:&quot;http://www.call2recycle.org/notpress/where2getit/rona.png&quot;, &quot;phone&quot;:&quot;613-395-3361&quot;, &quot;address2&quot;:null, &quot;locationimageurl&quot;:null, &quot;_distance&quot;:&quot;1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3364375&quot;, &quot;url&quot;:&quot;http://www.rona.ca&quot;, &quot;postalcode&quot;:&quot;L4N 9H5&quot;, &quot;province&quot;:&quot;ON&quot;, &quot;sustainabilityurl&quot;:&quot;http://www.rona.ca/corporate/corporate-responsibility&quot;, &quot;hoursmon&quot;:&quot;Please Call&quot;, &quot;longitude&quot;:&quot;-79.6802366666667&quot;, &quot;uid&quot;:1182187040, &quot;retailerlinkurl&quot;:null, &quot;hourssat&quot;:&quot;Please Call&quot;, &quot;clientkey&quot;:&quot;121757&quot;, &quot;name&quot;:&quot;RONA&quot;, &quot;locationlinkurl&quot;:null, &quot;address1&quot;:&quot;61 Mapleview Dr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arrie&quot;, &quot;singleuse&quot;:&quot;Y&quot;, &quot;fax&quot;:null, &quot;country&quot;:&quot;CA&quot;, &quot;logourl&quot;:&quot;http://www.call2recycle.org/notpress/where2getit/rona.png&quot;, &quot;phone&quot;:&quot;705-792-6670&quot;, &quot;address2&quot;:null, &quot;locationimageurl&quot;:null, &quot;_distance&quot;:&quot;4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421163&quot;, &quot;url&quot;:&quot;http://www.rona.ca&quot;, &quot;postalcode&quot;:&quot;K0L 2H0&quot;, &quot;province&quot;:&quot;ON&quot;, &quot;sustainabilityurl&quot;:&quot;http://www.rona.ca/corporate/corporate-responsibility&quot;, &quot;hoursmon&quot;:&quot;Please Call&quot;, &quot;longitude&quot;:&quot;-78.271105&quot;, &quot;uid&quot;:941812249, &quot;retailerlinkurl&quot;:null, &quot;hourssat&quot;:&quot;Please Call&quot;, &quot;clientkey&quot;:&quot;153230&quot;, &quot;name&quot;:&quot;RONA&quot;, &quot;locationlinkurl&quot;:null, &quot;address1&quot;:&quot;178 Water Stree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akefield&quot;, &quot;singleuse&quot;:&quot;Y&quot;, &quot;fax&quot;:null, &quot;country&quot;:&quot;CA&quot;, &quot;logourl&quot;:&quot;http://www.call2recycle.org/notpress/where2getit/rona.png&quot;, &quot;phone&quot;:&quot;705-652-3347&quot;, &quot;address2&quot;:null, &quot;locationimageurl&quot;:null, &quot;_distance&quot;:&quot;3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52534&quot;, &quot;url&quot;:&quot;http://www.rona.ca&quot;, &quot;postalcode&quot;:&quot;N4K 2H3&quot;, &quot;province&quot;:&quot;ON&quot;, &quot;sustainabilityurl&quot;:&quot;http://www.rona.ca/corporate/corporate-responsibility&quot;, &quot;hoursmon&quot;:&quot;Please Call&quot;, &quot;longitude&quot;:&quot;-80.9430214&quot;, &quot;uid&quot;:-1353535888, &quot;retailerlinkurl&quot;:null, &quot;hourssat&quot;:&quot;Please Call&quot;, &quot;clientkey&quot;:&quot;94514&quot;, &quot;name&quot;:&quot;RONA&quot;, &quot;locationlinkurl&quot;:null, &quot;address1&quot;:&quot;874 2n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7729&quot;, &quot;address2&quot;:null, &quot;locationimageurl&quot;:null, &quot;_distance&quot;:&quot;16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52534&quot;, &quot;url&quot;:&quot;http://www.rona.ca&quot;, &quot;postalcode&quot;:&quot;N4K 2H3&quot;, &quot;province&quot;:&quot;ON&quot;, &quot;sustainabilityurl&quot;:&quot;http://www.rona.ca/corporate/corporate-responsibility&quot;, &quot;hoursmon&quot;:&quot;Please Call&quot;, &quot;longitude&quot;:&quot;-80.9430214&quot;, &quot;uid&quot;:-1353535888, &quot;retailerlinkurl&quot;:null, &quot;hourssat&quot;:&quot;Please Call&quot;, &quot;clientkey&quot;:&quot;94514&quot;, &quot;name&quot;:&quot;RONA&quot;, &quot;locationlinkurl&quot;:null, &quot;address1&quot;:&quot;874 2nd Ave E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7729&quot;, &quot;address2&quot;:null, &quot;locationimageurl&quot;:null, &quot;_distance&quot;:&quot;24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692&quot;, &quot;url&quot;:&quot;http://www.rona.ca&quot;, &quot;postalcode&quot;:&quot;N4K 5R4&quot;, &quot;province&quot;:&quot;ON&quot;, &quot;sustainabilityurl&quot;:&quot;http://www.rona.ca/corporate/corporate-responsibility&quot;, &quot;hoursmon&quot;:&quot;Please Call&quot;, &quot;longitude&quot;:&quot;-80.95044&quot;, &quot;uid&quot;:941812344, &quot;retailerlinkurl&quot;:null, &quot;hourssat&quot;:&quot;Please Call&quot;, &quot;clientkey&quot;:&quot;68517&quot;, &quot;name&quot;:&quot;RONA&quot;, &quot;locationlinkurl&quot;:null, &quot;address1&quot;:&quot;Highway 21 (Springmount)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3181&quot;, &quot;address2&quot;:null, &quot;locationimageurl&quot;:null, &quot;_distance&quot;:&quot;16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56692&quot;, &quot;url&quot;:&quot;http://www.rona.ca&quot;, &quot;postalcode&quot;:&quot;N4K 5R4&quot;, &quot;province&quot;:&quot;ON&quot;, &quot;sustainabilityurl&quot;:&quot;http://www.rona.ca/corporate/corporate-responsibility&quot;, &quot;hoursmon&quot;:&quot;Please Call&quot;, &quot;longitude&quot;:&quot;-80.95044&quot;, &quot;uid&quot;:941812344, &quot;retailerlinkurl&quot;:null, &quot;hourssat&quot;:&quot;Please Call&quot;, &quot;clientkey&quot;:&quot;68517&quot;, &quot;name&quot;:&quot;RONA&quot;, &quot;locationlinkurl&quot;:null, &quot;address1&quot;:&quot;Highway 21 (Springmount)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Owen Sound&quot;, &quot;singleuse&quot;:&quot;Y&quot;, &quot;fax&quot;:null, &quot;country&quot;:&quot;CA&quot;, &quot;logourl&quot;:&quot;http://www.call2recycle.org/notpress/where2getit/rona.png&quot;, &quot;phone&quot;:&quot;519-376-3181&quot;, &quot;address2&quot;:null, &quot;locationimageurl&quot;:null, &quot;_distance&quot;:&quot;2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4.6032662&quot;, &quot;url&quot;:&quot;http://www.rona.ca&quot;, &quot;postalcode&quot;:&quot;K6V 7H2&quot;, &quot;province&quot;:&quot;ON&quot;, &quot;sustainabilityurl&quot;:&quot;http://www.rona.ca/corporate/corporate-responsibility&quot;, &quot;hoursmon&quot;:&quot;Please Call&quot;, &quot;longitude&quot;:&quot;-75.7139239&quot;, &quot;uid&quot;:45496955, &quot;retailerlinkurl&quot;:null, &quot;hourssat&quot;:&quot;Please Call&quot;, &quot;clientkey&quot;:&quot;125511&quot;, &quot;name&quot;:&quot;RONA&quot;, &quot;locationlinkurl&quot;:null, &quot;address1&quot;:&quot;550 Boulevard Stewart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Brockville&quot;, &quot;singleuse&quot;:&quot;Y&quot;, &quot;fax&quot;:null, &quot;country&quot;:&quot;CA&quot;, &quot;logourl&quot;:&quot;http://www.call2recycle.org/notpress/where2getit/rona.png&quot;, &quot;phone&quot;:&quot;613-342-8714&quot;, &quot;address2&quot;:null, &quot;locationimageurl&quot;:null, &quot;_distance&quot;:&quot;12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5.42595&quot;, &quot;url&quot;:&quot;http://www.rona.ca&quot;, &quot;postalcode&quot;:&quot;K7S 3N2&quot;, &quot;province&quot;:&quot;ON&quot;, &quot;sustainabilityurl&quot;:&quot;http://www.rona.ca/corporate/corporate-responsibility&quot;, &quot;hoursmon&quot;:&quot;Please Call&quot;, &quot;longitude&quot;:&quot;-76.32327&quot;, &quot;uid&quot;:-2116055038, &quot;retailerlinkurl&quot;:null, &quot;hourssat&quot;:&quot;Please Call&quot;, &quot;clientkey&quot;:&quot;147776&quot;, &quot;name&quot;:&quot;Rona&quot;, &quot;locationlinkurl&quot;:null, &quot;address1&quot;:&quot;Madawaska Blvd&quot;, &quot;icon&quot;:&quot;preferred&quot;, &quot;bho&quot;:null, &quot;_distanceuom&quot;:&quot;mile&quot;, &quot;hourssun&quot;:&quot;Please Call&quot;, &quot;computers&quot;:&quot;N&quot;, &quot;cfl&quot;:&quot;Y&quot;, &quot;regionalimageurl&quot;:null, &quot;city&quot;:&quot;Arnprior&quot;, &quot;singleuse&quot;:&quot;Y&quot;, &quot;fax&quot;:null, &quot;country&quot;:&quot;CA&quot;, &quot;logourl&quot;:&quot;http://www.call2recycle.org/notpress/where2getit/rona.png&quot;, &quot;phone&quot;:&quot;613-623-4791&quot;, &quot;address2&quot;:null, &quot;locationimageurl&quot;:null, &quot;_distance&quot;:&quot;47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6.6085883728151&quot;, &quot;url&quot;:&quot;http://www.rona.ca&quot;, &quot;postalcode&quot;:&quot;P3N 1B2&quot;, &quot;province&quot;:&quot;ON&quot;, &quot;sustainabilityurl&quot;:&quot;http://www.rona.ca/corporate/corporate-responsibility&quot;, &quot;hoursmon&quot;:&quot;Please Call&quot;, &quot;longitude&quot;:&quot;-81.0313502368903&quot;, &quot;uid&quot;:1788083538, &quot;retailerlinkurl&quot;:null, &quot;hourssat&quot;:&quot;Please Call&quot;, &quot;clientkey&quot;:&quot;125524&quot;, &quot;name&quot;:&quot;RONA&quot;, &quot;locationlinkurl&quot;:null, &quot;address1&quot;:&quot;2957 Poole Court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Val Caron&quot;, &quot;singleuse&quot;:&quot;Y&quot;, &quot;fax&quot;:null, &quot;country&quot;:&quot;CA&quot;, &quot;logourl&quot;:&quot;http://www.call2recycle.org/notpress/where2getit/rona.png&quot;, &quot;phone&quot;:&quot;705-897-2552&quot;, &quot;address2&quot;:null, &quot;locationimageurl&quot;:null, &quot;_distance&quot;:&quot;31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216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8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rona.ca/corporate/social-engagement&quot;, &quot;latitude&quot;:&quot;49.7743958847974&quot;, &quot;url&quot;:&quot;http://www.rona.ca&quot;, &quot;postalcode&quot;:&quot;P0T 2A0&quot;, &quot;province&quot;:&quot;ON&quot;, &quot;sustainabilityurl&quot;:&quot;http://www.rona.ca/corporate/corporate-responsibility&quot;, &quot;hoursmon&quot;:&quot;Please Call&quot;, &quot;longitude&quot;:&quot;-86.5374523574809&quot;, &quot;uid&quot;:456868115, &quot;retailerlinkurl&quot;:null, &quot;hourssat&quot;:&quot;Please Call&quot;, &quot;clientkey&quot;:&quot;132205&quot;, &quot;name&quot;:&quot;Rona&quot;, &quot;locationlinkurl&quot;:null, &quot;address1&quot;:&quot;102 Hamel Ave&quot;, &quot;icon&quot;:&quot;normal&quot;, &quot;bho&quot;:null, &quot;_distanceuom&quot;:&quot;mile&quot;, &quot;hourssun&quot;:&quot;Please Call&quot;, &quot;computers&quot;:&quot;N&quot;, &quot;cfl&quot;:&quot;Y&quot;, &quot;regionalimageurl&quot;:null, &quot;city&quot;:&quot;Longlac&quot;, &quot;singleuse&quot;:&quot;Y&quot;, &quot;fax&quot;:null, &quot;country&quot;:&quot;CA&quot;, &quot;logourl&quot;:&quot;http://www.call2recycle.org/notpress/where2getit/rona.png&quot;, &quot;phone&quot;:&quot;807-876-2294&quot;, &quot;address2&quot;:null, &quot;locationimageurl&quot;:null, &quot;_distance&quot;:&quot;95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0376591564033&quot;, &quot;url&quot;:&quot;http://www.thesource.ca&quot;, &quot;postalcode&quot;:&quot;N8H 3C4&quot;, &quot;province&quot;:&quot;ON&quot;, &quot;sustainabilityurl&quot;:&quot;http://www.thesource.ca/sitelets/jobs/environment.asp&quot;, &quot;hoursmon&quot;:&quot;Please Call&quot;, &quot;longitude&quot;:&quot;-82.6008447851261&quot;, &quot;uid&quot;:921156581, &quot;retailerlinkurl&quot;:null, &quot;hourssat&quot;:&quot;Please Call&quot;, &quot;clientkey&quot;:&quot;75692&quot;, &quot;name&quot;:&quot;The Source&quot;, &quot;locationlinkurl&quot;:null, &quot;address1&quot;:&quot;275 Erie St S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eamington&quot;, &quot;singleuse&quot;:&quot;Y&quot;, &quot;fax&quot;:null, &quot;country&quot;:&quot;CA&quot;, &quot;logourl&quot;:&quot;http://www.call2recycle.org/notpress/where2getit/thesource.png&quot;, &quot;phone&quot;:&quot;519-326-5009&quot;, &quot;address2&quot;:null, &quot;locationimageurl&quot;:null, &quot;_distance&quot;:&quot;10.1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09741&quot;, &quot;url&quot;:&quot;http://www.thesource.ca&quot;, &quot;postalcode&quot;:&quot;N9V 3L4&quot;, &quot;province&quot;:&quot;ON&quot;, &quot;sustainabilityurl&quot;:&quot;http://www.thesource.ca/sitelets/jobs/environment.asp&quot;, &quot;hoursmon&quot;:&quot;Please Call&quot;, &quot;longitude&quot;:&quot;-83.10814&quot;, &quot;uid&quot;:54344508, &quot;retailerlinkurl&quot;:null, &quot;hourssat&quot;:&quot;Please Call&quot;, &quot;clientkey&quot;:&quot;470&quot;, &quot;name&quot;:&quot;The Source&quot;, &quot;locationlinkurl&quot;:null, &quot;address1&quot;:&quot;400 Sandwich St S Unit 20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burg&quot;, &quot;singleuse&quot;:&quot;Y&quot;, &quot;fax&quot;:null, &quot;country&quot;:&quot;CA&quot;, &quot;logourl&quot;:&quot;http://www.call2recycle.org/notpress/where2getit/thesource.png&quot;, &quot;phone&quot;:&quot;519-736-7153&quot;, &quot;address2&quot;:null, &quot;locationimageurl&quot;:null, &quot;_distance&quot;:&quot;9.6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307187272484&quot;, &quot;url&quot;:&quot;http://www.thesource.ca&quot;, &quot;postalcode&quot;:&quot;N9K 1C7&quot;, &quot;province&quot;:&quot;ON&quot;, &quot;sustainabilityurl&quot;:&quot;http://www.thesource.ca/sitelets/jobs/environment.asp&quot;, &quot;hoursmon&quot;:&quot;Please Call&quot;, &quot;longitude&quot;:&quot;-82.8677227087863&quot;, &quot;uid&quot;:1182182452, &quot;retailerlinkurl&quot;:null, &quot;hourssat&quot;:&quot;Please Call&quot;, &quot;clientkey&quot;:&quot;75796&quot;, &quot;name&quot;:&quot;The Source&quot;, &quot;locationlinkurl&quot;:null, &quot;address1&quot;:&quot;25 Amy Croft Dr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thesource.png&quot;, &quot;phone&quot;:&quot;519-735-6131&quot;, &quot;address2&quot;:null, &quot;locationimageurl&quot;:null, &quot;_distance&quot;:&quot;11.0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307187272484&quot;, &quot;url&quot;:&quot;http://www.thesource.ca&quot;, &quot;postalcode&quot;:&quot;N9K 1C7&quot;, &quot;province&quot;:&quot;ON&quot;, &quot;sustainabilityurl&quot;:&quot;http://www.thesource.ca/sitelets/jobs/environment.asp&quot;, &quot;hoursmon&quot;:&quot;Please Call&quot;, &quot;longitude&quot;:&quot;-82.8677227087863&quot;, &quot;uid&quot;:1182182452, &quot;retailerlinkurl&quot;:null, &quot;hourssat&quot;:&quot;Please Call&quot;, &quot;clientkey&quot;:&quot;75796&quot;, &quot;name&quot;:&quot;The Source&quot;, &quot;locationlinkurl&quot;:null, &quot;address1&quot;:&quot;25 Amy Croft Dr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thesource.png&quot;, &quot;phone&quot;:&quot;519-735-6131&quot;, &quot;address2&quot;:null, &quot;locationimageurl&quot;:null, &quot;_distance&quot;:&quot;12.9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4152357142857&quot;, &quot;url&quot;:&quot;http://www.thesource.ca&quot;, &quot;postalcode&quot;:&quot;N7L 3K5&quot;, &quot;province&quot;:&quot;ON&quot;, &quot;sustainabilityurl&quot;:&quot;http://www.thesource.ca/sitelets/jobs/environment.asp&quot;, &quot;hoursmon&quot;:&quot;Please Call&quot;, &quot;longitude&quot;:&quot;-82.2002357142857&quot;, &quot;uid&quot;:1182180627, &quot;retailerlinkurl&quot;:null, &quot;hourssat&quot;:&quot;Please Call&quot;, &quot;clientkey&quot;:&quot;501&quot;, &quot;name&quot;:&quot;The Source&quot;, &quot;locationlinkurl&quot;:null, &quot;address1&quot;:&quot;412 St Clai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thesource.png&quot;, &quot;phone&quot;:&quot;519-351-4001&quot;, &quot;address2&quot;:null, &quot;locationimageurl&quot;:null, &quot;_distance&quot;:&quot;7.3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77878&quot;, &quot;url&quot;:&quot;http://www.thesource.ca&quot;, &quot;postalcode&quot;:&quot;N5P 1G4&quot;, &quot;province&quot;:&quot;ON&quot;, &quot;sustainabilityurl&quot;:&quot;http://www.thesource.ca/sitelets/jobs/environment.asp&quot;, &quot;hoursmon&quot;:&quot;Please Call&quot;, &quot;longitude&quot;:&quot;-81.1723&quot;, &quot;uid&quot;:1182189553, &quot;retailerlinkurl&quot;:null, &quot;hourssat&quot;:&quot;Please Call&quot;, &quot;clientkey&quot;:&quot;80030&quot;, &quot;name&quot;:&quot;The Source&quot;, &quot;locationlinkurl&quot;:null, &quot;address1&quot;:&quot;1063 Talbo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thesource.png&quot;, &quot;phone&quot;:&quot;519-633-8119&quot;, &quot;address2&quot;:null, &quot;locationimageurl&quot;:null, &quot;_distance&quot;:&quot;7.2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36844&quot;, &quot;url&quot;:&quot;http://www.thesource.ca&quot;, &quot;postalcode&quot;:&quot;N3Y 2V9&quot;, &quot;province&quot;:&quot;ON&quot;, &quot;sustainabilityurl&quot;:&quot;http://www.thesource.ca/sitelets/jobs/environment.asp&quot;, &quot;hoursmon&quot;:&quot;Please Call&quot;, &quot;longitude&quot;:&quot;-80.303794&quot;, &quot;uid&quot;:1503277490, &quot;retailerlinkurl&quot;:null, &quot;hourssat&quot;:&quot;Please Call&quot;, &quot;clientkey&quot;:&quot;1302&quot;, &quot;name&quot;:&quot;The Source&quot;, &quot;locationlinkurl&quot;:null, &quot;address1&quot;:&quot;20 Norfolk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thesource.png&quot;, &quot;phone&quot;:&quot;519-426-4385&quot;, &quot;address2&quot;:null, &quot;locationimageurl&quot;:null, &quot;_distance&quot;:&quot;6.0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6217&quot;, &quot;url&quot;:&quot;http://www.thesource.ca&quot;, &quot;postalcode&quot;:&quot;N4G 5A7&quot;, &quot;province&quot;:&quot;ON&quot;, &quot;sustainabilityurl&quot;:&quot;http://www.thesource.ca/sitelets/jobs/environment.asp&quot;, &quot;hoursmon&quot;:&quot;Please Call&quot;, &quot;longitude&quot;:&quot;-80.72937&quot;, &quot;uid&quot;:1182196804, &quot;retailerlinkurl&quot;:null, &quot;hourssat&quot;:&quot;Please Call&quot;, &quot;clientkey&quot;:&quot;433&quot;, &quot;name&quot;:&quot;The Source&quot;, &quot;locationlinkurl&quot;:null, &quot;address1&quot;:&quot;200 Broadway St. Units 53/5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thesource.png&quot;, &quot;phone&quot;:&quot;519-842-7916&quot;, &quot;address2&quot;:null, &quot;locationimageurl&quot;:null, &quot;_distance&quot;:&quot;11.5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86217&quot;, &quot;url&quot;:&quot;http://www.thesource.ca&quot;, &quot;postalcode&quot;:&quot;N4G 5A7&quot;, &quot;province&quot;:&quot;ON&quot;, &quot;sustainabilityurl&quot;:&quot;http://www.thesource.ca/sitelets/jobs/environment.asp&quot;, &quot;hoursmon&quot;:&quot;Please Call&quot;, &quot;longitude&quot;:&quot;-80.72937&quot;, &quot;uid&quot;:1182196804, &quot;retailerlinkurl&quot;:null, &quot;hourssat&quot;:&quot;Please Call&quot;, &quot;clientkey&quot;:&quot;433&quot;, &quot;name&quot;:&quot;The Source&quot;, &quot;locationlinkurl&quot;:null, &quot;address1&quot;:&quot;200 Broadway St. Units 53/5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thesource.png&quot;, &quot;phone&quot;:&quot;519-842-7916&quot;, &quot;address2&quot;:null, &quot;locationimageurl&quot;:null, &quot;_distance&quot;:&quot;12.9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316311111111&quot;, &quot;url&quot;:&quot;http://www.thesource.ca&quot;, &quot;postalcode&quot;:&quot;N6E 1V4&quot;, &quot;province&quot;:&quot;ON&quot;, &quot;sustainabilityurl&quot;:&quot;http://www.thesource.ca/sitelets/jobs/environment.asp&quot;, &quot;hoursmon&quot;:&quot;Please Call&quot;, &quot;longitude&quot;:&quot;-81.2214222222222&quot;, &quot;uid&quot;:609560795, &quot;retailerlinkurl&quot;:null, &quot;hourssat&quot;:&quot;Please Call&quot;, &quot;clientkey&quot;:&quot;763&quot;, &quot;name&quot;:&quot;The Source&quot;, &quot;locationlinkurl&quot;:null, &quot;address1&quot;:&quot;1105 Wellington Rd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81-5914&quot;, &quot;address2&quot;:null, &quot;locationimageurl&quot;:null, &quot;_distance&quot;:&quot;6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803011111111&quot;, &quot;url&quot;:&quot;http://www.thesource.ca&quot;, &quot;postalcode&quot;:&quot;N7S 1P8&quot;, &quot;province&quot;:&quot;ON&quot;, &quot;sustainabilityurl&quot;:&quot;http://www.thesource.ca/sitelets/jobs/environment.asp&quot;, &quot;hoursmon&quot;:&quot;Please Call&quot;, &quot;longitude&quot;:&quot;-82.3531288888889&quot;, &quot;uid&quot;:1182173663, &quot;retailerlinkurl&quot;:null, &quot;hourssat&quot;:&quot;Please Call&quot;, &quot;clientkey&quot;:&quot;624&quot;, &quot;name&quot;:&quot;The Source&quot;, &quot;locationlinkurl&quot;:null, &quot;address1&quot;:&quot;1380 Lond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thesource.png&quot;, &quot;phone&quot;:&quot;519-541-9543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2.983266&quot;, &quot;url&quot;:&quot;http://www.thesource.ca&quot;, &quot;postalcode&quot;:&quot;N6A 3N7&quot;, &quot;province&quot;:&quot;ON&quot;, &quot;sustainabilityurl&quot;:&quot;http://www.thesource.ca/sitelets/jobs/environment.asp&quot;, &quot;hoursmon&quot;:&quot;Please Call&quot;, &quot;longitude&quot;:&quot;-81.24441&quot;, &quot;uid&quot;:947268766, &quot;retailerlinkurl&quot;:null, &quot;hourssat&quot;:&quot;Please Call&quot;, &quot;clientkey&quot;:&quot;568&quot;, &quot;name&quot;:&quot;The Source&quot;, &quot;locationlinkurl&quot;:null, &quot;address1&quot;:&quot;355 Wellington St Unit 131A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72-9986&quot;, &quot;address2&quot;:null, &quot;locationimageurl&quot;:null, &quot;_distance&quot;:&quot;9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0147&quot;, &quot;url&quot;:&quot;http://www.thesource.ca&quot;, &quot;postalcode&quot;:&quot;N5V 1P7&quot;, &quot;province&quot;:&quot;ON&quot;, &quot;sustainabilityurl&quot;:&quot;http://www.thesource.ca/sitelets/jobs/environment.asp&quot;, &quot;hoursmon&quot;:&quot;Please Call&quot;, &quot;longitude&quot;:&quot;-81.17418&quot;, &quot;uid&quot;:129958584, &quot;retailerlinkurl&quot;:null, &quot;hourssat&quot;:&quot;Please Call&quot;, &quot;clientkey&quot;:&quot;764&quot;, &quot;name&quot;:&quot;The Source&quot;, &quot;locationlinkurl&quot;:null, &quot;address1&quot;:&quot;332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453-2780&quot;, &quot;address2&quot;:null, &quot;locationimageurl&quot;:null, &quot;_distance&quot;:&quot;12.2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0147&quot;, &quot;url&quot;:&quot;http://www.thesource.ca&quot;, &quot;postalcode&quot;:&quot;N5V 1P7&quot;, &quot;province&quot;:&quot;ON&quot;, &quot;sustainabilityurl&quot;:&quot;http://www.thesource.ca/sitelets/jobs/environment.asp&quot;, &quot;hoursmon&quot;:&quot;Please Call&quot;, &quot;longitude&quot;:&quot;-81.17418&quot;, &quot;uid&quot;:129958584, &quot;retailerlinkurl&quot;:null, &quot;hourssat&quot;:&quot;Please Call&quot;, &quot;clientkey&quot;:&quot;764&quot;, &quot;name&quot;:&quot;The Source&quot;, &quot;locationlinkurl&quot;:null, &quot;address1&quot;:&quot;332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453-2780&quot;, &quot;address2&quot;:null, &quot;locationimageurl&quot;:null, &quot;_distance&quot;:&quot;13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23.2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1479&quot;, &quot;url&quot;:&quot;http://www.thesource.ca&quot;, &quot;postalcode&quot;:&quot;L3C 5Z4&quot;, &quot;province&quot;:&quot;ON&quot;, &quot;sustainabilityurl&quot;:&quot;http://www.thesource.ca/sitelets/jobs/environment.asp&quot;, &quot;hoursmon&quot;:&quot;Please Call&quot;, &quot;longitude&quot;:&quot;-79.24987&quot;, &quot;uid&quot;:941812060, &quot;retailerlinkurl&quot;:null, &quot;hourssat&quot;:&quot;Please Call&quot;, &quot;clientkey&quot;:&quot;660&quot;, &quot;name&quot;:&quot;The Source&quot;, &quot;locationlinkurl&quot;:null, &quot;address1&quot;:&quot;800 Niagara St Unit K1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thesource.png&quot;, &quot;phone&quot;:&quot;905-735-0887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02498&quot;, &quot;url&quot;:&quot;http://www.thesource.ca&quot;, &quot;postalcode&quot;:&quot;N6G 3Y9&quot;, &quot;province&quot;:&quot;ON&quot;, &quot;sustainabilityurl&quot;:&quot;http://www.thesource.ca/sitelets/jobs/environment.asp&quot;, &quot;hoursmon&quot;:&quot;Please Call&quot;, &quot;longitude&quot;:&quot;-81.28175&quot;, &quot;uid&quot;:904541695, &quot;retailerlinkurl&quot;:null, &quot;hourssat&quot;:&quot;Please Call&quot;, &quot;clientkey&quot;:&quot;748&quot;, &quot;name&quot;:&quot;The Source&quot;, &quot;locationlinkurl&quot;:null, &quot;address1&quot;:&quot;1680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thesource.png&quot;, &quot;phone&quot;:&quot;519-660-1984&quot;, &quot;address2&quot;:null, &quot;locationimageurl&quot;:null, &quot;_distance&quot;:&quot;12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162686666667&quot;, &quot;url&quot;:&quot;http://www.thesource.ca&quot;, &quot;postalcode&quot;:&quot;N4S 9A2&quot;, &quot;province&quot;:&quot;ON&quot;, &quot;sustainabilityurl&quot;:&quot;http://www.thesource.ca/sitelets/jobs/environment.asp&quot;, &quot;hoursmon&quot;:&quot;Please Call&quot;, &quot;longitude&quot;:&quot;-80.7379913333333&quot;, &quot;uid&quot;:1182177102, &quot;retailerlinkurl&quot;:null, &quot;hourssat&quot;:&quot;Please Call&quot;, &quot;clientkey&quot;:&quot;688&quot;, &quot;name&quot;:&quot;The Source&quot;, &quot;locationlinkurl&quot;:null, &quot;address1&quot;:&quot;477 Norwich Ave Unit C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thesource.png&quot;, &quot;phone&quot;:&quot;519-539-3339&quot;, &quot;address2&quot;:null, &quot;locationimageurl&quot;:null, &quot;_distance&quot;:&quot;10.6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14.8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8.3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1733746666667&quot;, &quot;url&quot;:&quot;http://www.thesource.ca&quot;, &quot;postalcode&quot;:&quot;N3R 6B8&quot;, &quot;province&quot;:&quot;ON&quot;, &quot;sustainabilityurl&quot;:&quot;http://www.thesource.ca/sitelets/jobs/environment.asp&quot;, &quot;hoursmon&quot;:&quot;Please Call&quot;, &quot;longitude&quot;:&quot;-80.242096&quot;, &quot;uid&quot;:1986290910, &quot;retailerlinkurl&quot;:null, &quot;hourssat&quot;:&quot;Please Call&quot;, &quot;clientkey&quot;:&quot;513&quot;, &quot;name&quot;:&quot;The Source&quot;, &quot;locationlinkurl&quot;:null, &quot;address1&quot;:&quot;Lynden Park Mall 84 Lynden Rd Unit E8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thesource.png&quot;, &quot;phone&quot;:&quot;519-759-8462&quot;, &quot;address2&quot;:null, &quot;locationimageurl&quot;:null, &quot;_distance&quot;:&quot;8.5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047&quot;, &quot;url&quot;:&quot;http://www.thesource.ca&quot;, &quot;postalcode&quot;:&quot;L8H 2V4&quot;, &quot;province&quot;:&quot;ON&quot;, &quot;sustainabilityurl&quot;:&quot;http://www.thesource.ca/sitelets/jobs/environment.asp&quot;, &quot;hoursmon&quot;:&quot;Please Call&quot;, &quot;longitude&quot;:&quot;-79.8117174358974&quot;, &quot;uid&quot;:1664466508, &quot;retailerlinkurl&quot;:null, &quot;hourssat&quot;:&quot;Please Call&quot;, &quot;clientkey&quot;:&quot;547&quot;, &quot;name&quot;:&quot;The Source&quot;, &quot;locationlinkurl&quot;:null, &quot;address1&quot;:&quot;1187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thesource.png&quot;, &quot;phone&quot;:&quot;905-545-5343&quot;, &quot;address2&quot;:null, &quot;locationimageurl&quot;:null, &quot;_distance&quot;:&quot;12.5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047&quot;, &quot;url&quot;:&quot;http://www.thesource.ca&quot;, &quot;postalcode&quot;:&quot;L8H 2V4&quot;, &quot;province&quot;:&quot;ON&quot;, &quot;sustainabilityurl&quot;:&quot;http://www.thesource.ca/sitelets/jobs/environment.asp&quot;, &quot;hoursmon&quot;:&quot;Please Call&quot;, &quot;longitude&quot;:&quot;-79.8117174358974&quot;, &quot;uid&quot;:1664466508, &quot;retailerlinkurl&quot;:null, &quot;hourssat&quot;:&quot;Please Call&quot;, &quot;clientkey&quot;:&quot;547&quot;, &quot;name&quot;:&quot;The Source&quot;, &quot;locationlinkurl&quot;:null, &quot;address1&quot;:&quot;1187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thesource.png&quot;, &quot;phone&quot;:&quot;905-545-5343&quot;, &quot;address2&quot;:null, &quot;locationimageurl&quot;:null, &quot;_distance&quot;:&quot;14.6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25969&quot;, &quot;url&quot;:&quot;http://www.thesource.ca&quot;, &quot;postalcode&quot;:&quot;L9H 4H4&quot;, &quot;province&quot;:&quot;ON&quot;, &quot;sustainabilityurl&quot;:&quot;http://www.thesource.ca/sitelets/jobs/environment.asp&quot;, &quot;hoursmon&quot;:&quot;Please Call&quot;, &quot;longitude&quot;:&quot;-79.94278&quot;, &quot;uid&quot;:-725080177, &quot;retailerlinkurl&quot;:null, &quot;hourssat&quot;:&quot;Please Call&quot;, &quot;clientkey&quot;:&quot;509&quot;, &quot;name&quot;:&quot;The Source&quot;, &quot;locationlinkurl&quot;:null, &quot;address1&quot;:&quot;101 Osler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undas&quot;, &quot;singleuse&quot;:&quot;Y&quot;, &quot;fax&quot;:null, &quot;country&quot;:&quot;CA&quot;, &quot;logourl&quot;:&quot;http://www.call2recycle.org/notpress/where2getit/thesource.png&quot;, &quot;phone&quot;:&quot;905-627-3387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278229640744&quot;, &quot;url&quot;:&quot;http://www.thesource.ca&quot;, &quot;postalcode&quot;:&quot;L7S 2J8&quot;, &quot;province&quot;:&quot;ON&quot;, &quot;sustainabilityurl&quot;:&quot;http://www.thesource.ca/sitelets/jobs/environment.asp&quot;, &quot;hoursmon&quot;:&quot;Please Call&quot;, &quot;longitude&quot;:&quot;-79.8196357784446&quot;, &quot;uid&quot;:211152295, &quot;retailerlinkurl&quot;:null, &quot;hourssat&quot;:&quot;Please Call&quot;, &quot;clientkey&quot;:&quot;495&quot;, &quot;name&quot;:&quot;The Source&quot;, &quot;locationlinkurl&quot;:null, &quot;address1&quot;:&quot;900 Maple Ave Unit A1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thesource.png&quot;, &quot;phone&quot;:&quot;905-681-9252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2977&quot;, &quot;url&quot;:&quot;http://www.thesource.ca&quot;, &quot;postalcode&quot;:&quot;L0R 2H6&quot;, &quot;province&quot;:&quot;ON&quot;, &quot;sustainabilityurl&quot;:&quot;http://www.thesource.ca/sitelets/jobs/environment.asp&quot;, &quot;hoursmon&quot;:&quot;Please Call&quot;, &quot;longitude&quot;:&quot;-79.89708&quot;, &quot;uid&quot;:211153177, &quot;retailerlinkurl&quot;:null, &quot;hourssat&quot;:&quot;Please Call&quot;, &quot;clientkey&quot;:&quot;152355&quot;, &quot;name&quot;:&quot;The Source&quot;, &quot;locationlinkurl&quot;:null, &quot;address1&quot;:&quot;255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terdown&quot;, &quot;singleuse&quot;:&quot;Y&quot;, &quot;fax&quot;:null, &quot;country&quot;:&quot;CA&quot;, &quot;logourl&quot;:&quot;http://www.call2recycle.org/notpress/where2getit/thesource.png&quot;, &quot;phone&quot;:&quot;905-690-3243&quot;, &quot;address2&quot;:null, &quot;locationimageurl&quot;:null, &quot;_distance&quot;:&quot;12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464639130435&quot;, &quot;url&quot;:&quot;http://www.thesource.ca&quot;, &quot;postalcode&quot;:&quot;L7R 3N2&quot;, &quot;province&quot;:&quot;ON&quot;, &quot;sustainabilityurl&quot;:&quot;http://www.thesource.ca/sitelets/jobs/environment.asp&quot;, &quot;hoursmon&quot;:&quot;Please Call&quot;, &quot;longitude&quot;:&quot;-79.7963565217391&quot;, &quot;uid&quot;:1182182739, &quot;retailerlinkurl&quot;:null, &quot;hourssat&quot;:&quot;Please Call&quot;, &quot;clientkey&quot;:&quot;496&quot;, &quot;name&quot;:&quot;The Source&quot;, &quot;locationlinkurl&quot;:null, &quot;address1&quot;:&quot;777 Guelph Li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thesource.png&quot;, &quot;phone&quot;:&quot;905-639-435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5466&quot;, &quot;url&quot;:&quot;http://www.thesource.ca&quot;, &quot;postalcode&quot;:&quot;N1R 8N8&quot;, &quot;province&quot;:&quot;ON&quot;, &quot;sustainabilityurl&quot;:&quot;http://www.thesource.ca/sitelets/jobs/environment.asp&quot;, &quot;hoursmon&quot;:&quot;Please Call&quot;, &quot;longitude&quot;:&quot;-80.28745&quot;, &quot;uid&quot;:-511708978, &quot;retailerlinkurl&quot;:null, &quot;hourssat&quot;:&quot;Please Call&quot;, &quot;clientkey&quot;:&quot;498&quot;, &quot;name&quot;:&quot;The Source&quot;, &quot;locationlinkurl&quot;:null, &quot;address1&quot;:&quot;200 Frankli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thesource.png&quot;, &quot;phone&quot;:&quot;519-623-5210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35466&quot;, &quot;url&quot;:&quot;http://www.thesource.ca&quot;, &quot;postalcode&quot;:&quot;N1R 8N8&quot;, &quot;province&quot;:&quot;ON&quot;, &quot;sustainabilityurl&quot;:&quot;http://www.thesource.ca/sitelets/jobs/environment.asp&quot;, &quot;hoursmon&quot;:&quot;Please Call&quot;, &quot;longitude&quot;:&quot;-80.28745&quot;, &quot;uid&quot;:-511708978, &quot;retailerlinkurl&quot;:null, &quot;hourssat&quot;:&quot;Please Call&quot;, &quot;clientkey&quot;:&quot;498&quot;, &quot;name&quot;:&quot;The Source&quot;, &quot;locationlinkurl&quot;:null, &quot;address1&quot;:&quot;200 Frankli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thesource.png&quot;, &quot;phone&quot;:&quot;519-623-5210&quot;, &quot;address2&quot;:null, &quot;locationimageurl&quot;:null, &quot;_distance&quot;:&quot;6.6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42442&quot;, &quot;url&quot;:&quot;http://www.thesource.ca&quot;, &quot;postalcode&quot;:&quot;N2C 1X1&quot;, &quot;province&quot;:&quot;ON&quot;, &quot;sustainabilityurl&quot;:&quot;http://www.thesource.ca/sitelets/jobs/environment.asp&quot;, &quot;hoursmon&quot;:&quot;Please Call&quot;, &quot;longitude&quot;:&quot;-80.44121&quot;, &quot;uid&quot;:1182194699, &quot;retailerlinkurl&quot;:null, &quot;hourssat&quot;:&quot;Please Call&quot;, &quot;clientkey&quot;:&quot;602&quot;, &quot;name&quot;:&quot;The Source&quot;, &quot;locationlinkurl&quot;:null, &quot;address1&quot;:&quot;2960 Kingsway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thesource.png&quot;, &quot;phone&quot;:&quot;519-893-2916&quot;, &quot;address2&quot;:null, &quot;locationimageurl&quot;:null, &quot;_distance&quot;:&quot;11.6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4622&quot;, &quot;url&quot;:&quot;http://www.thesource.ca&quot;, &quot;postalcode&quot;:&quot;L6H 3H6&quot;, &quot;province&quot;:&quot;ON&quot;, &quot;sustainabilityurl&quot;:&quot;http://www.thesource.ca/sitelets/jobs/environment.asp&quot;, &quot;hoursmon&quot;:&quot;Please Call&quot;, &quot;longitude&quot;:&quot;-79.68899&quot;, &quot;uid&quot;:-853632602, &quot;retailerlinkurl&quot;:null, &quot;hourssat&quot;:&quot;Please Call&quot;, &quot;clientkey&quot;:&quot;73969&quot;, &quot;name&quot;:&quot;The Source&quot;, &quot;locationlinkurl&quot;:null, &quot;address1&quot;:&quot;240 Leighlan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thesource.png&quot;, &quot;phone&quot;:&quot;905-849-4445&quot;, &quot;address2&quot;:null, &quot;locationimageurl&quot;:null, &quot;_distance&quot;:&quot;1.9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5168533333333&quot;, &quot;url&quot;:&quot;http://www.thesource.ca&quot;, &quot;postalcode&quot;:&quot;N1G 2X6&quot;, &quot;province&quot;:&quot;ON&quot;, &quot;sustainabilityurl&quot;:&quot;http://www.thesource.ca/sitelets/jobs/environment.asp&quot;, &quot;hoursmon&quot;:&quot;Please Call&quot;, &quot;longitude&quot;:&quot;-80.2378733333333&quot;, &quot;uid&quot;:211152298, &quot;retailerlinkurl&quot;:null, &quot;hourssat&quot;:&quot;Please Call&quot;, &quot;clientkey&quot;:&quot;546&quot;, &quot;name&quot;:&quot;The Source&quot;, &quot;locationlinkurl&quot;:null, &quot;address1&quot;:&quot;435 Stone Rd.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thesource.png&quot;, &quot;phone&quot;:&quot;519-822-9929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59511&quot;, &quot;url&quot;:&quot;http://www.thesource.ca&quot;, &quot;postalcode&quot;:&quot;L5E 1V4&quot;, &quot;province&quot;:&quot;ON&quot;, &quot;sustainabilityurl&quot;:&quot;http://www.thesource.ca/sitelets/jobs/environment.asp&quot;, &quot;hoursmon&quot;:&quot;Please Call&quot;, &quot;longitude&quot;:&quot;-79.56838&quot;, &quot;uid&quot;:557016195, &quot;retailerlinkurl&quot;:null, &quot;hourssat&quot;:&quot;Please Call&quot;, &quot;clientkey&quot;:&quot;775&quot;, &quot;name&quot;:&quot;The Source&quot;, &quot;locationlinkurl&quot;:null, &quot;address1&quot;:&quot;Dixie Outlet Mall 1250 Sou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thesource.png&quot;, &quot;phone&quot;:&quot;905-271-3644&quot;, &quot;address2&quot;:null, &quot;locationimageurl&quot;:null, &quot;_distance&quot;:&quot;11.8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3605125&quot;, &quot;url&quot;:&quot;http://www.thesource.ca&quot;, &quot;postalcode&quot;:&quot;M6H 4A9&quot;, &quot;province&quot;:&quot;ON&quot;, &quot;sustainabilityurl&quot;:&quot;http://www.thesource.ca/sitelets/jobs/environment.asp&quot;, &quot;hoursmon&quot;:&quot;Please Call&quot;, &quot;longitude&quot;:&quot;-79.42622875&quot;, &quot;uid&quot;:89278673, &quot;retailerlinkurl&quot;:null, &quot;hourssat&quot;:&quot;Please Call&quot;, &quot;clientkey&quot;:&quot;455&quot;, &quot;name&quot;:&quot;The Source&quot;, &quot;locationlinkurl&quot;:null, &quot;address1&quot;:&quot;190-900 Duffer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516-2225&quot;, &quot;address2&quot;:null, &quot;locationimageurl&quot;:null, &quot;_distance&quot;:&quot;5.0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381556155065&quot;, &quot;url&quot;:&quot;http://www.thesource.ca&quot;, &quot;postalcode&quot;:&quot;L7J 2Y5&quot;, &quot;province&quot;:&quot;ON&quot;, &quot;sustainabilityurl&quot;:&quot;http://www.thesource.ca/sitelets/jobs/environment.asp&quot;, &quot;hoursmon&quot;:&quot;Please Call&quot;, &quot;longitude&quot;:&quot;-80.027431468731&quot;, &quot;uid&quot;:-725079608, &quot;retailerlinkurl&quot;:null, &quot;hourssat&quot;:&quot;Please Call&quot;, &quot;clientkey&quot;:&quot;138325&quot;, &quot;name&quot;:&quot;The Source&quot;, &quot;locationlinkurl&quot;:null, &quot;address1&quot;:&quot;372 Quee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cton&quot;, &quot;singleuse&quot;:&quot;Y&quot;, &quot;fax&quot;:null, &quot;country&quot;:&quot;CA&quot;, &quot;logourl&quot;:&quot;http://www.call2recycle.org/notpress/where2getit/thesource.png&quot;, &quot;phone&quot;:&quot;519-853-1066&quot;, &quot;address2&quot;:null, &quot;locationimageurl&quot;:null, &quot;_distance&quot;:&quot;3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438509859155&quot;, &quot;url&quot;:&quot;http://www.thesource.ca&quot;, &quot;postalcode&quot;:&quot;L5T 2L6&quot;, &quot;province&quot;:&quot;ON&quot;, &quot;sustainabilityurl&quot;:&quot;http://www.thesource.ca/sitelets/jobs/environment.asp&quot;, &quot;hoursmon&quot;:&quot;Please Call&quot;, &quot;longitude&quot;:&quot;-79.6964157746479&quot;, &quot;uid&quot;:1182188961, &quot;retailerlinkurl&quot;:null, &quot;hourssat&quot;:&quot;Please Call&quot;, &quot;clientkey&quot;:&quot;57252&quot;, &quot;name&quot;:&quot;The Source&quot;, &quot;locationlinkurl&quot;:null, &quot;address1&quot;:&quot;171 Superior Blvd Unit 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thesource.png&quot;, &quot;phone&quot;:&quot;905-673-0140&quot;, &quot;address2&quot;:null, &quot;locationimageurl&quot;:null, &quot;_distance&quot;:&quot;7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498857142857&quot;, &quot;url&quot;:&quot;http://www.thesource.ca&quot;, &quot;postalcode&quot;:&quot;L7G 4B1&quot;, &quot;province&quot;:&quot;ON&quot;, &quot;sustainabilityurl&quot;:&quot;http://www.thesource.ca/sitelets/jobs/environment.asp&quot;, &quot;hoursmon&quot;:&quot;Please Call&quot;, &quot;longitude&quot;:&quot;-79.8959142857143&quot;, &quot;uid&quot;:-847052576, &quot;retailerlinkurl&quot;:null, &quot;hourssat&quot;:&quot;Please Call&quot;, &quot;clientkey&quot;:&quot;550&quot;, &quot;name&quot;:&quot;The Source&quot;, &quot;locationlinkurl&quot;:null, &quot;address1&quot;:&quot;280 Guelp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thesource.png&quot;, &quot;phone&quot;:&quot;905-877-8693&quot;, &quot;address2&quot;:null, &quot;locationimageurl&quot;:null, &quot;_distance&quot;:&quot;10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686185294118&quot;, &quot;url&quot;:&quot;http://www.thesource.ca&quot;, &quot;postalcode&quot;:&quot;M4M 3G6&quot;, &quot;province&quot;:&quot;ON&quot;, &quot;sustainabilityurl&quot;:&quot;http://www.thesource.ca/sitelets/jobs/environment.asp&quot;, &quot;hoursmon&quot;:&quot;Please Call&quot;, &quot;longitude&quot;:&quot;-79.3382991176471&quot;, &quot;uid&quot;:1182196808, &quot;retailerlinkurl&quot;:null, &quot;hourssat&quot;:&quot;Please Call&quot;, &quot;clientkey&quot;:&quot;460&quot;, &quot;name&quot;:&quot;The Source&quot;, &quot;locationlinkurl&quot;:null, &quot;address1&quot;:&quot;1000 Gerrard St E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63-3422&quot;, &quot;address2&quot;:null, &quot;locationimageurl&quot;:null, &quot;_distance&quot;:&quot;3.3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8765&quot;, &quot;url&quot;:&quot;http://www.thesource.ca&quot;, &quot;postalcode&quot;:&quot;L5P 1B2&quot;, &quot;province&quot;:&quot;ON&quot;, &quot;sustainabilityurl&quot;:&quot;http://www.thesource.ca/sitelets/jobs/environment.asp&quot;, &quot;hoursmon&quot;:&quot;Please Call&quot;, &quot;longitude&quot;:&quot;-79.62194&quot;, &quot;uid&quot;:1016919850, &quot;retailerlinkurl&quot;:null, &quot;hourssat&quot;:&quot;Please Call&quot;, &quot;clientkey&quot;:&quot;161425&quot;, &quot;name&quot;:&quot;La Source&quot;, &quot;locationlinkurl&quot;:null, &quot;address1&quot;:&quot;6301 Silver Dart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905-672-6301&quot;, &quot;address2&quot;:null, &quot;locationimageurl&quot;:null, &quot;_distance&quot;:&quot;3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6945291057203&quot;, &quot;url&quot;:&quot;http://www.thesource.ca&quot;, &quot;postalcode&quot;:&quot;N1M 3N7&quot;, &quot;province&quot;:&quot;ON&quot;, &quot;sustainabilityurl&quot;:&quot;http://www.thesource.ca/sitelets/jobs/environment.asp&quot;, &quot;hoursmon&quot;:&quot;Please Call&quot;, &quot;longitude&quot;:&quot;-80.3645413918637&quot;, &quot;uid&quot;:1071828898, &quot;retailerlinkurl&quot;:null, &quot;hourssat&quot;:&quot;Please Call&quot;, &quot;clientkey&quot;:&quot;144155&quot;, &quot;name&quot;:&quot;The Source&quot;, &quot;locationlinkurl&quot;:null, &quot;address1&quot;:&quot;878 Tower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ergus&quot;, &quot;singleuse&quot;:&quot;Y&quot;, &quot;fax&quot;:null, &quot;country&quot;:&quot;CA&quot;, &quot;logourl&quot;:&quot;http://www.call2recycle.org/notpress/where2getit/thesource.png&quot;, &quot;phone&quot;:&quot;519-843-2982&quot;, &quot;address2&quot;:null, &quot;locationimageurl&quot;:null, &quot;_distance&quot;:&quot;13.9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072288235294&quot;, &quot;url&quot;:&quot;http://www.thesource.ca&quot;, &quot;postalcode&quot;:&quot;M4P 1E4&quot;, &quot;province&quot;:&quot;ON&quot;, &quot;sustainabilityurl&quot;:&quot;http://www.thesource.ca/sitelets/jobs/environment.asp&quot;, &quot;hoursmon&quot;:&quot;Please Call&quot;, &quot;longitude&quot;:&quot;-79.3984747058824&quot;, &quot;uid&quot;:-70786609, &quot;retailerlinkurl&quot;:null, &quot;hourssat&quot;:&quot;Please Call&quot;, &quot;clientkey&quot;:&quot;443&quot;, &quot;name&quot;:&quot;The Source&quot;, &quot;locationlinkurl&quot;:null, &quot;address1&quot;:&quot;2300 Yong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85-4944&quot;, &quot;address2&quot;:null, &quot;locationimageurl&quot;:null, &quot;_distance&quot;:&quot;6.9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11808&quot;, &quot;url&quot;:&quot;http://www.thesource.ca&quot;, &quot;postalcode&quot;:&quot;M4G 2K2&quot;, &quot;province&quot;:&quot;ON&quot;, &quot;sustainabilityurl&quot;:&quot;http://www.thesource.ca/sitelets/jobs/environment.asp&quot;, &quot;hoursmon&quot;:&quot;Please Call&quot;, &quot;longitude&quot;:&quot;-79.3759774&quot;, &quot;uid&quot;:1182173664, &quot;retailerlinkurl&quot;:null, &quot;hourssat&quot;:&quot;Please Call&quot;, &quot;clientkey&quot;:&quot;462&quot;, &quot;name&quot;:&quot;The Source&quot;, &quot;locationlinkurl&quot;:null, &quot;address1&quot;:&quot;660 Eglin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489-6974&quot;, &quot;address2&quot;:null, &quot;locationimageurl&quot;:null, &quot;_distance&quot;:&quot;6.7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347430769231&quot;, &quot;url&quot;:&quot;http://www.thesource.ca&quot;, &quot;postalcode&quot;:&quot;M6N 0A3&quot;, &quot;province&quot;:&quot;ON&quot;, &quot;sustainabilityurl&quot;:&quot;http://www.thesource.ca/sitelets/jobs/environment.asp&quot;, &quot;hoursmon&quot;:&quot;Please Call&quot;, &quot;longitude&quot;:&quot;-79.4198246153846&quot;, &quot;uid&quot;:341261467, &quot;retailerlinkurl&quot;:null, &quot;hourssat&quot;:&quot;Please Call&quot;, &quot;clientkey&quot;:&quot;90781&quot;, &quot;name&quot;:&quot;The Source&quot;, &quot;locationlinkurl&quot;:null, &quot;address1&quot;:&quot;1970 St. Clair Avenu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604-3224&quot;, &quot;address2&quot;:null, &quot;locationimageurl&quot;:null, &quot;_distance&quot;:&quot;9.1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7958802857143&quot;, &quot;url&quot;:&quot;http://www.thesource.ca&quot;, &quot;postalcode&quot;:&quot;M2M 3X4&quot;, &quot;province&quot;:&quot;ON&quot;, &quot;sustainabilityurl&quot;:&quot;http://www.thesource.ca/sitelets/jobs/environment.asp&quot;, &quot;hoursmon&quot;:&quot;Please Call&quot;, &quot;longitude&quot;:&quot;-79.4195102857143&quot;, &quot;uid&quot;:567211750, &quot;retailerlinkurl&quot;:null, &quot;hourssat&quot;:&quot;Please Call&quot;, &quot;clientkey&quot;:&quot;673&quot;, &quot;name&quot;:&quot;The Source&quot;, &quot;locationlinkurl&quot;:null, &quot;address1&quot;:&quot;6338 Yonge St Unit 3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thesource.png&quot;, &quot;phone&quot;:&quot;416-223-1943&quot;, &quot;address2&quot;:null, &quot;locationimageurl&quot;:null, &quot;_distance&quot;:&quot;7.3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082546569289&quot;, &quot;url&quot;:&quot;http://www.thesource.ca&quot;, &quot;postalcode&quot;:&quot;L4J 4P8&quot;, &quot;province&quot;:&quot;ON&quot;, &quot;sustainabilityurl&quot;:&quot;http://www.thesource.ca/sitelets/jobs/environment.asp&quot;, &quot;hoursmon&quot;:&quot;Please Call&quot;, &quot;longitude&quot;:&quot;-79.4543521119226&quot;, &quot;uid&quot;:211152293, &quot;retailerlinkurl&quot;:null, &quot;hourssat&quot;:&quot;Please Call&quot;, &quot;clientkey&quot;:&quot;447&quot;, &quot;name&quot;:&quot;The Source&quot;, &quot;locationlinkurl&quot;:null, &quot;address1&quot;:&quot;159-1 Promenade Ci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thesource.png&quot;, &quot;phone&quot;:&quot;905-889-0074&quot;, &quot;address2&quot;:null, &quot;locationimageurl&quot;:null, &quot;_distance&quot;:&quot;7.9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381477777778&quot;, &quot;url&quot;:&quot;http://www.thesource.ca&quot;, &quot;postalcode&quot;:&quot;L1V 1B8&quot;, &quot;province&quot;:&quot;ON&quot;, &quot;sustainabilityurl&quot;:&quot;http://www.thesource.ca/sitelets/jobs/environment.asp&quot;, &quot;hoursmon&quot;:&quot;Please Call&quot;, &quot;longitude&quot;:&quot;-79.0872377777778&quot;, &quot;uid&quot;:211152299, &quot;retailerlinkurl&quot;:null, &quot;hourssat&quot;:&quot;Please Call&quot;, &quot;clientkey&quot;:&quot;611&quot;, &quot;name&quot;:&quot;The Source&quot;, &quot;locationlinkurl&quot;:null, &quot;address1&quot;:&quot;1355 Kingston Rd Upper Leve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thesource.png&quot;, &quot;phone&quot;:&quot;905-839-3568&quot;, &quot;address2&quot;:null, &quot;locationimageurl&quot;:null, &quot;_distance&quot;:&quot;11.3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8638147&quot;, &quot;url&quot;:&quot;http://www.thesource.ca&quot;, &quot;postalcode&quot;:&quot;L1Z 1E8&quot;, &quot;province&quot;:&quot;ON&quot;, &quot;sustainabilityurl&quot;:&quot;http://www.thesource.ca/sitelets/jobs/environment.asp&quot;, &quot;hoursmon&quot;:&quot;Please Call&quot;, &quot;longitude&quot;:&quot;-79.0254152&quot;, &quot;uid&quot;:1182177089, &quot;retailerlinkurl&quot;:null, &quot;hourssat&quot;:&quot;Please Call&quot;, &quot;clientkey&quot;:&quot;469&quot;, &quot;name&quot;:&quot;The Source&quot;, &quot;locationlinkurl&quot;:null, &quot;address1&quot;:&quot;135 Harwood Ave N Unit B8/21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thesource.png&quot;, &quot;phone&quot;:&quot;905-427-8617&quot;, &quot;address2&quot;:null, &quot;locationimageurl&quot;:null, &quot;_distance&quot;:&quot;7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411300455574&quot;, &quot;url&quot;:&quot;http://www.thesource.ca&quot;, &quot;postalcode&quot;:&quot;L1H 7K5&quot;, &quot;province&quot;:&quot;ON&quot;, &quot;sustainabilityurl&quot;:&quot;http://www.thesource.ca/sitelets/jobs/environment.asp&quot;, &quot;hoursmon&quot;:&quot;Please Call&quot;, &quot;longitude&quot;:&quot;-78.8423105538002&quot;, &quot;uid&quot;:-511708337, &quot;retailerlinkurl&quot;:null, &quot;hourssat&quot;:&quot;Please Call&quot;, &quot;clientkey&quot;:&quot;138811&quot;, &quot;name&quot;:&quot;The Source&quot;, &quot;locationlinkurl&quot;:null, &quot;address1&quot;:&quot;991 Taunton Rd E Unit B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thesource.png&quot;, &quot;phone&quot;:&quot;905-723-3407&quot;, &quot;address2&quot;:null, &quot;locationimageurl&quot;:null, &quot;_distance&quot;:&quot;3.9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649619587629&quot;, &quot;url&quot;:&quot;http://www.thesource.ca&quot;, &quot;postalcode&quot;:&quot;L4A 1H3&quot;, &quot;province&quot;:&quot;ON&quot;, &quot;sustainabilityurl&quot;:&quot;http://www.thesource.ca/sitelets/jobs/environment.asp&quot;, &quot;hoursmon&quot;:&quot;Please Call&quot;, &quot;longitude&quot;:&quot;-79.2758659793814&quot;, &quot;uid&quot;:1618865817, &quot;retailerlinkurl&quot;:null, &quot;hourssat&quot;:&quot;Please Call&quot;, &quot;clientkey&quot;:&quot;58744&quot;, &quot;name&quot;:&quot;The Source&quot;, &quot;locationlinkurl&quot;:null, &quot;address1&quot;:&quot;Business Building 5402 Main St Unit 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uffville&quot;, &quot;singleuse&quot;:&quot;Y&quot;, &quot;fax&quot;:null, &quot;country&quot;:&quot;CA&quot;, &quot;logourl&quot;:&quot;http://www.call2recycle.org/notpress/where2getit/thesource.png&quot;, &quot;phone&quot;:&quot;905-642-4776&quot;, &quot;address2&quot;:null, &quot;locationimageurl&quot;:null, &quot;_distance&quot;:&quot;6.5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3.9711534146341&quot;, &quot;url&quot;:&quot;http://www.thesource.ca&quot;, &quot;postalcode&quot;:&quot;K9A 5H7&quot;, &quot;province&quot;:&quot;ON&quot;, &quot;sustainabilityurl&quot;:&quot;http://www.thesource.ca/sitelets/jobs/environment.asp&quot;, &quot;hoursmon&quot;:&quot;Please Call&quot;, &quot;longitude&quot;:&quot;-78.2002748780488&quot;, &quot;uid&quot;:550548885, &quot;retailerlinkurl&quot;:null, &quot;hourssat&quot;:&quot;Please Call&quot;, &quot;clientkey&quot;:&quot;66214&quot;, &quot;name&quot;:&quot;The Source&quot;, &quot;locationlinkurl&quot;:null, &quot;address1&quot;:&quot;1111 Elgin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thesource.png&quot;, &quot;phone&quot;:&quot;905-377-9845&quot;, &quot;address2&quot;:null, &quot;locationimageurl&quot;:null, &quot;_distance&quot;:&quot;11.4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104645&quot;, &quot;url&quot;:&quot;http://www.thesource.ca&quot;, &quot;postalcode&quot;:&quot;K8V 5Z9&quot;, &quot;province&quot;:&quot;ON&quot;, &quot;sustainabilityurl&quot;:&quot;http://www.thesource.ca/sitelets/jobs/environment.asp&quot;, &quot;hoursmon&quot;:&quot;Please Call&quot;, &quot;longitude&quot;:&quot;-77.55904375&quot;, &quot;uid&quot;:1182194626, &quot;retailerlinkurl&quot;:null, &quot;hourssat&quot;:&quot;Please Call&quot;, &quot;clientkey&quot;:&quot;675&quot;, &quot;name&quot;:&quot;The Source&quot;, &quot;locationlinkurl&quot;:null, &quot;address1&quot;:&quot;260 Dundas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renton&quot;, &quot;singleuse&quot;:&quot;Y&quot;, &quot;fax&quot;:null, &quot;country&quot;:&quot;CA&quot;, &quot;logourl&quot;:&quot;http://www.call2recycle.org/notpress/where2getit/thesource.png&quot;, &quot;phone&quot;:&quot;613-394-4253&quot;, &quot;address2&quot;:null, &quot;locationimageurl&quot;:null, &quot;_distance&quot;:&quot;8.3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14841&quot;, &quot;url&quot;:&quot;http://www.thesource.ca&quot;, &quot;postalcode&quot;:&quot;L9R 1P8&quot;, &quot;province&quot;:&quot;ON&quot;, &quot;sustainabilityurl&quot;:&quot;http://www.thesource.ca/sitelets/jobs/environment.asp&quot;, &quot;hoursmon&quot;:&quot;Please Call&quot;, &quot;longitude&quot;:&quot;-79.88178&quot;, &quot;uid&quot;:-1949772953, &quot;retailerlinkurl&quot;:null, &quot;hourssat&quot;:&quot;Please Call&quot;, &quot;clientkey&quot;:&quot;64265&quot;, &quot;name&quot;:&quot;The Source&quot;, &quot;locationlinkurl&quot;:null, &quot;address1&quot;:&quot;86 Yonge St Unit S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lliston&quot;, &quot;singleuse&quot;:&quot;Y&quot;, &quot;fax&quot;:null, &quot;country&quot;:&quot;CA&quot;, &quot;logourl&quot;:&quot;http://www.call2recycle.org/notpress/where2getit/thesource.png&quot;, &quot;phone&quot;:&quot;705-435-7102&quot;, &quot;address2&quot;:null, &quot;locationimageurl&quot;:null, &quot;_distance&quot;:&quot;13.7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64347058824&quot;, &quot;url&quot;:&quot;http://www.thesource.ca&quot;, &quot;postalcode&quot;:&quot;K7M 7H4&quot;, &quot;province&quot;:&quot;ON&quot;, &quot;sustainabilityurl&quot;:&quot;http://www.thesource.ca/sitelets/jobs/environment.asp&quot;, &quot;hoursmon&quot;:&quot;Please Call&quot;, &quot;longitude&quot;:&quot;-76.5687373529412&quot;, &quot;uid&quot;:839391491, &quot;retailerlinkurl&quot;:null, &quot;hourssat&quot;:&quot;Please Call&quot;, &quot;clientkey&quot;:&quot;560&quot;, &quot;name&quot;:&quot;The Source&quot;, &quot;locationlinkurl&quot;:null, &quot;address1&quot;:&quot;945 Gardiners Rd Unit L-04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thesource.png&quot;, &quot;phone&quot;:&quot;613-389-8201&quot;, &quot;address2&quot;:null, &quot;locationimageurl&quot;:null, &quot;_distance&quot;:&quot;13.8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64347058824&quot;, &quot;url&quot;:&quot;http://www.thesource.ca&quot;, &quot;postalcode&quot;:&quot;K7M 7H4&quot;, &quot;province&quot;:&quot;ON&quot;, &quot;sustainabilityurl&quot;:&quot;http://www.thesource.ca/sitelets/jobs/environment.asp&quot;, &quot;hoursmon&quot;:&quot;Please Call&quot;, &quot;longitude&quot;:&quot;-76.5687373529412&quot;, &quot;uid&quot;:839391491, &quot;retailerlinkurl&quot;:null, &quot;hourssat&quot;:&quot;Please Call&quot;, &quot;clientkey&quot;:&quot;560&quot;, &quot;name&quot;:&quot;The Source&quot;, &quot;locationlinkurl&quot;:null, &quot;address1&quot;:&quot;945 Gardiners Rd Unit L-04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thesource.png&quot;, &quot;phone&quot;:&quot;613-389-8201&quot;, &quot;address2&quot;:null, &quot;locationimageurl&quot;:null, &quot;_distance&quot;:&quot;49.5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94669387755&quot;, &quot;url&quot;:&quot;http://www.thesource.ca&quot;, &quot;postalcode&quot;:&quot;K7R 3L2&quot;, &quot;province&quot;:&quot;ON&quot;, &quot;sustainabilityurl&quot;:&quot;http://www.thesource.ca/sitelets/jobs/environment.asp&quot;, &quot;hoursmon&quot;:&quot;Please Call&quot;, &quot;longitude&quot;:&quot;-76.9696418367347&quot;, &quot;uid&quot;:1846587724, &quot;retailerlinkurl&quot;:null, &quot;hourssat&quot;:&quot;Please Call&quot;, &quot;clientkey&quot;:&quot;104804&quot;, &quot;name&quot;:&quot;The Source&quot;, &quot;locationlinkurl&quot;:null, &quot;address1&quot;:&quot;89D Jim Kimmett Blvd Units 3/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thesource.png&quot;, &quot;phone&quot;:&quot;613-354-6366&quot;, &quot;address2&quot;:null, &quot;locationimageurl&quot;:null, &quot;_distance&quot;:&quot;45.3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594669387755&quot;, &quot;url&quot;:&quot;http://www.thesource.ca&quot;, &quot;postalcode&quot;:&quot;K7R 3L2&quot;, &quot;province&quot;:&quot;ON&quot;, &quot;sustainabilityurl&quot;:&quot;http://www.thesource.ca/sitelets/jobs/environment.asp&quot;, &quot;hoursmon&quot;:&quot;Please Call&quot;, &quot;longitude&quot;:&quot;-76.9696418367347&quot;, &quot;uid&quot;:1846587724, &quot;retailerlinkurl&quot;:null, &quot;hourssat&quot;:&quot;Please Call&quot;, &quot;clientkey&quot;:&quot;104804&quot;, &quot;name&quot;:&quot;The Source&quot;, &quot;locationlinkurl&quot;:null, &quot;address1&quot;:&quot;89D Jim Kimmett Blvd Units 3/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thesource.png&quot;, &quot;phone&quot;:&quot;613-354-6366&quot;, &quot;address2&quot;:null, &quot;locationimageurl&quot;:null, &quot;_distance&quot;:&quot;7.2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28491&quot;, &quot;url&quot;:&quot;http://www.thesource.ca&quot;, &quot;postalcode&quot;:&quot;K9J 7Y5&quot;, &quot;province&quot;:&quot;ON&quot;, &quot;sustainabilityurl&quot;:&quot;http://www.thesource.ca/sitelets/jobs/environment.asp&quot;, &quot;hoursmon&quot;:&quot;Please Call&quot;, &quot;longitude&quot;:&quot;-78.3334&quot;, &quot;uid&quot;:477915032, &quot;retailerlinkurl&quot;:null, &quot;hourssat&quot;:&quot;Please Call&quot;, &quot;clientkey&quot;:&quot;599&quot;, &quot;name&quot;:&quot;The Source&quot;, &quot;locationlinkurl&quot;:null, &quot;address1&quot;:&quot;645 Lansdowne St W Unit 16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thesource.png&quot;, &quot;phone&quot;:&quot;705-743-2189&quot;, &quot;address2&quot;:null, &quot;locationimageurl&quot;:null, &quot;_distance&quot;:&quot;6.1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083969623904&quot;, &quot;url&quot;:&quot;http://www.thesource.ca&quot;, &quot;postalcode&quot;:&quot;L9S 4B2&quot;, &quot;province&quot;:&quot;ON&quot;, &quot;sustainabilityurl&quot;:&quot;http://www.thesource.ca/sitelets/jobs/environment.asp&quot;, &quot;hoursmon&quot;:&quot;Please Call&quot;, &quot;longitude&quot;:&quot;-79.5762149746913&quot;, &quot;uid&quot;:-1667962009, &quot;retailerlinkurl&quot;:null, &quot;hourssat&quot;:&quot;Please Call&quot;, &quot;clientkey&quot;:&quot;139224&quot;, &quot;name&quot;:&quot;The Source&quot;, &quot;locationlinkurl&quot;:null, &quot;address1&quot;:&quot;1491 Innisfil Beach Rd Unit 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nisfil&quot;, &quot;singleuse&quot;:&quot;Y&quot;, &quot;fax&quot;:null, &quot;country&quot;:&quot;CA&quot;, &quot;logourl&quot;:&quot;http://www.call2recycle.org/notpress/where2getit/thesource.png&quot;, &quot;phone&quot;:&quot;705-436-4070&quot;, &quot;address2&quot;:null, &quot;locationimageurl&quot;:null, &quot;_distance&quot;:&quot;9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345883986964&quot;, &quot;url&quot;:&quot;http://www.thesource.ca&quot;, &quot;postalcode&quot;:&quot;L4N 9H5&quot;, &quot;province&quot;:&quot;ON&quot;, &quot;sustainabilityurl&quot;:&quot;http://www.thesource.ca/sitelets/jobs/environment.asp&quot;, &quot;hoursmon&quot;:&quot;Please Call&quot;, &quot;longitude&quot;:&quot;-79.6883767061378&quot;, &quot;uid&quot;:1182193357, &quot;retailerlinkurl&quot;:null, &quot;hourssat&quot;:&quot;Please Call&quot;, &quot;clientkey&quot;:&quot;35637&quot;, &quot;name&quot;:&quot;The Source&quot;, &quot;locationlinkurl&quot;:null, &quot;address1&quot;:&quot;33 Mapleview Dr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6-6965&quot;, &quot;address2&quot;:null, &quot;locationimageurl&quot;:null, &quot;_distance&quot;:&quot;3.9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5011&quot;, &quot;url&quot;:&quot;http://www.thesource.ca&quot;, &quot;postalcode&quot;:&quot;K9V 4Z1&quot;, &quot;province&quot;:&quot;ON&quot;, &quot;sustainabilityurl&quot;:&quot;http://www.thesource.ca/sitelets/jobs/environment.asp&quot;, &quot;hoursmon&quot;:&quot;Please Call&quot;, &quot;longitude&quot;:&quot;-78.7597&quot;, &quot;uid&quot;:394871308, &quot;retailerlinkurl&quot;:null, &quot;hourssat&quot;:&quot;Please Call&quot;, &quot;clientkey&quot;:&quot;589&quot;, &quot;name&quot;:&quot;The Source&quot;, &quot;locationlinkurl&quot;:null, &quot;address1&quot;:&quot;Zellers Square 401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thesource.png&quot;, &quot;phone&quot;:&quot;705-324-1901&quot;, &quot;address2&quot;:null, &quot;locationimageurl&quot;:null, &quot;_distance&quot;:&quot;11.2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3552610195549&quot;, &quot;url&quot;:&quot;http://www.thesource.ca&quot;, &quot;postalcode&quot;:&quot;L4N 3N7&quot;, &quot;province&quot;:&quot;ON&quot;, &quot;sustainabilityurl&quot;:&quot;http://www.thesource.ca/sitelets/jobs/environment.asp&quot;, &quot;hoursmon&quot;:&quot;Please Call&quot;, &quot;longitude&quot;:&quot;-79.6814634338286&quot;, &quot;uid&quot;:901343177, &quot;retailerlinkurl&quot;:null, &quot;hourssat&quot;:&quot;Please Call&quot;, &quot;clientkey&quot;:&quot;26201&quot;, &quot;name&quot;:&quot;The Source&quot;, &quot;locationlinkurl&quot;:null, &quot;address1&quot;:&quot;277 Bayview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8-4837&quot;, &quot;address2&quot;:null, &quot;locationimageurl&quot;:null, &quot;_distance&quot;:&quot;4.5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1404&quot;, &quot;url&quot;:&quot;http://www.thesource.ca&quot;, &quot;postalcode&quot;:&quot;L4M 4Z8&quot;, &quot;province&quot;:&quot;ON&quot;, &quot;sustainabilityurl&quot;:&quot;http://www.thesource.ca/sitelets/jobs/environment.asp&quot;, &quot;hoursmon&quot;:&quot;Please Call&quot;, &quot;longitude&quot;:&quot;-79.71168&quot;, &quot;uid&quot;:836696324, &quot;retailerlinkurl&quot;:null, &quot;hourssat&quot;:&quot;Please Call&quot;, &quot;clientkey&quot;:&quot;473&quot;, &quot;name&quot;:&quot;The Source&quot;, &quot;locationlinkurl&quot;:null, &quot;address1&quot;:&quot;509 Bayfield St Unit N01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thesource.png&quot;, &quot;phone&quot;:&quot;705-726-0987&quot;, &quot;address2&quot;:null, &quot;locationimageurl&quot;:null, &quot;_distance&quot;:&quot;6.4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2609&quot;, &quot;url&quot;:&quot;http://www.thesource.ca&quot;, &quot;postalcode&quot;:&quot;N0H 2C1&quot;, &quot;province&quot;:&quot;ON&quot;, &quot;sustainabilityurl&quot;:&quot;http://www.thesource.ca/sitelets/jobs/environment.asp&quot;, &quot;hoursmon&quot;:&quot;Please Call&quot;, &quot;longitude&quot;:&quot;-81.39685&quot;, &quot;uid&quot;:1503277358, &quot;retailerlinkurl&quot;:null, &quot;hourssat&quot;:&quot;Please Call&quot;, &quot;clientkey&quot;:&quot;148037&quot;, &quot;name&quot;:&quot;The Source&quot;, &quot;locationlinkurl&quot;:null, &quot;address1&quot;:&quot;216 Goderi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rt Elgin&quot;, &quot;singleuse&quot;:&quot;Y&quot;, &quot;fax&quot;:null, &quot;country&quot;:&quot;CA&quot;, &quot;logourl&quot;:&quot;http://www.call2recycle.org/notpress/where2getit/thesource.png&quot;, &quot;phone&quot;:&quot;519-832-3100&quot;, &quot;address2&quot;:null, &quot;locationimageurl&quot;:null, &quot;_distance&quot;:&quot;23.7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4292733333333&quot;, &quot;url&quot;:&quot;http://www.thesource.ca&quot;, &quot;postalcode&quot;:&quot;L0K 1A0&quot;, &quot;province&quot;:&quot;ON&quot;, &quot;sustainabilityurl&quot;:&quot;http://www.thesource.ca/sitelets/jobs/environment.asp&quot;, &quot;hoursmon&quot;:&quot;Please Call&quot;, &quot;longitude&quot;:&quot;-79.1527777777778&quot;, &quot;uid&quot;:1090067630, &quot;retailerlinkurl&quot;:null, &quot;hourssat&quot;:&quot;Please Call&quot;, &quot;clientkey&quot;:&quot;1329&quot;, &quot;name&quot;:&quot;The Source&quot;, &quot;locationlinkurl&quot;:null, &quot;address1&quot;:&quot;396 Simco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averton&quot;, &quot;singleuse&quot;:&quot;Y&quot;, &quot;fax&quot;:null, &quot;country&quot;:&quot;CA&quot;, &quot;logourl&quot;:&quot;http://www.call2recycle.org/notpress/where2getit/thesource.png&quot;, &quot;phone&quot;:&quot;705-426-7795&quot;, &quot;address2&quot;:null, &quot;locationimageurl&quot;:null, &quot;_distance&quot;:&quot;10.4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5756734802963&quot;, &quot;url&quot;:&quot;http://www.thesource.ca&quot;, &quot;postalcode&quot;:&quot;N4K 5N3&quot;, &quot;province&quot;:&quot;ON&quot;, &quot;sustainabilityurl&quot;:&quot;http://www.thesource.ca/sitelets/jobs/environment.asp&quot;, &quot;hoursmon&quot;:&quot;Please Call&quot;, &quot;longitude&quot;:&quot;-80.9084239243326&quot;, &quot;uid&quot;:1182187678, &quot;retailerlinkurl&quot;:null, &quot;hourssat&quot;:&quot;Please Call&quot;, &quot;clientkey&quot;:&quot;572&quot;, &quot;name&quot;:&quot;The Source&quot;, &quot;locationlinkurl&quot;:null, &quot;address1&quot;:&quot;1979-16th St E Unit E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thesource.png&quot;, &quot;phone&quot;:&quot;519-376-5041&quot;, &quot;address2&quot;:null, &quot;locationimageurl&quot;:null, &quot;_distance&quot;:&quot;17.3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5756734802963&quot;, &quot;url&quot;:&quot;http://www.thesource.ca&quot;, &quot;postalcode&quot;:&quot;N4K 5N3&quot;, &quot;province&quot;:&quot;ON&quot;, &quot;sustainabilityurl&quot;:&quot;http://www.thesource.ca/sitelets/jobs/environment.asp&quot;, &quot;hoursmon&quot;:&quot;Please Call&quot;, &quot;longitude&quot;:&quot;-80.9084239243326&quot;, &quot;uid&quot;:1182187678, &quot;retailerlinkurl&quot;:null, &quot;hourssat&quot;:&quot;Please Call&quot;, &quot;clientkey&quot;:&quot;572&quot;, &quot;name&quot;:&quot;The Source&quot;, &quot;locationlinkurl&quot;:null, &quot;address1&quot;:&quot;1979-16th St E Unit E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thesource.png&quot;, &quot;phone&quot;:&quot;519-376-5041&quot;, &quot;address2&quot;:null, &quot;locationimageurl&quot;:null, &quot;_distance&quot;:&quot;24.09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60479&quot;, &quot;url&quot;:&quot;http://www.thesource.ca&quot;, &quot;postalcode&quot;:&quot;K6V 3G9&quot;, &quot;province&quot;:&quot;ON&quot;, &quot;sustainabilityurl&quot;:&quot;http://www.thesource.ca/sitelets/jobs/environment.asp&quot;, &quot;hoursmon&quot;:&quot;Please Call&quot;, &quot;longitude&quot;:&quot;-75.69913&quot;, &quot;uid&quot;:821563769, &quot;retailerlinkurl&quot;:null, &quot;hourssat&quot;:&quot;Please Call&quot;, &quot;clientkey&quot;:&quot;514&quot;, &quot;name&quot;:&quot;The Source&quot;, &quot;locationlinkurl&quot;:null, &quot;address1&quot;:&quot;2399 Parkedal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thesource.png&quot;, &quot;phone&quot;:&quot;613-342-8298&quot;, &quot;address2&quot;:null, &quot;locationimageurl&quot;:null, &quot;_distance&quot;:&quot;12.7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633&quot;, &quot;url&quot;:&quot;http://www.thesource.ca&quot;, &quot;postalcode&quot;:&quot;L3V 6H4&quot;, &quot;province&quot;:&quot;ON&quot;, &quot;sustainabilityurl&quot;:&quot;http://www.thesource.ca/sitelets/jobs/environment.asp&quot;, &quot;hoursmon&quot;:&quot;Please Call&quot;, &quot;longitude&quot;:&quot;-79.43521&quot;, &quot;uid&quot;:1182186308, &quot;retailerlinkurl&quot;:null, &quot;hourssat&quot;:&quot;Please Call&quot;, &quot;clientkey&quot;:&quot;728&quot;, &quot;name&quot;:&quot;The Source&quot;, &quot;locationlinkurl&quot;:null, &quot;address1&quot;:&quot;1029 Brodie Dr Unit 11 RR 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thesource.png&quot;, &quot;phone&quot;:&quot;705-327-0145&quot;, &quot;address2&quot;:null, &quot;locationimageurl&quot;:null, &quot;_distance&quot;:&quot;4.7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4.81319&quot;, &quot;url&quot;:&quot;http://www.thesource.ca&quot;, &quot;postalcode&quot;:&quot;K0M 1S0&quot;, &quot;province&quot;:&quot;ON&quot;, &quot;sustainabilityurl&quot;:&quot;http://www.thesource.ca/sitelets/jobs/environment.asp&quot;, &quot;hoursmon&quot;:&quot;Please Call&quot;, &quot;longitude&quot;:&quot;-78.69893&quot;, &quot;uid&quot;:839391494, &quot;retailerlinkurl&quot;:null, &quot;hourssat&quot;:&quot;Please Call&quot;, &quot;clientkey&quot;:&quot;1239&quot;, &quot;name&quot;:&quot;Halco Electronics&quot;, &quot;locationlinkurl&quot;:null, &quot;address1&quot;:&quot;PO Box 779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liburton&quot;, &quot;singleuse&quot;:&quot;Y&quot;, &quot;fax&quot;:null, &quot;country&quot;:&quot;CA&quot;, &quot;logourl&quot;:&quot;http://www.call2recycle.org/notpress/where2getit/thesource.png&quot;, &quot;phone&quot;:&quot;705-457-1590&quot;, &quot;address2&quot;:null, &quot;locationimageurl&quot;:null, &quot;_distance&quot;:&quot;18.5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1332345557538&quot;, &quot;url&quot;:&quot;http://www.thesource.ca&quot;, &quot;postalcode&quot;:&quot;K7C 0A8&quot;, &quot;province&quot;:&quot;ON&quot;, &quot;sustainabilityurl&quot;:&quot;http://www.thesource.ca/sitelets/jobs/environment.asp&quot;, &quot;hoursmon&quot;:&quot;Please Call&quot;, &quot;longitude&quot;:&quot;-76.1213763011819&quot;, &quot;uid&quot;:-1997271843, &quot;retailerlinkurl&quot;:null, &quot;hourssat&quot;:&quot;Please Call&quot;, &quot;clientkey&quot;:&quot;142069&quot;, &quot;name&quot;:&quot;The Source&quot;, &quot;locationlinkurl&quot;:null, &quot;address1&quot;:&quot;515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thesource.png&quot;, &quot;phone&quot;:&quot;613-253-7813&quot;, &quot;address2&quot;:null, &quot;locationimageurl&quot;:null, &quot;_distance&quot;:&quot;43.7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6869&quot;, &quot;url&quot;:&quot;http://www.thesource.ca&quot;, &quot;postalcode&quot;:&quot;K0A 1W1&quot;, &quot;province&quot;:&quot;ON&quot;, &quot;sustainabilityurl&quot;:&quot;http://www.thesource.ca/sitelets/jobs/environment.asp&quot;, &quot;hoursmon&quot;:&quot;Please Call&quot;, &quot;longitude&quot;:&quot;-75.29589&quot;, &quot;uid&quot;:1182177097, &quot;retailerlinkurl&quot;:null, &quot;hourssat&quot;:&quot;Please Call&quot;, &quot;clientkey&quot;:&quot;1232&quot;, &quot;name&quot;:&quot;The Source&quot;, &quot;locationlinkurl&quot;:null, &quot;address1&quot;:&quot;825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thesource.png&quot;, &quot;phone&quot;:&quot;613-443-5642&quot;, &quot;address2&quot;:null, &quot;locationimageurl&quot;:null, &quot;_distance&quot;:&quot;13.6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27028&quot;, &quot;url&quot;:&quot;http://www.thesource.ca&quot;, &quot;postalcode&quot;:&quot;K2J 5G5&quot;, &quot;province&quot;:&quot;ON&quot;, &quot;sustainabilityurl&quot;:&quot;http://www.thesource.ca/sitelets/jobs/environment.asp&quot;, &quot;hoursmon&quot;:&quot;Please Call&quot;, &quot;longitude&quot;:&quot;-75.74192&quot;, &quot;uid&quot;:-270871333, &quot;retailerlinkurl&quot;:null, &quot;hourssat&quot;:&quot;Please Call&quot;, &quot;clientkey&quot;:&quot;85514&quot;, &quot;name&quot;:&quot;The Source&quot;, &quot;locationlinkurl&quot;:null, &quot;address1&quot;:&quot;81 Rioca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thesource.png&quot;, &quot;phone&quot;:&quot;613-823-1995&quot;, &quot;address2&quot;:null, &quot;locationimageurl&quot;:null, &quot;_distance&quot;:&quot;13.55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0585&quot;, &quot;url&quot;:&quot;http://www.thesource.ca&quot;, &quot;postalcode&quot;:&quot;K0A 1M0&quot;, &quot;province&quot;:&quot;ON&quot;, &quot;sustainabilityurl&quot;:&quot;http://www.thesource.ca/sitelets/jobs/environment.asp&quot;, &quot;hoursmon&quot;:&quot;Please Call&quot;, &quot;longitude&quot;:&quot;-75.08342&quot;, &quot;uid&quot;:341260925, &quot;retailerlinkurl&quot;:null, &quot;hourssat&quot;:&quot;Please Call&quot;, &quot;clientkey&quot;:&quot;149160&quot;, &quot;name&quot;:&quot;The Source&quot;, &quot;locationlinkurl&quot;:null, &quot;address1&quot;:&quot;98 Laflech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sselman&quot;, &quot;singleuse&quot;:&quot;Y&quot;, &quot;fax&quot;:null, &quot;country&quot;:&quot;CA&quot;, &quot;logourl&quot;:&quot;http://www.call2recycle.org/notpress/where2getit/thesource.png&quot;, &quot;phone&quot;:&quot;613-764-2023&quot;, &quot;address2&quot;:null, &quot;locationimageurl&quot;:null, &quot;_distance&quot;:&quot;7.6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3405&quot;, &quot;url&quot;:&quot;http://www.thesource.ca&quot;, &quot;postalcode&quot;:&quot;P1H 2A5&quot;, &quot;province&quot;:&quot;ON&quot;, &quot;sustainabilityurl&quot;:&quot;http://www.thesource.ca/sitelets/jobs/environment.asp&quot;, &quot;hoursmon&quot;:&quot;Please Call&quot;, &quot;longitude&quot;:&quot;-79.20579&quot;, &quot;uid&quot;:1182179446, &quot;retailerlinkurl&quot;:null, &quot;hourssat&quot;:&quot;Please Call&quot;, &quot;clientkey&quot;:&quot;104230&quot;, &quot;name&quot;:&quot;The Source&quot;, &quot;locationlinkurl&quot;:null, &quot;address1&quot;:&quot;70 King William St Unit 2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thesource.png&quot;, &quot;phone&quot;:&quot;705-788-1357&quot;, &quot;address2&quot;:null, &quot;locationimageurl&quot;:null, &quot;_distance&quot;:&quot;21.0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3405&quot;, &quot;url&quot;:&quot;http://www.thesource.ca&quot;, &quot;postalcode&quot;:&quot;P1H 2A5&quot;, &quot;province&quot;:&quot;ON&quot;, &quot;sustainabilityurl&quot;:&quot;http://www.thesource.ca/sitelets/jobs/environment.asp&quot;, &quot;hoursmon&quot;:&quot;Please Call&quot;, &quot;longitude&quot;:&quot;-79.20579&quot;, &quot;uid&quot;:1182179446, &quot;retailerlinkurl&quot;:null, &quot;hourssat&quot;:&quot;Please Call&quot;, &quot;clientkey&quot;:&quot;104230&quot;, &quot;name&quot;:&quot;The Source&quot;, &quot;locationlinkurl&quot;:null, &quot;address1&quot;:&quot;70 King William St Unit 24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thesource.png&quot;, &quot;phone&quot;:&quot;705-788-1357&quot;, &quot;address2&quot;:null, &quot;locationimageurl&quot;:null, &quot;_distance&quot;:&quot;33.8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13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18.1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4407&quot;, &quot;url&quot;:&quot;http://www.thesource.ca&quot;, &quot;postalcode&quot;:&quot;P2A 3C3&quot;, &quot;province&quot;:&quot;ON&quot;, &quot;sustainabilityurl&quot;:&quot;http://www.thesource.ca/sitelets/jobs/environment.asp&quot;, &quot;hoursmon&quot;:&quot;Please Call&quot;, &quot;longitude&quot;:&quot;-80.01031&quot;, &quot;uid&quot;:1522038380, &quot;retailerlinkurl&quot;:null, &quot;hourssat&quot;:&quot;Please Call&quot;, &quot;clientkey&quot;:&quot;1270&quot;, &quot;name&quot;:&quot;The Source&quot;, &quot;locationlinkurl&quot;:null, &quot;address1&quot;:&quot;1 Pine Dr Unit B4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thesource.png&quot;, &quot;phone&quot;:&quot;705-746-8383&quot;, &quot;address2&quot;:null, &quot;locationimageurl&quot;:null, &quot;_distance&quot;:&quot;42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3573151020408&quot;, &quot;url&quot;:&quot;http://www.thesource.ca&quot;, &quot;postalcode&quot;:&quot;K1V 1J5&quot;, &quot;province&quot;:&quot;ON&quot;, &quot;sustainabilityurl&quot;:&quot;http://www.thesource.ca/sitelets/jobs/environment.asp&quot;, &quot;hoursmon&quot;:&quot;Please Call&quot;, &quot;longitude&quot;:&quot;-75.6538102040816&quot;, &quot;uid&quot;:1182187711, &quot;retailerlinkurl&quot;:null, &quot;hourssat&quot;:&quot;Please Call&quot;, &quot;clientkey&quot;:&quot;722&quot;, &quot;name&quot;:&quot;The Source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thesource.png&quot;, &quot;phone&quot;:&quot;613-733-1891&quot;, &quot;address2&quot;:null, &quot;locationimageurl&quot;:null, &quot;_distance&quot;:&quot;13.7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4221200682615&quot;, &quot;url&quot;:&quot;http://www.thesource.ca&quot;, &quot;postalcode&quot;:&quot;K7S 3G9&quot;, &quot;province&quot;:&quot;ON&quot;, &quot;sustainabilityurl&quot;:&quot;http://www.thesource.ca/sitelets/jobs/environment.asp&quot;, &quot;hoursmon&quot;:&quot;Please Call&quot;, &quot;longitude&quot;:&quot;-76.3679568434674&quot;, &quot;uid&quot;:-1673569091, &quot;retailerlinkurl&quot;:null, &quot;hourssat&quot;:&quot;Please Call&quot;, &quot;clientkey&quot;:&quot;151687&quot;, &quot;name&quot;:&quot;The Source&quot;, &quot;locationlinkurl&quot;:null, &quot;address1&quot;:&quot;39 Winner's Circl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nprior&quot;, &quot;singleuse&quot;:&quot;Y&quot;, &quot;fax&quot;:null, &quot;country&quot;:&quot;CA&quot;, &quot;logourl&quot;:&quot;http://www.call2recycle.org/notpress/where2getit/thesource.png&quot;, &quot;phone&quot;:&quot;613-623-9776&quot;, &quot;address2&quot;:null, &quot;locationimageurl&quot;:null, &quot;_distance&quot;:&quot;45.4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5.4733353838408&quot;, &quot;url&quot;:&quot;http://www.thesource.ca&quot;, &quot;postalcode&quot;:&quot;K7V 0B4&quot;, &quot;province&quot;:&quot;ON&quot;, &quot;sustainabilityurl&quot;:&quot;http://www.thesource.ca/sitelets/jobs/environment.asp&quot;, &quot;hoursmon&quot;:&quot;Please Call&quot;, &quot;longitude&quot;:&quot;-76.6620634021754&quot;, &quot;uid&quot;:1182187496, &quot;retailerlinkurl&quot;:null, &quot;hourssat&quot;:&quot;Please Call&quot;, &quot;clientkey&quot;:&quot;131741&quot;, &quot;name&quot;:&quot;The Source&quot;, &quot;locationlinkurl&quot;:null, &quot;address1&quot;:&quot;648 O’Brien Rd Unit B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Renfrew&quot;, &quot;singleuse&quot;:&quot;Y&quot;, &quot;fax&quot;:null, &quot;country&quot;:&quot;CA&quot;, &quot;logourl&quot;:&quot;http://www.call2recycle.org/notpress/where2getit/thesource.png&quot;, &quot;phone&quot;:&quot;613-433-8805&quot;, &quot;address2&quot;:null, &quot;locationimageurl&quot;:null, &quot;_distance&quot;:&quot;41.2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2829&quot;, &quot;url&quot;:&quot;http://www.thesource.ca&quot;, &quot;postalcode&quot;:&quot;P1A 3V2&quot;, &quot;province&quot;:&quot;ON&quot;, &quot;sustainabilityurl&quot;:&quot;http://www.thesource.ca/sitelets/jobs/environment.asp&quot;, &quot;hoursmon&quot;:&quot;Please Call&quot;, &quot;longitude&quot;:&quot;-79.44897&quot;, &quot;uid&quot;:1025961221, &quot;retailerlinkurl&quot;:null, &quot;hourssat&quot;:&quot;Please Call&quot;, &quot;clientkey&quot;:&quot;699&quot;, &quot;name&quot;:&quot;The Source&quot;, &quot;locationlinkurl&quot;:null, &quot;address1&quot;:&quot;300 Lakeshor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thesource.png&quot;, &quot;phone&quot;:&quot;705-476-4486&quot;, &quot;address2&quot;:null, &quot;locationimageurl&quot;:null, &quot;_distance&quot;:&quot;35.0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2829&quot;, &quot;url&quot;:&quot;http://www.thesource.ca&quot;, &quot;postalcode&quot;:&quot;P1A 3V2&quot;, &quot;province&quot;:&quot;ON&quot;, &quot;sustainabilityurl&quot;:&quot;http://www.thesource.ca/sitelets/jobs/environment.asp&quot;, &quot;hoursmon&quot;:&quot;Please Call&quot;, &quot;longitude&quot;:&quot;-79.44897&quot;, &quot;uid&quot;:1025961221, &quot;retailerlinkurl&quot;:null, &quot;hourssat&quot;:&quot;Please Call&quot;, &quot;clientkey&quot;:&quot;699&quot;, &quot;name&quot;:&quot;The Source&quot;, &quot;locationlinkurl&quot;:null, &quot;address1&quot;:&quot;300 Lakeshor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thesource.png&quot;, &quot;phone&quot;:&quot;705-476-4486&quot;, &quot;address2&quot;:null, &quot;locationimageurl&quot;:null, &quot;_distance&quot;:&quot;39.1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4510312859701&quot;, &quot;url&quot;:&quot;http://www.thesource.ca&quot;, &quot;postalcode&quot;:&quot;P3E 5R2&quot;, &quot;province&quot;:&quot;ON&quot;, &quot;sustainabilityurl&quot;:&quot;http://www.thesource.ca/sitelets/jobs/environment.asp&quot;, &quot;hoursmon&quot;:&quot;Please Call&quot;, &quot;longitude&quot;:&quot;-81.0016696544131&quot;, &quot;uid&quot;:-84153459, &quot;retailerlinkurl&quot;:null, &quot;hourssat&quot;:&quot;Please Call&quot;, &quot;clientkey&quot;:&quot;100238&quot;, &quot;name&quot;:&quot;The Source&quot;, &quot;locationlinkurl&quot;:null, &quot;address1&quot;:&quot;1933 Regent St Unit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22-1457&quot;, &quot;address2&quot;:null, &quot;locationimageurl&quot;:null, &quot;_distance&quot;:&quot;42.6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4510312859701&quot;, &quot;url&quot;:&quot;http://www.thesource.ca&quot;, &quot;postalcode&quot;:&quot;P3E 5R2&quot;, &quot;province&quot;:&quot;ON&quot;, &quot;sustainabilityurl&quot;:&quot;http://www.thesource.ca/sitelets/jobs/environment.asp&quot;, &quot;hoursmon&quot;:&quot;Please Call&quot;, &quot;longitude&quot;:&quot;-81.0016696544131&quot;, &quot;uid&quot;:-84153459, &quot;retailerlinkurl&quot;:null, &quot;hourssat&quot;:&quot;Please Call&quot;, &quot;clientkey&quot;:&quot;100238&quot;, &quot;name&quot;:&quot;The Source&quot;, &quot;locationlinkurl&quot;:null, &quot;address1&quot;:&quot;1933 Regent St Unit 5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22-1457&quot;, &quot;address2&quot;:null, &quot;locationimageurl&quot;:null, &quot;_distance&quot;:&quot;47.9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6.52205&quot;, &quot;url&quot;:&quot;http://www.thesource.ca&quot;, &quot;postalcode&quot;:&quot;P3A 1Z2&quot;, &quot;province&quot;:&quot;ON&quot;, &quot;sustainabilityurl&quot;:&quot;http://www.thesource.ca/sitelets/jobs/environment.asp&quot;, &quot;hoursmon&quot;:&quot;Please Call&quot;, &quot;longitude&quot;:&quot;-80.94908&quot;, &quot;uid&quot;:651890073, &quot;retailerlinkurl&quot;:null, &quot;hourssat&quot;:&quot;Please Call&quot;, &quot;clientkey&quot;:&quot;71987&quot;, &quot;name&quot;:&quot;The Source&quot;, &quot;locationlinkurl&quot;:null, &quot;address1&quot;:&quot;1349 Lasall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thesource.png&quot;, &quot;phone&quot;:&quot;705-560-1669&quot;, &quot;address2&quot;:null, &quot;locationimageurl&quot;:null, &quot;_distance&quot;:&quot;37.67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14718&quot;, &quot;url&quot;:&quot;http://www.thesource.ca&quot;, &quot;postalcode&quot;:&quot;P2N 2E9&quot;, &quot;province&quot;:&quot;ON&quot;, &quot;sustainabilityurl&quot;:&quot;http://www.thesource.ca/sitelets/jobs/environment.asp&quot;, &quot;hoursmon&quot;:&quot;Please Call&quot;, &quot;longitude&quot;:&quot;-80.0469&quot;, &quot;uid&quot;:992060194, &quot;retailerlinkurl&quot;:null, &quot;hourssat&quot;:&quot;Please Call&quot;, &quot;clientkey&quot;:&quot;160037&quot;, &quot;name&quot;:&quot;The Source&quot;, &quot;locationlinkurl&quot;:null, &quot;address1&quot;:&quot;150 Government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rkland Lake&quot;, &quot;singleuse&quot;:&quot;Y&quot;, &quot;fax&quot;:null, &quot;country&quot;:&quot;CA&quot;, &quot;logourl&quot;:&quot;http://www.call2recycle.org/notpress/where2getit/thesource.png&quot;, &quot;phone&quot;:&quot;705-567-3060&quot;, &quot;address2&quot;:null, &quot;locationimageurl&quot;:null, &quot;_distance&quot;:&quot;248.96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36.03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38.81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4032962624325&quot;, &quot;url&quot;:&quot;http://www.thesource.ca&quot;, &quot;postalcode&quot;:&quot;P7B 6B9&quot;, &quot;province&quot;:&quot;ON&quot;, &quot;sustainabilityurl&quot;:&quot;http://www.thesource.ca/sitelets/jobs/environment.asp&quot;, &quot;hoursmon&quot;:&quot;Please Call&quot;, &quot;longitude&quot;:&quot;-89.2420590365488&quot;, &quot;uid&quot;:1182187668, &quot;retailerlinkurl&quot;:null, &quot;hourssat&quot;:&quot;Please Call&quot;, &quot;clientkey&quot;:&quot;432&quot;, &quot;name&quot;:&quot;The Source&quot;, &quot;locationlinkurl&quot;:null, &quot;address1&quot;:&quot;1000 Fort William Rd #32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thesource.png&quot;, &quot;phone&quot;:&quot;807-622-8530&quot;, &quot;address2&quot;:null, &quot;locationimageurl&quot;:null, &quot;_distance&quot;:&quot;93.42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8.75815325&quot;, &quot;url&quot;:&quot;http://www.thesource.ca&quot;, &quot;postalcode&quot;:&quot;P0K 1G0&quot;, &quot;province&quot;:&quot;ON&quot;, &quot;sustainabilityurl&quot;:&quot;http://www.thesource.ca/sitelets/jobs/environment.asp&quot;, &quot;hoursmon&quot;:&quot;Please Call&quot;, &quot;longitude&quot;:&quot;-80.68585225&quot;, &quot;uid&quot;:1182175768, &quot;retailerlinkurl&quot;:null, &quot;hourssat&quot;:&quot;Please Call&quot;, &quot;clientkey&quot;:&quot;1264&quot;, &quot;name&quot;:&quot;Ricks Hi-Fi &amp; Decorating&quot;, &quot;locationlinkurl&quot;:null, &quot;address1&quot;:&quot;254 Main St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roquois Falls&quot;, &quot;singleuse&quot;:&quot;Y&quot;, &quot;fax&quot;:null, &quot;country&quot;:&quot;CA&quot;, &quot;logourl&quot;:&quot;http://www.call2recycle.org/notpress/where2getit/thesource.png&quot;, &quot;phone&quot;:&quot;705-232-5557&quot;, &quot;address2&quot;:null, &quot;locationimageurl&quot;:null, &quot;_distance&quot;:&quot;198.80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9.4200538028779&quot;, &quot;url&quot;:&quot;http://www.thesource.ca&quot;, &quot;postalcode&quot;:&quot;P5N 2E9&quot;, &quot;province&quot;:&quot;ON&quot;, &quot;sustainabilityurl&quot;:&quot;http://www.thesource.ca/sitelets/jobs/environment.asp&quot;, &quot;hoursmon&quot;:&quot;Please Call&quot;, &quot;longitude&quot;:&quot;-82.4197553660716&quot;, &quot;uid&quot;:-1930695804, &quot;retailerlinkurl&quot;:null, &quot;hourssat&quot;:&quot;Please Call&quot;, &quot;clientkey&quot;:&quot;138809&quot;, &quot;name&quot;:&quot;The Source&quot;, &quot;locationlinkurl&quot;:null, &quot;address1&quot;:&quot;25 Brunetville Rd Unit 1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apuskasing&quot;, &quot;singleuse&quot;:&quot;Y&quot;, &quot;fax&quot;:null, &quot;country&quot;:&quot;CA&quot;, &quot;logourl&quot;:&quot;http://www.call2recycle.org/notpress/where2getit/thesource.png&quot;, &quot;phone&quot;:&quot;705-335-8787&quot;, &quot;address2&quot;:null, &quot;locationimageurl&quot;:null, &quot;_distance&quot;:&quot;139.14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&quot;http://www.thesource.ca/estore/tradeupandsave.aspx&quot;, &quot;latitude&quot;:&quot;49.7964&quot;, &quot;url&quot;:&quot;http://www.thesource.ca&quot;, &quot;postalcode&quot;:&quot;P0L 1N0&quot;, &quot;province&quot;:&quot;ON&quot;, &quot;sustainabilityurl&quot;:&quot;http://www.thesource.ca/sitelets/jobs/environment.asp&quot;, &quot;hoursmon&quot;:&quot;Please Call&quot;, &quot;longitude&quot;:&quot;-83.66066&quot;, &quot;uid&quot;:1686091162, &quot;retailerlinkurl&quot;:null, &quot;hourssat&quot;:&quot;Please Call&quot;, &quot;clientkey&quot;:&quot;1251&quot;, &quot;name&quot;:&quot;Pauls Music World&quot;, &quot;locationlinkurl&quot;:null, &quot;address1&quot;:&quot;1976-904 Forci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thesource.png&quot;, &quot;phone&quot;:&quot;705-362-5779&quot;, &quot;address2&quot;:null, &quot;locationimageurl&quot;:null, &quot;_distance&quot;:&quot;127.08&quot;, &quot;inktoner&quot;:&quot;N&quot;, &quot;nationalinkurl&quot;:null, &quot;regionallinkurl&quot;:null, &quot;cellphones&quot;:&quot;Y&quot;, &quot;hourstues&quot;:&quot;Please Call&quot;, &quot;consumerelectronics&quot;:&quot;Y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37584782609&quot;, &quot;url&quot;:null, &quot;postalcode&quot;:&quot;N8H 2L2&quot;, &quot;province&quot;:&quot;ON&quot;, &quot;sustainabilityurl&quot;:null, &quot;hoursmon&quot;:&quot;Please Call&quot;, &quot;longitude&quot;:&quot;-82.5972702173913&quot;, &quot;uid&quot;:1724594267, &quot;retailerlinkurl&quot;:null, &quot;hourssat&quot;:&quot;Please Call&quot;, &quot;clientkey&quot;:&quot;126716&quot;, &quot;name&quot;:&quot;Staples&quot;, &quot;locationlinkurl&quot;:null, &quot;address1&quot;:&quot;16 Seacliff Dr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eamington&quot;, &quot;singleuse&quot;:&quot;Y&quot;, &quot;fax&quot;:null, &quot;country&quot;:&quot;CA&quot;, &quot;logourl&quot;:&quot;http://www.call2recycle.org/notpress/where2getit/staples.png&quot;, &quot;phone&quot;:&quot;519-324-137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84704540773&quot;, &quot;url&quot;:null, &quot;postalcode&quot;:&quot;N9Y 1A7&quot;, &quot;province&quot;:&quot;ON&quot;, &quot;sustainabilityurl&quot;:null, &quot;hoursmon&quot;:&quot;Please Call&quot;, &quot;longitude&quot;:&quot;-82.7256786274688&quot;, &quot;uid&quot;:502592012, &quot;retailerlinkurl&quot;:null, &quot;hourssat&quot;:&quot;Please Call&quot;, &quot;clientkey&quot;:&quot;157960&quot;, &quot;name&quot;:&quot;ListenUp! Canada&quot;, &quot;locationlinkurl&quot;:null, &quot;address1&quot;:&quot;313 Mai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ville&quot;, &quot;singleuse&quot;:&quot;Y&quot;, &quot;fax&quot;:null, &quot;country&quot;:&quot;CA&quot;, &quot;logourl&quot;:&quot;http://www.call2recycle.org/notpress/where2getit/call2recycle.png&quot;, &quot;phone&quot;:&quot;519-733-3331&quot;, &quot;address2&quot;:null, &quot;locationimageurl&quot;:null, &quot;_distance&quot;:&quot;13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384704540773&quot;, &quot;url&quot;:null, &quot;postalcode&quot;:&quot;N9Y 1A7&quot;, &quot;province&quot;:&quot;ON&quot;, &quot;sustainabilityurl&quot;:null, &quot;hoursmon&quot;:&quot;Please Call&quot;, &quot;longitude&quot;:&quot;-82.7256786274688&quot;, &quot;uid&quot;:502592012, &quot;retailerlinkurl&quot;:null, &quot;hourssat&quot;:&quot;Please Call&quot;, &quot;clientkey&quot;:&quot;157960&quot;, &quot;name&quot;:&quot;ListenUp! Canada&quot;, &quot;locationlinkurl&quot;:null, &quot;address1&quot;:&quot;313 Mai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ville&quot;, &quot;singleuse&quot;:&quot;Y&quot;, &quot;fax&quot;:null, &quot;country&quot;:&quot;CA&quot;, &quot;logourl&quot;:&quot;http://www.call2recycle.org/notpress/where2getit/call2recycle.png&quot;, &quot;phone&quot;:&quot;519-733-3331&quot;, &quot;address2&quot;:null, &quot;locationimageurl&quot;:null, &quot;_distance&quot;:&quot;8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093229349766&quot;, &quot;url&quot;:null, &quot;postalcode&quot;:&quot;N9V 3R2&quot;, &quot;province&quot;:&quot;ON&quot;, &quot;sustainabilityurl&quot;:null, &quot;hoursmon&quot;:&quot;Please Call&quot;, &quot;longitude&quot;:&quot;-83.1077009589504&quot;, &quot;uid&quot;:959133338, &quot;retailerlinkurl&quot;:null, &quot;hourssat&quot;:&quot;Please Call&quot;, &quot;clientkey&quot;:&quot;170895&quot;, &quot;name&quot;:&quot;The Corporation of the Town of Amherstburg&quot;, &quot;locationlinkurl&quot;:null, &quot;address1&quot;:&quot;512 Sandwich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mherstburg&quot;, &quot;singleuse&quot;:&quot;Y&quot;, &quot;fax&quot;:null, &quot;country&quot;:&quot;CA&quot;, &quot;logourl&quot;:&quot;http://www.call2recycle.org/notpress/where2getit/call2recycle.png&quot;, &quot;phone&quot;:&quot;519-736-3664&quot;, &quot;address2&quot;:null, &quot;locationimageurl&quot;:null, &quot;_distance&quot;:&quot;9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549034080717&quot;, &quot;url&quot;:null, &quot;postalcode&quot;:&quot;N8W 3T6&quot;, &quot;province&quot;:&quot;ON&quot;, &quot;sustainabilityurl&quot;:null, &quot;hoursmon&quot;:&quot;Please Call&quot;, &quot;longitude&quot;:&quot;-82.9641382959641&quot;, &quot;uid&quot;:1645740537, &quot;retailerlinkurl&quot;:null, &quot;hourssat&quot;:&quot;Please Call&quot;, &quot;clientkey&quot;:&quot;134805&quot;, &quot;name&quot;:&quot;Staples&quot;, &quot;locationlinkurl&quot;:null, &quot;address1&quot;:&quot;4511 Walk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72-5127&quot;, &quot;address2&quot;:null, &quot;locationimageurl&quot;:null, &quot;_distance&quot;:&quot;14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549034080717&quot;, &quot;url&quot;:null, &quot;postalcode&quot;:&quot;N8W 3T6&quot;, &quot;province&quot;:&quot;ON&quot;, &quot;sustainabilityurl&quot;:null, &quot;hoursmon&quot;:&quot;Please Call&quot;, &quot;longitude&quot;:&quot;-82.9641382959641&quot;, &quot;uid&quot;:1645740537, &quot;retailerlinkurl&quot;:null, &quot;hourssat&quot;:&quot;Please Call&quot;, &quot;clientkey&quot;:&quot;134805&quot;, &quot;name&quot;:&quot;Staples&quot;, &quot;locationlinkurl&quot;:null, &quot;address1&quot;:&quot;4511 Walk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72-5127&quot;, &quot;address2&quot;:null, &quot;locationimageurl&quot;:null, &quot;_distance&quot;:&quot;7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623589795918&quot;, &quot;url&quot;:null, &quot;postalcode&quot;:&quot;N8W 1Z7&quot;, &quot;province&quot;:&quot;ON&quot;, &quot;sustainabilityurl&quot;:null, &quot;hoursmon&quot;:&quot;Please Call&quot;, &quot;longitude&quot;:&quot;-82.973536122449&quot;, &quot;uid&quot;:1997567050, &quot;retailerlinkurl&quot;:null, &quot;hourssat&quot;:&quot;Please Call&quot;, &quot;clientkey&quot;:&quot;129690&quot;, &quot;name&quot;:&quot;Home Depot&quot;, &quot;locationlinkurl&quot;:null, &quot;address1&quot;:&quot;1925 Division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homedepot.png&quot;, &quot;phone&quot;:&quot;519-967-3700&quot;, &quot;address2&quot;:null, &quot;locationimageurl&quot;:null, &quot;_distance&quot;:&quot;7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742911889364&quot;, &quot;url&quot;:null, &quot;postalcode&quot;:&quot;N8X 3Y7&quot;, &quot;province&quot;:&quot;ON&quot;, &quot;sustainabilityurl&quot;:null, &quot;hoursmon&quot;:&quot;Please Call&quot;, &quot;longitude&quot;:&quot;-83.0051525767869&quot;, &quot;uid&quot;:1803454067, &quot;retailerlinkurl&quot;:null, &quot;hourssat&quot;:&quot;Please Call&quot;, &quot;clientkey&quot;:&quot;41331&quot;, &quot;name&quot;:&quot;Sears (Canada)&quot;, &quot;locationlinkurl&quot;:null, &quot;address1&quot;:&quot;3050 Howar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ears.png&quot;, &quot;phone&quot;:&quot;519-966-2822&quot;, &quot;address2&quot;:null, &quot;locationimageurl&quot;:null, &quot;_distance&quot;:&quot;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793168548387&quot;, &quot;url&quot;:null, &quot;postalcode&quot;:&quot;N9C 3R5&quot;, &quot;province&quot;:&quot;ON&quot;, &quot;sustainabilityurl&quot;:null, &quot;hoursmon&quot;:&quot;Please Call&quot;, &quot;longitude&quot;:&quot;-83.0554799193548&quot;, &quot;uid&quot;:-1390064227, &quot;retailerlinkurl&quot;:null, &quot;hourssat&quot;:&quot;Please Call&quot;, &quot;clientkey&quot;:&quot;58703&quot;, &quot;name&quot;:&quot;Kelcom (H.O.)&quot;, &quot;locationlinkurl&quot;:null, &quot;address1&quot;:&quot;1983 Ambassador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0-9100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51328123105&quot;, &quot;url&quot;:null, &quot;postalcode&quot;:&quot;N8X 1L7&quot;, &quot;province&quot;:&quot;ON&quot;, &quot;sustainabilityurl&quot;:null, &quot;hoursmon&quot;:&quot;Please Call&quot;, &quot;longitude&quot;:&quot;-83.0182925347012&quot;, &quot;uid&quot;:1707706651, &quot;retailerlinkurl&quot;:null, &quot;hourssat&quot;:&quot;Please Call&quot;, &quot;clientkey&quot;:&quot;67952&quot;, &quot;name&quot;:&quot;Staples&quot;, &quot;locationlinkurl&quot;:null, &quot;address1&quot;:&quot;2550 Ouellett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66-9495&quot;, &quot;address2&quot;:null, &quot;locationimageurl&quot;:null, &quot;_distance&quot;:&quot;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679&quot;, &quot;url&quot;:null, &quot;postalcode&quot;:&quot;N8N 2M1&quot;, &quot;province&quot;:&quot;ON&quot;, &quot;sustainabilityurl&quot;:null, &quot;hoursmon&quot;:&quot;Please Call&quot;, &quot;longitude&quot;:&quot;-82.95502&quot;, &quot;uid&quot;:636392825, &quot;retailerlinkurl&quot;:null, &quot;hourssat&quot;:&quot;Please Call&quot;, &quot;clientkey&quot;:&quot;169585&quot;, &quot;name&quot;:&quot;Franklin Empire&quot;, &quot;locationlinkurl&quot;:null, &quot;address1&quot;:&quot;5950 Rhodes Dr RR 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945-7550&quot;, &quot;address2&quot;:null, &quot;locationimageurl&quot;:null, &quot;_distance&quot;:&quot;9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99317647059&quot;, &quot;url&quot;:null, &quot;postalcode&quot;:&quot;N0R 1A0&quot;, &quot;province&quot;:&quot;ON&quot;, &quot;sustainabilityurl&quot;:null, &quot;hoursmon&quot;:&quot;Please Call&quot;, &quot;longitude&quot;:&quot;-82.7344741176471&quot;, &quot;uid&quot;:221388796, &quot;retailerlinkurl&quot;:null, &quot;hourssat&quot;:&quot;Please Call&quot;, &quot;clientkey&quot;:&quot;149420&quot;, &quot;name&quot;:&quot;Ontario Clean Water Agency - Essex East (North) Hub&quot;, &quot;locationlinkurl&quot;:null, &quot;address1&quot;:&quot;276 Rourke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 River&quot;, &quot;singleuse&quot;:&quot;Y&quot;, &quot;fax&quot;:null, &quot;country&quot;:&quot;CA&quot;, &quot;logourl&quot;:&quot;http://www.call2recycle.org/notpress/where2getit/call2recycle.png&quot;, &quot;phone&quot;:&quot;519-727-6256&quot;, &quot;address2&quot;:null, &quot;locationimageurl&quot;:null, &quot;_distance&quot;:&quot;13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899317647059&quot;, &quot;url&quot;:null, &quot;postalcode&quot;:&quot;N0R 1A0&quot;, &quot;province&quot;:&quot;ON&quot;, &quot;sustainabilityurl&quot;:null, &quot;hoursmon&quot;:&quot;Please Call&quot;, &quot;longitude&quot;:&quot;-82.7344741176471&quot;, &quot;uid&quot;:221388796, &quot;retailerlinkurl&quot;:null, &quot;hourssat&quot;:&quot;Please Call&quot;, &quot;clientkey&quot;:&quot;149420&quot;, &quot;name&quot;:&quot;Ontario Clean Water Agency - Essex East (North) Hub&quot;, &quot;locationlinkurl&quot;:null, &quot;address1&quot;:&quot;276 Rourke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 River&quot;, &quot;singleuse&quot;:&quot;Y&quot;, &quot;fax&quot;:null, &quot;country&quot;:&quot;CA&quot;, &quot;logourl&quot;:&quot;http://www.call2recycle.org/notpress/where2getit/call2recycle.png&quot;, &quot;phone&quot;:&quot;519-727-6256&quot;, &quot;address2&quot;:null, &quot;locationimageurl&quot;:null, &quot;_distance&quot;:&quot;8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2581203008&quot;, &quot;url&quot;:null, &quot;postalcode&quot;:&quot;N8X 4X9&quot;, &quot;province&quot;:&quot;ON&quot;, &quot;sustainabilityurl&quot;:null, &quot;hoursmon&quot;:&quot;Please Call&quot;, &quot;longitude&quot;:&quot;-83.0157816541353&quot;, &quot;uid&quot;:554517449, &quot;retailerlinkurl&quot;:null, &quot;hourssat&quot;:&quot;Please Call&quot;, &quot;clientkey&quot;:&quot;158001&quot;, &quot;name&quot;:&quot;ListenUp! Canada&quot;, &quot;locationlinkurl&quot;:null, &quot;address1&quot;:&quot;Medical Building 600 Tecumseh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256-6868&quot;, &quot;address2&quot;:null, &quot;locationimageurl&quot;:null, &quot;_distance&quot;:&quot;10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6560494708&quot;, &quot;url&quot;:null, &quot;postalcode&quot;:&quot;N8T 0A3&quot;, &quot;province&quot;:&quot;ON&quot;, &quot;sustainabilityurl&quot;:null, &quot;hoursmon&quot;:&quot;Please Call&quot;, &quot;longitude&quot;:&quot;-82.9251618054316&quot;, &quot;uid&quot;:677051370, &quot;retailerlinkurl&quot;:null, &quot;hourssat&quot;:&quot;Please Call&quot;, &quot;clientkey&quot;:&quot;169740&quot;, &quot;name&quot;:&quot;Princess Auto&quot;, &quot;locationlinkurl&quot;:null, &quot;address1&quot;:&quot;3575 Forest Glade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PrincessAuto_150x150.png&quot;, &quot;phone&quot;:&quot;519-974-1261&quot;, &quot;address2&quot;:null, &quot;locationimageurl&quot;:null, &quot;_distance&quot;:&quot;14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2986560494708&quot;, &quot;url&quot;:null, &quot;postalcode&quot;:&quot;N8T 0A3&quot;, &quot;province&quot;:&quot;ON&quot;, &quot;sustainabilityurl&quot;:null, &quot;hoursmon&quot;:&quot;Please Call&quot;, &quot;longitude&quot;:&quot;-82.9251618054316&quot;, &quot;uid&quot;:677051370, &quot;retailerlinkurl&quot;:null, &quot;hourssat&quot;:&quot;Please Call&quot;, &quot;clientkey&quot;:&quot;169740&quot;, &quot;name&quot;:&quot;Princess Auto&quot;, &quot;locationlinkurl&quot;:null, &quot;address1&quot;:&quot;3575 Forest Glade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PrincessAuto_150x150.png&quot;, &quot;phone&quot;:&quot;519-974-1261&quot;, &quot;address2&quot;:null, &quot;locationimageurl&quot;:null, &quot;_distance&quot;:&quot;9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635875&quot;, &quot;url&quot;:null, &quot;postalcode&quot;:&quot;N8N 1Y3&quot;, &quot;province&quot;:&quot;ON&quot;, &quot;sustainabilityurl&quot;:null, &quot;hoursmon&quot;:&quot;Please Call&quot;, &quot;longitude&quot;:&quot;-82.8849108333333&quot;, &quot;uid&quot;:400726401, &quot;retailerlinkurl&quot;:null, &quot;hourssat&quot;:&quot;Please Call&quot;, &quot;clientkey&quot;:&quot;157941&quot;, &quot;name&quot;:&quot;ListenUp! Canada&quot;, &quot;locationlinkurl&quot;:null, &quot;address1&quot;:&quot;1614 Lesperan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ecumseh&quot;, &quot;singleuse&quot;:&quot;Y&quot;, &quot;fax&quot;:null, &quot;country&quot;:&quot;CA&quot;, &quot;logourl&quot;:&quot;http://www.call2recycle.org/notpress/where2getit/call2recycle.png&quot;, &quot;phone&quot;:&quot;519-735-6966&quot;, &quot;address2&quot;:null, &quot;locationimageurl&quot;:null, &quot;_distance&quot;:&quot;10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635875&quot;, &quot;url&quot;:null, &quot;postalcode&quot;:&quot;N8N 1Y3&quot;, &quot;province&quot;:&quot;ON&quot;, &quot;sustainabilityurl&quot;:null, &quot;hoursmon&quot;:&quot;Please Call&quot;, &quot;longitude&quot;:&quot;-82.8849108333333&quot;, &quot;uid&quot;:400726401, &quot;retailerlinkurl&quot;:null, &quot;hourssat&quot;:&quot;Please Call&quot;, &quot;clientkey&quot;:&quot;157941&quot;, &quot;name&quot;:&quot;ListenUp! Canada&quot;, &quot;locationlinkurl&quot;:null, &quot;address1&quot;:&quot;1614 Lesperan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ecumseh&quot;, &quot;singleuse&quot;:&quot;Y&quot;, &quot;fax&quot;:null, &quot;country&quot;:&quot;CA&quot;, &quot;logourl&quot;:&quot;http://www.call2recycle.org/notpress/where2getit/call2recycle.png&quot;, &quot;phone&quot;:&quot;519-735-6966&quot;, &quot;address2&quot;:null, &quot;locationimageurl&quot;:null, &quot;_distance&quot;:&quot;13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088938718444&quot;, &quot;url&quot;:null, &quot;postalcode&quot;:&quot;N9A 6J3&quot;, &quot;province&quot;:&quot;ON&quot;, &quot;sustainabilityurl&quot;:null, &quot;hoursmon&quot;:&quot;Please Call&quot;, &quot;longitude&quot;:&quot;-82.9474942723306&quot;, &quot;uid&quot;:1182194458, &quot;retailerlinkurl&quot;:null, &quot;hourssat&quot;:&quot;Please Call&quot;, &quot;clientkey&quot;:&quot;129798&quot;, &quot;name&quot;:&quot;Batteries and More&quot;, &quot;locationlinkurl&quot;:null, &quot;address1&quot;:&quot;6314 Thornberry Cresan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call2recycle.png&quot;, &quot;phone&quot;:&quot;519-962-7737&quot;, &quot;address2&quot;:null, &quot;locationimageurl&quot;:null, &quot;_distance&quot;:&quot;10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115110344828&quot;, &quot;url&quot;:null, &quot;postalcode&quot;:&quot;N8T 1E6&quot;, &quot;province&quot;:&quot;ON&quot;, &quot;sustainabilityurl&quot;:null, &quot;hoursmon&quot;:&quot;Please Call&quot;, &quot;longitude&quot;:&quot;-82.9461636781609&quot;, &quot;uid&quot;:2071210242, &quot;retailerlinkurl&quot;:null, &quot;hourssat&quot;:&quot;Please Call&quot;, &quot;clientkey&quot;:&quot;78353&quot;, &quot;name&quot;:&quot;Home Depot&quot;, &quot;locationlinkurl&quot;:null, &quot;address1&quot;:&quot;6570 Tecumse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homedepot.png&quot;, &quot;phone&quot;:&quot;519-974-5420&quot;, &quot;address2&quot;:null, &quot;locationimageurl&quot;:null, &quot;_distance&quot;:&quot;10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1242&quot;, &quot;url&quot;:null, &quot;postalcode&quot;:&quot;N8T 1E6&quot;, &quot;province&quot;:&quot;ON&quot;, &quot;sustainabilityurl&quot;:null, &quot;hoursmon&quot;:&quot;Please Call&quot;, &quot;longitude&quot;:&quot;-82.94135&quot;, &quot;uid&quot;:1870813189, &quot;retailerlinkurl&quot;:null, &quot;hourssat&quot;:&quot;Please Call&quot;, &quot;clientkey&quot;:&quot;67950&quot;, &quot;name&quot;:&quot;Staples&quot;, &quot;locationlinkurl&quot;:null, &quot;address1&quot;:&quot;7126 Tecumse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indsor&quot;, &quot;singleuse&quot;:&quot;Y&quot;, &quot;fax&quot;:null, &quot;country&quot;:&quot;CA&quot;, &quot;logourl&quot;:&quot;http://www.call2recycle.org/notpress/where2getit/staples.png&quot;, &quot;phone&quot;:&quot;519-948-1283&quot;, &quot;address2&quot;:null, &quot;locationimageurl&quot;:null, &quot;_distance&quot;:&quot;10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907847058824&quot;, &quot;url&quot;:null, &quot;postalcode&quot;:&quot;N7M 3H1&quot;, &quot;province&quot;:&quot;ON&quot;, &quot;sustainabilityurl&quot;:null, &quot;hoursmon&quot;:&quot;Please Call&quot;, &quot;longitude&quot;:&quot;-82.2059329411765&quot;, &quot;uid&quot;:-1366162020, &quot;retailerlinkurl&quot;:null, &quot;hourssat&quot;:&quot;Please Call&quot;, &quot;clientkey&quot;:&quot;113408&quot;, &quot;name&quot;:&quot;Chatham-Kent Home Hardware Bldg Ctr&quot;, &quot;locationlinkurl&quot;:null, &quot;address1&quot;:&quot;124 Keil Dr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4-0700&quot;, &quot;address2&quot;:null, &quot;locationimageurl&quot;:null, &quot;_distance&quot;:&quot;14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3907847058824&quot;, &quot;url&quot;:null, &quot;postalcode&quot;:&quot;N7M 3H1&quot;, &quot;province&quot;:&quot;ON&quot;, &quot;sustainabilityurl&quot;:null, &quot;hoursmon&quot;:&quot;Please Call&quot;, &quot;longitude&quot;:&quot;-82.2059329411765&quot;, &quot;uid&quot;:-1366162020, &quot;retailerlinkurl&quot;:null, &quot;hourssat&quot;:&quot;Please Call&quot;, &quot;clientkey&quot;:&quot;113408&quot;, &quot;name&quot;:&quot;Chatham-Kent Home Hardware Bldg Ctr&quot;, &quot;locationlinkurl&quot;:null, &quot;address1&quot;:&quot;124 Keil Dr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4-0700&quot;, &quot;address2&quot;:null, &quot;locationimageurl&quot;:null, &quot;_distance&quot;:&quot;8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068083&quot;, &quot;url&quot;:null, &quot;postalcode&quot;:&quot;N7L 1B5&quot;, &quot;province&quot;:&quot;ON&quot;, &quot;sustainabilityurl&quot;:null, &quot;hoursmon&quot;:&quot;Please Call&quot;, &quot;longitude&quot;:&quot;-82.1923201&quot;, &quot;uid&quot;:400726521, &quot;retailerlinkurl&quot;:null, &quot;hourssat&quot;:&quot;Please Call&quot;, &quot;clientkey&quot;:&quot;157936&quot;, &quot;name&quot;:&quot;ListenUp! Canada&quot;, &quot;locationlinkurl&quot;:null, &quot;address1&quot;:&quot;42 Grand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call2recycle.png&quot;, &quot;phone&quot;:&quot;519-351-1810&quot;, &quot;address2&quot;:null, &quot;locationimageurl&quot;:null, &quot;_distance&quot;:&quot;7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294472916667&quot;, &quot;url&quot;:null, &quot;postalcode&quot;:&quot;N7L 0E8&quot;, &quot;province&quot;:&quot;ON&quot;, &quot;sustainabilityurl&quot;:null, &quot;hoursmon&quot;:&quot;Please Call&quot;, &quot;longitude&quot;:&quot;-82.2177283333333&quot;, &quot;uid&quot;:1947850375, &quot;retailerlinkurl&quot;:null, &quot;hourssat&quot;:&quot;Please Call&quot;, &quot;clientkey&quot;:&quot;68054&quot;, &quot;name&quot;:&quot;Staples&quot;, &quot;locationlinkurl&quot;:null, &quot;address1&quot;:&quot;788 St Clai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staples.png&quot;, &quot;phone&quot;:&quot;519-360-1344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432877979798&quot;, &quot;url&quot;:null, &quot;postalcode&quot;:&quot;N7M 5J1&quot;, &quot;province&quot;:&quot;ON&quot;, &quot;sustainabilityurl&quot;:null, &quot;hoursmon&quot;:&quot;Please Call&quot;, &quot;longitude&quot;:&quot;-82.2240496969697&quot;, &quot;uid&quot;:-1825702053, &quot;retailerlinkurl&quot;:null, &quot;hourssat&quot;:&quot;Please Call&quot;, &quot;clientkey&quot;:&quot;94843&quot;, &quot;name&quot;:&quot;Home Depot&quot;, &quot;locationlinkurl&quot;:null, &quot;address1&quot;:&quot;8582 Pioneer Lin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hatham&quot;, &quot;singleuse&quot;:&quot;Y&quot;, &quot;fax&quot;:null, &quot;country&quot;:&quot;CA&quot;, &quot;logourl&quot;:&quot;http://www.call2recycle.org/notpress/where2getit/homedepot.png&quot;, &quot;phone&quot;:&quot;519-380-2040&quot;, &quot;address2&quot;:null, &quot;locationimageurl&quot;:null, &quot;_distance&quot;:&quot;7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17606666667&quot;, &quot;url&quot;:null, &quot;postalcode&quot;:&quot;N0L 1J0&quot;, &quot;province&quot;:&quot;ON&quot;, &quot;sustainabilityurl&quot;:null, &quot;hoursmon&quot;:&quot;Please Call&quot;, &quot;longitude&quot;:&quot;-81.5026606666667&quot;, &quot;uid&quot;:926967316, &quot;retailerlinkurl&quot;:null, &quot;hourssat&quot;:&quot;Please Call&quot;, &quot;clientkey&quot;:&quot;163505&quot;, &quot;name&quot;:&quot;John Kenneth Galbraith Reference Library&quot;, &quot;locationlinkurl&quot;:null, &quot;address1&quot;:&quot;236 Shacklet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185&quot;, &quot;url&quot;:null, &quot;postalcode&quot;:&quot;N0L 1J0&quot;, &quot;province&quot;:&quot;ON&quot;, &quot;sustainabilityurl&quot;:null, &quot;hoursmon&quot;:&quot;Please Call&quot;, &quot;longitude&quot;:&quot;-81.50551&quot;, &quot;uid&quot;:-521429937, &quot;retailerlinkurl&quot;:null, &quot;hourssat&quot;:&quot;Please Call&quot;, &quot;clientkey&quot;:&quot;163506&quot;, &quot;name&quot;:&quot;Dutton Dunwich Community Centre&quot;, &quot;locationlinkurl&quot;:null, &quot;address1&quot;:&quot;1 Scotla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6374&quot;, &quot;url&quot;:null, &quot;postalcode&quot;:&quot;N0L 1J0&quot;, &quot;province&quot;:&quot;ON&quot;, &quot;sustainabilityurl&quot;:null, &quot;hoursmon&quot;:&quot;Please Call&quot;, &quot;longitude&quot;:&quot;-81.50269&quot;, &quot;uid&quot;:-521429939, &quot;retailerlinkurl&quot;:null, &quot;hourssat&quot;:&quot;Please Call&quot;, &quot;clientkey&quot;:&quot;163310&quot;, &quot;name&quot;:&quot;Municipality of Dutton/Dunwich&quot;, &quot;locationlinkurl&quot;:null, &quot;address1&quot;:&quot;199 Curri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tton&quot;, &quot;singleuse&quot;:&quot;Y&quot;, &quot;fax&quot;:null, &quot;country&quot;:&quot;CA&quot;, &quot;logourl&quot;:&quot;http://www.call2recycle.org/notpress/where2getit/call2recycle.png&quot;, &quot;phone&quot;:&quot;519-762-2204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814763636364&quot;, &quot;url&quot;:null, &quot;postalcode&quot;:&quot;N0L 1Z0&quot;, &quot;province&quot;:&quot;ON&quot;, &quot;sustainabilityurl&quot;:null, &quot;hoursmon&quot;:&quot;Please Call&quot;, &quot;longitude&quot;:&quot;-81.7933845454545&quot;, &quot;uid&quot;:1582784823, &quot;retailerlinkurl&quot;:null, &quot;hourssat&quot;:&quot;Please Call&quot;, &quot;clientkey&quot;:&quot;113053&quot;, &quot;name&quot;:&quot;Mcnaughton Home Hardware Building Centre&quot;, &quot;locationlinkurl&quot;:null, &quot;address1&quot;:&quot;22789 Hagerty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y&quot;, &quot;singleuse&quot;:&quot;Y&quot;, &quot;fax&quot;:null, &quot;country&quot;:&quot;CA&quot;, &quot;logourl&quot;:&quot;http://www.call2recycle.org/notpress/where2getit/call2recycle.png&quot;, &quot;phone&quot;:&quot;519-693-4449&quot;, &quot;address2&quot;:null, &quot;locationimageurl&quot;:null, &quot;_distance&quot;:&quot;10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6846520044148&quot;, &quot;url&quot;:null, &quot;postalcode&quot;:&quot;N0L 1Z0&quot;, &quot;province&quot;:&quot;ON&quot;, &quot;sustainabilityurl&quot;:null, &quot;hoursmon&quot;:&quot;Please Call&quot;, &quot;longitude&quot;:&quot;-81.7995860132445&quot;, &quot;uid&quot;:-270870602, &quot;retailerlinkurl&quot;:null, &quot;hourssat&quot;:&quot;Please Call&quot;, &quot;clientkey&quot;:&quot;126267&quot;, &quot;name&quot;:&quot;Newbury Community Services&quot;, &quot;locationlinkurl&quot;:null, &quot;address1&quot;:&quot;22910 Hagerty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wbury&quot;, &quot;singleuse&quot;:&quot;Y&quot;, &quot;fax&quot;:null, &quot;country&quot;:&quot;CA&quot;, &quot;logourl&quot;:&quot;http://www.call2recycle.org/notpress/where2getit/call2recycle.png&quot;, &quot;phone&quot;:&quot;519-693-4941&quot;, &quot;address2&quot;:null, &quot;locationimageurl&quot;:null, &quot;_distance&quot;:&quot;11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752223&quot;, &quot;url&quot;:null, &quot;postalcode&quot;:&quot;N5R 4M5&quot;, &quot;province&quot;:&quot;ON&quot;, &quot;sustainabilityurl&quot;:null, &quot;hoursmon&quot;:&quot;Please Call&quot;, &quot;longitude&quot;:&quot;-81.1751688&quot;, &quot;uid&quot;:400726412, &quot;retailerlinkurl&quot;:null, &quot;hourssat&quot;:&quot;Please Call&quot;, &quot;clientkey&quot;:&quot;157951&quot;, &quot;name&quot;:&quot;ListenUp! Canada&quot;, &quot;locationlinkurl&quot;:null, &quot;address1&quot;:&quot;24 First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call2recycle.png&quot;, &quot;phone&quot;:&quot;519-633-3330&quot;, &quot;address2&quot;:null, &quot;locationimageurl&quot;:null, &quot;_distance&quot;:&quot;7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7878&quot;, &quot;url&quot;:null, &quot;postalcode&quot;:&quot;N5P 1G4&quot;, &quot;province&quot;:&quot;ON&quot;, &quot;sustainabilityurl&quot;:null, &quot;hoursmon&quot;:&quot;Please Call&quot;, &quot;longitude&quot;:&quot;-81.1723&quot;, &quot;uid&quot;:-76711533, &quot;retailerlinkurl&quot;:null, &quot;hourssat&quot;:&quot;Please Call&quot;, &quot;clientkey&quot;:&quot;142648&quot;, &quot;name&quot;:&quot;Staples&quot;, &quot;locationlinkurl&quot;:null, &quot;address1&quot;:&quot;1063 Talbo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Thomas&quot;, &quot;singleuse&quot;:&quot;Y&quot;, &quot;fax&quot;:null, &quot;country&quot;:&quot;CA&quot;, &quot;logourl&quot;:&quot;http://www.call2recycle.org/notpress/where2getit/staples.png&quot;, &quot;phone&quot;:&quot;519-631-1810&quot;, &quot;address2&quot;:null, &quot;locationimageurl&quot;:null, &quot;_distance&quot;:&quot;7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7846446666667&quot;, &quot;url&quot;:null, &quot;postalcode&quot;:&quot;N0A 1H0&quot;, &quot;province&quot;:&quot;ON&quot;, &quot;sustainabilityurl&quot;:null, &quot;hoursmon&quot;:&quot;Please Call&quot;, &quot;longitude&quot;:&quot;-80.2006908888889&quot;, &quot;uid&quot;:1503277558, &quot;retailerlinkurl&quot;:null, &quot;hourssat&quot;:&quot;Please Call&quot;, &quot;clientkey&quot;:&quot;29265&quot;, &quot;name&quot;:&quot;Sayer Home Hardware Ltd.&quot;, &quot;locationlinkurl&quot;:null, &quot;address1&quot;:&quot;15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gersville&quot;, &quot;singleuse&quot;:&quot;Y&quot;, &quot;fax&quot;:null, &quot;country&quot;:&quot;CA&quot;, &quot;logourl&quot;:&quot;http://www.call2recycle.org/notpress/where2getit/call2recycle.png&quot;, &quot;phone&quot;:&quot;905-768-3431&quot;, &quot;address2&quot;:null, &quot;locationimageurl&quot;:null, &quot;_distance&quot;:&quot;2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141918309859&quot;, &quot;url&quot;:null, &quot;postalcode&quot;:&quot;N0N 1K0&quot;, &quot;province&quot;:&quot;ON&quot;, &quot;sustainabilityurl&quot;:null, &quot;hoursmon&quot;:&quot;Please Call&quot;, &quot;longitude&quot;:&quot;-81.9824474647887&quot;, &quot;uid&quot;:1044141407, &quot;retailerlinkurl&quot;:null, &quot;hourssat&quot;:&quot;Please Call&quot;, &quot;clientkey&quot;:&quot;96431&quot;, &quot;name&quot;:&quot;Gregs Electronics&quot;, &quot;locationlinkurl&quot;:null, &quot;address1&quot;:&quot;3139 Inwoo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nwood&quot;, &quot;singleuse&quot;:&quot;Y&quot;, &quot;fax&quot;:null, &quot;country&quot;:&quot;CA&quot;, &quot;logourl&quot;:&quot;http://www.call2recycle.org/notpress/where2getit/call2recycle.png&quot;, &quot;phone&quot;:&quot;519-844-2442&quot;, &quot;address2&quot;:null, &quot;locationimageurl&quot;:null, &quot;_distance&quot;:&quot;1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3526&quot;, &quot;url&quot;:null, &quot;postalcode&quot;:&quot;N3Y 1S8&quot;, &quot;province&quot;:&quot;ON&quot;, &quot;sustainabilityurl&quot;:null, &quot;hoursmon&quot;:&quot;Please Call&quot;, &quot;longitude&quot;:&quot;-80.31054&quot;, &quot;uid&quot;:400726435, &quot;retailerlinkurl&quot;:null, &quot;hourssat&quot;:&quot;Please Call&quot;, &quot;clientkey&quot;:&quot;157972&quot;, &quot;name&quot;:&quot;ListenUp! Canada&quot;, &quot;locationlinkurl&quot;:null, &quot;address1&quot;:&quot;216 Wes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call2recycle.png&quot;, &quot;phone&quot;:&quot;519-428-1964&quot;, &quot;address2&quot;:null, &quot;locationimageurl&quot;:null, &quot;_distance&quot;:&quot;6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402495&quot;, &quot;url&quot;:null, &quot;postalcode&quot;:&quot;N3Y 4N5&quot;, &quot;province&quot;:&quot;ON&quot;, &quot;sustainabilityurl&quot;:null, &quot;hoursmon&quot;:&quot;Please Call&quot;, &quot;longitude&quot;:&quot;-80.3057285&quot;, &quot;uid&quot;:1006461832, &quot;retailerlinkurl&quot;:null, &quot;hourssat&quot;:&quot;Please Call&quot;, &quot;clientkey&quot;:&quot;167120&quot;, &quot;name&quot;:&quot;Ministry of Agriculture Food and Rural Affairs&quot;, &quot;locationlinkurl&quot;:null, &quot;address1&quot;:&quot;PO Box 587 Stn Mai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call2recycle.png&quot;, &quot;phone&quot;:&quot;519-426-7123&quot;, &quot;address2&quot;:null, &quot;locationimageurl&quot;:null, &quot;_distance&quot;:&quot;6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461&quot;, &quot;url&quot;:null, &quot;postalcode&quot;:&quot;N3Y 2M7&quot;, &quot;province&quot;:&quot;ON&quot;, &quot;sustainabilityurl&quot;:null, &quot;hoursmon&quot;:&quot;Please Call&quot;, &quot;longitude&quot;:&quot;-80.30788&quot;, &quot;uid&quot;:1697151230, &quot;retailerlinkurl&quot;:null, &quot;hourssat&quot;:&quot;Please Call&quot;, &quot;clientkey&quot;:&quot;126720&quot;, &quot;name&quot;:&quot;Staples&quot;, &quot;locationlinkurl&quot;:null, &quot;address1&quot;:&quot;17 Queensway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imcoe&quot;, &quot;singleuse&quot;:&quot;Y&quot;, &quot;fax&quot;:null, &quot;country&quot;:&quot;CA&quot;, &quot;logourl&quot;:&quot;http://www.call2recycle.org/notpress/where2getit/staples.png&quot;, &quot;phone&quot;:&quot;519-426-4060&quot;, &quot;address2&quot;:null, &quot;locationimageurl&quot;:null, &quot;_distance&quot;:&quot;6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6217&quot;, &quot;url&quot;:null, &quot;postalcode&quot;:&quot;N4G 5A7&quot;, &quot;province&quot;:&quot;ON&quot;, &quot;sustainabilityurl&quot;:null, &quot;hoursmon&quot;:&quot;Please Call&quot;, &quot;longitude&quot;:&quot;-80.72937&quot;, &quot;uid&quot;:1697151341, &quot;retailerlinkurl&quot;:null, &quot;hourssat&quot;:&quot;Please Call&quot;, &quot;clientkey&quot;:&quot;102527&quot;, &quot;name&quot;:&quot;Staples&quot;, &quot;locationlinkurl&quot;:null, &quot;address1&quot;:&quot;200 Broadway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staples.png&quot;, &quot;phone&quot;:&quot;519-688-2196&quot;, &quot;address2&quot;:null, &quot;locationimageurl&quot;:null, &quot;_distance&quot;:&quot;11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86217&quot;, &quot;url&quot;:null, &quot;postalcode&quot;:&quot;N4G 5A7&quot;, &quot;province&quot;:&quot;ON&quot;, &quot;sustainabilityurl&quot;:null, &quot;hoursmon&quot;:&quot;Please Call&quot;, &quot;longitude&quot;:&quot;-80.72937&quot;, &quot;uid&quot;:1697151341, &quot;retailerlinkurl&quot;:null, &quot;hourssat&quot;:&quot;Please Call&quot;, &quot;clientkey&quot;:&quot;102527&quot;, &quot;name&quot;:&quot;Staples&quot;, &quot;locationlinkurl&quot;:null, &quot;address1&quot;:&quot;200 Broadway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llsonburg&quot;, &quot;singleuse&quot;:&quot;Y&quot;, &quot;fax&quot;:null, &quot;country&quot;:&quot;CA&quot;, &quot;logourl&quot;:&quot;http://www.call2recycle.org/notpress/where2getit/staples.png&quot;, &quot;phone&quot;:&quot;519-688-2196&quot;, &quot;address2&quot;:null, &quot;locationimageurl&quot;:null, &quot;_distance&quot;:&quot;12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054554117228&quot;, &quot;url&quot;:null, &quot;postalcode&quot;:&quot;L2A 1N2&quot;, &quot;province&quot;:&quot;ON&quot;, &quot;sustainabilityurl&quot;:null, &quot;hoursmon&quot;:&quot;Please Call&quot;, &quot;longitude&quot;:&quot;-78.9321407083533&quot;, &quot;uid&quot;:1503278120, &quot;retailerlinkurl&quot;:null, &quot;hourssat&quot;:&quot;Please Call&quot;, &quot;clientkey&quot;:&quot;114807&quot;, &quot;name&quot;:&quot;Beatties Basics&quot;, &quot;locationlinkurl&quot;:null, &quot;address1&quot;:&quot;458 Garri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rt Erie&quot;, &quot;singleuse&quot;:&quot;Y&quot;, &quot;fax&quot;:null, &quot;country&quot;:&quot;CA&quot;, &quot;logourl&quot;:&quot;http://www.call2recycle.org/notpress/where2getit/call2recycle.png&quot;, &quot;phone&quot;:&quot;905-871-7030&quot;, &quot;address2&quot;:null, &quot;locationimageurl&quot;:null, &quot;_distance&quot;:&quot;7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0567&quot;, &quot;url&quot;:null, &quot;postalcode&quot;:&quot;L2A 1M4&quot;, &quot;province&quot;:&quot;ON&quot;, &quot;sustainabilityurl&quot;:null, &quot;hoursmon&quot;:&quot;Please Call&quot;, &quot;longitude&quot;:&quot;-78.91845&quot;, &quot;uid&quot;:400726472, &quot;retailerlinkurl&quot;:null, &quot;hourssat&quot;:&quot;Please Call&quot;, &quot;clientkey&quot;:&quot;158009&quot;, &quot;name&quot;:&quot;ListenUp! Canada&quot;, &quot;locationlinkurl&quot;:null, &quot;address1&quot;:&quot;168 Garris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Fort Erie&quot;, &quot;singleuse&quot;:&quot;Y&quot;, &quot;fax&quot;:null, &quot;country&quot;:&quot;CA&quot;, &quot;logourl&quot;:&quot;http://www.call2recycle.org/notpress/where2getit/call2recycle.png&quot;, &quot;phone&quot;:&quot;905-991-0647&quot;, &quot;address2&quot;:null, &quot;locationimageurl&quot;:null, &quot;_distance&quot;:&quot;7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48020437138&quot;, &quot;url&quot;:null, &quot;postalcode&quot;:&quot;N6E 2Z2&quot;, &quot;province&quot;:&quot;ON&quot;, &quot;sustainabilityurl&quot;:null, &quot;hoursmon&quot;:&quot;Please Call&quot;, &quot;longitude&quot;:&quot;-81.2291344937418&quot;, &quot;uid&quot;:677051357, &quot;retailerlinkurl&quot;:null, &quot;hourssat&quot;:&quot;Please Call&quot;, &quot;clientkey&quot;:&quot;169701&quot;, &quot;name&quot;:&quot;Princess Auto&quot;, &quot;locationlinkurl&quot;:null, &quot;address1&quot;:&quot;583 Exet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PrincessAuto_150x150.png&quot;, &quot;phone&quot;:&quot;519-649-7001&quot;, &quot;address2&quot;:null, &quot;locationimageurl&quot;:null, &quot;_distance&quot;:&quot;6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7951232845&quot;, &quot;url&quot;:null, &quot;postalcode&quot;:&quot;N6E 1M3&quot;, &quot;province&quot;:&quot;ON&quot;, &quot;sustainabilityurl&quot;:null, &quot;hoursmon&quot;:&quot;Please Call&quot;, &quot;longitude&quot;:&quot;-81.2188128202866&quot;, &quot;uid&quot;:778812599, &quot;retailerlinkurl&quot;:null, &quot;hourssat&quot;:&quot;Please Call&quot;, &quot;clientkey&quot;:&quot;162171&quot;, &quot;name&quot;:&quot;Mountain Equipment Co-op&quot;, &quot;locationlinkurl&quot;:null, &quot;address1&quot;:&quot;1230 Welling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7734&quot;, &quot;address2&quot;:null, &quot;locationimageurl&quot;:null, &quot;_distance&quot;:&quot;1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27951232845&quot;, &quot;url&quot;:null, &quot;postalcode&quot;:&quot;N6E 1M3&quot;, &quot;province&quot;:&quot;ON&quot;, &quot;sustainabilityurl&quot;:null, &quot;hoursmon&quot;:&quot;Please Call&quot;, &quot;longitude&quot;:&quot;-81.2188128202866&quot;, &quot;uid&quot;:778812599, &quot;retailerlinkurl&quot;:null, &quot;hourssat&quot;:&quot;Please Call&quot;, &quot;clientkey&quot;:&quot;162171&quot;, &quot;name&quot;:&quot;Mountain Equipment Co-op&quot;, &quot;locationlinkurl&quot;:null, &quot;address1&quot;:&quot;1230 Welling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7734&quot;, &quot;address2&quot;:null, &quot;locationimageurl&quot;:null, &quot;_distance&quot;:&quot;6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354&quot;, &quot;url&quot;:null, &quot;postalcode&quot;:&quot;N6E 1M2&quot;, &quot;province&quot;:&quot;ON&quot;, &quot;sustainabilityurl&quot;:null, &quot;hoursmon&quot;:&quot;Please Call&quot;, &quot;longitude&quot;:&quot;-81.22307&quot;, &quot;uid&quot;:89280209, &quot;retailerlinkurl&quot;:null, &quot;hourssat&quot;:&quot;Please Call&quot;, &quot;clientkey&quot;:&quot;132740&quot;, &quot;name&quot;:&quot;Best Buy&quot;, &quot;locationlinkurl&quot;:null, &quot;address1&quot;:&quot;1080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519-686-2160&quot;, &quot;address2&quot;:null, &quot;locationimageurl&quot;:null, &quot;_distance&quot;:&quot;6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6906337748&quot;, &quot;url&quot;:null, &quot;postalcode&quot;:&quot;N6L 1A6&quot;, &quot;province&quot;:&quot;ON&quot;, &quot;sustainabilityurl&quot;:null, &quot;hoursmon&quot;:&quot;Please Call&quot;, &quot;longitude&quot;:&quot;-81.2809181670529&quot;, &quot;uid&quot;:1525169929, &quot;retailerlinkurl&quot;:null, &quot;hourssat&quot;:&quot;Please Call&quot;, &quot;clientkey&quot;:&quot;102516&quot;, &quot;name&quot;:&quot;Staples&quot;, &quot;locationlinkurl&quot;:null, &quot;address1&quot;:&quot;3080 Wonderland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90-2049&quot;, &quot;address2&quot;:null, &quot;locationimageurl&quot;:null, &quot;_distance&quot;:&quot;6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705&quot;, &quot;url&quot;:null, &quot;postalcode&quot;:&quot;N6P 0C6&quot;, &quot;province&quot;:&quot;ON&quot;, &quot;sustainabilityurl&quot;:null, &quot;hoursmon&quot;:&quot;Please Call&quot;, &quot;longitude&quot;:&quot;-81.3083131428571&quot;, &quot;uid&quot;:959135451, &quot;retailerlinkurl&quot;:null, &quot;hourssat&quot;:&quot;Please Call&quot;, &quot;clientkey&quot;:&quot;154672&quot;, &quot;name&quot;:&quot;FCC&quot;, &quot;locationlinkurl&quot;:null, &quot;address1&quot;:&quot;835 Southdale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1-2179&quot;, &quot;address2&quot;:null, &quot;locationimageurl&quot;:null, &quot;_distance&quot;:&quot;6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81032981888&quot;, &quot;url&quot;:null, &quot;postalcode&quot;:&quot;N6L 1R4&quot;, &quot;province&quot;:&quot;ON&quot;, &quot;sustainabilityurl&quot;:null, &quot;hoursmon&quot;:&quot;Please Call&quot;, &quot;longitude&quot;:&quot;-81.2811966905401&quot;, &quot;uid&quot;:1182174823, &quot;retailerlinkurl&quot;:null, &quot;hourssat&quot;:&quot;Please Call&quot;, &quot;clientkey&quot;:&quot;43547&quot;, &quot;name&quot;:&quot;Home Depot&quot;, &quot;locationlinkurl&quot;:null, &quot;address1&quot;:&quot;3035 Wonderland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691-1400&quot;, &quot;address2&quot;:null, &quot;locationimageurl&quot;:null, &quot;_distance&quot;:&quot;6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3903125&quot;, &quot;url&quot;:null, &quot;postalcode&quot;:&quot;N6J 4G8&quot;, &quot;province&quot;:&quot;ON&quot;, &quot;sustainabilityurl&quot;:null, &quot;hoursmon&quot;:&quot;Please Call&quot;, &quot;longitude&quot;:&quot;-81.2812578125&quot;, &quot;uid&quot;:400726432, &quot;retailerlinkurl&quot;:null, &quot;hourssat&quot;:&quot;Please Call&quot;, &quot;clientkey&quot;:&quot;157970&quot;, &quot;name&quot;:&quot;ListenUp! Canada&quot;, &quot;locationlinkurl&quot;:null, &quot;address1&quot;:&quot;379 Southdale Rd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8-6279&quot;, &quot;address2&quot;:null, &quot;locationimageurl&quot;:null, &quot;_distance&quot;:&quot;6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470654794521&quot;, &quot;url&quot;:null, &quot;postalcode&quot;:&quot;N7G 2P5&quot;, &quot;province&quot;:&quot;ON&quot;, &quot;sustainabilityurl&quot;:null, &quot;hoursmon&quot;:&quot;Please Call&quot;, &quot;longitude&quot;:&quot;-81.6128139726027&quot;, &quot;uid&quot;:1616638466, &quot;retailerlinkurl&quot;:null, &quot;hourssat&quot;:&quot;Please Call&quot;, &quot;clientkey&quot;:&quot;106095&quot;, &quot;name&quot;:&quot;Staples&quot;, &quot;locationlinkurl&quot;:null, &quot;address1&quot;:&quot;425 Caradoc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rathroy&quot;, &quot;singleuse&quot;:&quot;Y&quot;, &quot;fax&quot;:null, &quot;country&quot;:&quot;CA&quot;, &quot;logourl&quot;:&quot;http://www.call2recycle.org/notpress/where2getit/staples.png&quot;, &quot;phone&quot;:&quot;519-245-5665&quot;, &quot;address2&quot;:null, &quot;locationimageurl&quot;:null, &quot;_distance&quot;:&quot;1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590421810257&quot;, &quot;url&quot;:null, &quot;postalcode&quot;:&quot;N0N 1T0&quot;, &quot;province&quot;:&quot;ON&quot;, &quot;sustainabilityurl&quot;:null, &quot;hoursmon&quot;:&quot;Please Call&quot;, &quot;longitude&quot;:&quot;-82.1184700008745&quot;, &quot;uid&quot;:1923338464, &quot;retailerlinkurl&quot;:null, &quot;hourssat&quot;:&quot;Please Call&quot;, &quot;clientkey&quot;:&quot;105907&quot;, &quot;name&quot;:&quot;Lambton County Administration Building&quot;, &quot;locationlinkurl&quot;:null, &quot;address1&quot;:&quot;789 Broadwa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yoming&quot;, &quot;singleuse&quot;:&quot;Y&quot;, &quot;fax&quot;:null, &quot;country&quot;:&quot;CA&quot;, &quot;logourl&quot;:&quot;http://www.call2recycle.org/notpress/where2getit/call2recycle.png&quot;, &quot;phone&quot;:&quot;519-845-0801&quot;, &quot;address2&quot;:null, &quot;locationimageurl&quot;:null, &quot;_distance&quot;:&quot;14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0192&quot;, &quot;url&quot;:null, &quot;postalcode&quot;:&quot;N7S 5P1&quot;, &quot;province&quot;:&quot;ON&quot;, &quot;sustainabilityurl&quot;:null, &quot;hoursmon&quot;:&quot;Please Call&quot;, &quot;longitude&quot;:&quot;-82.357514&quot;, &quot;uid&quot;:1182192337, &quot;retailerlinkurl&quot;:null, &quot;hourssat&quot;:&quot;Please Call&quot;, &quot;clientkey&quot;:&quot;45206&quot;, &quot;name&quot;:&quot;Spectrum Communications&quot;, &quot;locationlinkurl&quot;:null, &quot;address1&quot;:&quot;1361 Confederati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call2recycle.png&quot;, &quot;phone&quot;:&quot;519-332-4224&quot;, &quot;address2&quot;:null, &quot;locationimageurl&quot;:null, &quot;_distance&quot;:&quot;13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15917315216&quot;, &quot;url&quot;:null, &quot;postalcode&quot;:&quot;N5Z 3L1&quot;, &quot;province&quot;:&quot;ON&quot;, &quot;sustainabilityurl&quot;:null, &quot;hoursmon&quot;:&quot;Please Call&quot;, &quot;longitude&quot;:&quot;-81.2186812885449&quot;, &quot;uid&quot;:1561147260, &quot;retailerlinkurl&quot;:null, &quot;hourssat&quot;:&quot;Please Call&quot;, &quot;clientkey&quot;:&quot;72917&quot;, &quot;name&quot;:&quot;DeWalt Factory Service (Canada)&quot;, &quot;locationlinkurl&quot;:null, &quot;address1&quot;:&quot;270 Adelaide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49-2407&quot;, &quot;address2&quot;:null, &quot;locationimageurl&quot;:null, &quot;_distance&quot;:&quot;14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15917315216&quot;, &quot;url&quot;:null, &quot;postalcode&quot;:&quot;N5Z 3L1&quot;, &quot;province&quot;:&quot;ON&quot;, &quot;sustainabilityurl&quot;:null, &quot;hoursmon&quot;:&quot;Please Call&quot;, &quot;longitude&quot;:&quot;-81.2186812885449&quot;, &quot;uid&quot;:1561147260, &quot;retailerlinkurl&quot;:null, &quot;hourssat&quot;:&quot;Please Call&quot;, &quot;clientkey&quot;:&quot;72917&quot;, &quot;name&quot;:&quot;DeWalt Factory Service (Canada)&quot;, &quot;locationlinkurl&quot;:null, &quot;address1&quot;:&quot;270 Adelaide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49-2407&quot;, &quot;address2&quot;:null, &quot;locationimageurl&quot;:null, &quot;_distance&quot;:&quot;8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6328&quot;, &quot;url&quot;:null, &quot;postalcode&quot;:&quot;N6C 4P6&quot;, &quot;province&quot;:&quot;ON&quot;, &quot;sustainabilityurl&quot;:null, &quot;hoursmon&quot;:&quot;Please Call&quot;, &quot;longitude&quot;:&quot;-81.23147&quot;, &quot;uid&quot;:1618865818, &quot;retailerlinkurl&quot;:null, &quot;hourssat&quot;:&quot;Please Call&quot;, &quot;clientkey&quot;:&quot;68073&quot;, &quot;name&quot;:&quot;Staples&quot;, &quot;locationlinkurl&quot;:null, &quot;address1&quot;:&quot;332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45-7042&quot;, &quot;address2&quot;:null, &quot;locationimageurl&quot;:null, &quot;_distance&quot;:&quot;8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13077777778&quot;, &quot;url&quot;:null, &quot;postalcode&quot;:&quot;N6C 4Y7&quot;, &quot;province&quot;:&quot;ON&quot;, &quot;sustainabilityurl&quot;:null, &quot;hoursmon&quot;:&quot;Please Call&quot;, &quot;longitude&quot;:&quot;-81.2523133333333&quot;, &quot;uid&quot;:403245227, &quot;retailerlinkurl&quot;:null, &quot;hourssat&quot;:&quot;Please Call&quot;, &quot;clientkey&quot;:&quot;112443&quot;, &quot;name&quot;:&quot;Pharmasave&quot;, &quot;locationlinkurl&quot;:null, &quot;address1&quot;:&quot;190 Wortley Rd Unit 20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438-6600&quot;, &quot;address2&quot;:null, &quot;locationimageurl&quot;:null, &quot;_distance&quot;:&quot;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24794444444&quot;, &quot;url&quot;:null, &quot;postalcode&quot;:&quot;N6E 3V8&quot;, &quot;province&quot;:&quot;ON&quot;, &quot;sustainabilityurl&quot;:null, &quot;hoursmon&quot;:&quot;Please Call&quot;, &quot;longitude&quot;:&quot;-81.2382733333333&quot;, &quot;uid&quot;:1182185916, &quot;retailerlinkurl&quot;:null, &quot;hourssat&quot;:&quot;Please Call&quot;, &quot;clientkey&quot;:&quot;75375&quot;, &quot;name&quot;:&quot;Henrys&quot;, &quot;locationlinkurl&quot;:null, &quot;address1&quot;:&quot;19-1070 Welling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6-7481&quot;, &quot;address2&quot;:null, &quot;locationimageurl&quot;:null, &quot;_distance&quot;:&quot;9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51614941291&quot;, &quot;url&quot;:null, &quot;postalcode&quot;:&quot;N6B 2K4&quot;, &quot;province&quot;:&quot;ON&quot;, &quot;sustainabilityurl&quot;:null, &quot;hoursmon&quot;:&quot;Please Call&quot;, &quot;longitude&quot;:&quot;-81.2403128906191&quot;, &quot;uid&quot;:1182199081, &quot;retailerlinkurl&quot;:null, &quot;hourssat&quot;:&quot;Please Call&quot;, &quot;clientkey&quot;:&quot;32997&quot;, &quot;name&quot;:&quot;Spectrum Communications&quot;, &quot;locationlinkurl&quot;:null, &quot;address1&quot;:&quot;79 Wellingt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3-2109&quot;, &quot;address2&quot;:null, &quot;locationimageurl&quot;:null, &quot;_distance&quot;:&quot;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751614941291&quot;, &quot;url&quot;:null, &quot;postalcode&quot;:&quot;N6B 2K4&quot;, &quot;province&quot;:&quot;ON&quot;, &quot;sustainabilityurl&quot;:null, &quot;hoursmon&quot;:&quot;Please Call&quot;, &quot;longitude&quot;:&quot;-81.2403128906191&quot;, &quot;uid&quot;:670810639, &quot;retailerlinkurl&quot;:null, &quot;hourssat&quot;:&quot;Please Call&quot;, &quot;clientkey&quot;:&quot;63119&quot;, &quot;name&quot;:&quot;Forest City Communications Ltd.&quot;, &quot;locationlinkurl&quot;:null, &quot;address1&quot;:&quot;79 Wellingt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86-3046&quot;, &quot;address2&quot;:null, &quot;locationimageurl&quot;:null, &quot;_distance&quot;:&quot;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3011111111&quot;, &quot;url&quot;:null, &quot;postalcode&quot;:&quot;N7S 6L7&quot;, &quot;province&quot;:&quot;ON&quot;, &quot;sustainabilityurl&quot;:null, &quot;hoursmon&quot;:&quot;Please Call&quot;, &quot;longitude&quot;:&quot;-82.3531288888889&quot;, &quot;uid&quot;:412422153, &quot;retailerlinkurl&quot;:null, &quot;hourssat&quot;:&quot;Please Call&quot;, &quot;clientkey&quot;:&quot;75461&quot;, &quot;name&quot;:&quot;Sears (Canada)&quot;, &quot;locationlinkurl&quot;:null, &quot;address1&quot;:&quot;1380 Lond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ears.png&quot;, &quot;phone&quot;:&quot;519-542-2121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41&quot;, &quot;url&quot;:null, &quot;postalcode&quot;:&quot;N7S 1P6&quot;, &quot;province&quot;:&quot;ON&quot;, &quot;sustainabilityurl&quot;:null, &quot;hoursmon&quot;:&quot;Please Call&quot;, &quot;longitude&quot;:&quot;-82.35197&quot;, &quot;uid&quot;:-1390063782, &quot;retailerlinkurl&quot;:null, &quot;hourssat&quot;:&quot;Please Call&quot;, &quot;clientkey&quot;:&quot;159752&quot;, &quot;name&quot;:&quot;Staples Canada&quot;, &quot;locationlinkurl&quot;:null, &quot;address1&quot;:&quot;1379 London Rd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taples.png&quot;, &quot;phone&quot;:&quot;519-542-3639&quot;, &quot;address2&quot;:null, &quot;locationimageurl&quot;:null, &quot;_distance&quot;:&quot;14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8041&quot;, &quot;url&quot;:null, &quot;postalcode&quot;:&quot;N7S 1P6&quot;, &quot;province&quot;:&quot;ON&quot;, &quot;sustainabilityurl&quot;:null, &quot;hoursmon&quot;:&quot;Please Call&quot;, &quot;longitude&quot;:&quot;-82.35197&quot;, &quot;uid&quot;:1690093540, &quot;retailerlinkurl&quot;:null, &quot;hourssat&quot;:&quot;Please Call&quot;, &quot;clientkey&quot;:&quot;68009&quot;, &quot;name&quot;:&quot;Staples&quot;, &quot;locationlinkurl&quot;:null, &quot;address1&quot;:&quot;1379 Lond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rnia&quot;, &quot;singleuse&quot;:&quot;Y&quot;, &quot;fax&quot;:null, &quot;country&quot;:&quot;CA&quot;, &quot;logourl&quot;:&quot;http://www.call2recycle.org/notpress/where2getit/staples.png&quot;, &quot;phone&quot;:&quot;519-542-4461&quot;, &quot;address2&quot;:null, &quot;locationimageurl&quot;:null, &quot;_distance&quot;:&quot;14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10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22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222&quot;, &quot;url&quot;:null, &quot;postalcode&quot;:&quot;L3B 3W5&quot;, &quot;province&quot;:&quot;ON&quot;, &quot;sustainabilityurl&quot;:null, &quot;hoursmon&quot;:&quot;Please Call&quot;, &quot;longitude&quot;:&quot;-79.24764&quot;, &quot;uid&quot;:406327122, &quot;retailerlinkurl&quot;:null, &quot;hourssat&quot;:&quot;Please Call&quot;, &quot;clientkey&quot;:&quot;158021&quot;, &quot;name&quot;:&quot;ListenUp! Canada&quot;, &quot;locationlinkurl&quot;:null, &quot;address1&quot;:&quot;111 East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4-7300&quot;, &quot;address2&quot;:null, &quot;locationimageurl&quot;:null, &quot;_distance&quot;:&quot;9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10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22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2.9940204820926&quot;, &quot;url&quot;:null, &quot;postalcode&quot;:&quot;L3B 5X6&quot;, &quot;province&quot;:&quot;ON&quot;, &quot;sustainabilityurl&quot;:null, &quot;hoursmon&quot;:&quot;Please Call&quot;, &quot;longitude&quot;:&quot;-79.249069578359&quot;, &quot;uid&quot;:985609746, &quot;retailerlinkurl&quot;:null, &quot;hourssat&quot;:&quot;Please Call&quot;, &quot;clientkey&quot;:&quot;163286&quot;, &quot;name&quot;:&quot;Ontario Public Service&quot;, &quot;locationlinkurl&quot;:null, &quot;address1&quot;:&quot;3 Cros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call2recycle.png&quot;, &quot;phone&quot;:&quot;905-735-1660&quot;, &quot;address2&quot;:null, &quot;locationimageurl&quot;:null, &quot;_distance&quot;:&quot;9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26&quot;, &quot;url&quot;:null, &quot;postalcode&quot;:&quot;N5V 1P7&quot;, &quot;province&quot;:&quot;ON&quot;, &quot;sustainabilityurl&quot;:null, &quot;hoursmon&quot;:&quot;Please Call&quot;, &quot;longitude&quot;:&quot;-81.17402&quot;, &quot;uid&quot;:-2116054293, &quot;retailerlinkurl&quot;:null, &quot;hourssat&quot;:&quot;Please Call&quot;, &quot;clientkey&quot;:&quot;140263&quot;, &quot;name&quot;:&quot;Staples&quot;, &quot;locationlinkurl&quot;:null, &quot;address1&quot;:&quot;1925 Dunda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59-3428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26&quot;, &quot;url&quot;:null, &quot;postalcode&quot;:&quot;N5V 1P7&quot;, &quot;province&quot;:&quot;ON&quot;, &quot;sustainabilityurl&quot;:null, &quot;hoursmon&quot;:&quot;Please Call&quot;, &quot;longitude&quot;:&quot;-81.17402&quot;, &quot;uid&quot;:-2116054293, &quot;retailerlinkurl&quot;:null, &quot;hourssat&quot;:&quot;Please Call&quot;, &quot;clientkey&quot;:&quot;140263&quot;, &quot;name&quot;:&quot;Staples&quot;, &quot;locationlinkurl&quot;:null, &quot;address1&quot;:&quot;1925 Dunda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59-3428&quot;, &quot;address2&quot;:null, &quot;locationimageurl&quot;:null, &quot;_distance&quot;:&quot;1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564&quot;, &quot;url&quot;:null, &quot;postalcode&quot;:&quot;N6H 5L8&quot;, &quot;province&quot;:&quot;ON&quot;, &quot;sustainabilityurl&quot;:null, &quot;hoursmon&quot;:&quot;Please Call&quot;, &quot;longitude&quot;:&quot;-81.34093&quot;, &quot;uid&quot;:-671996288, &quot;retailerlinkurl&quot;:null, &quot;hourssat&quot;:&quot;Please Call&quot;, &quot;clientkey&quot;:&quot;162494&quot;, &quot;name&quot;:&quot;Andersons Electronics Inc&quot;, &quot;locationlinkurl&quot;:null, &quot;address1&quot;:&quot;1-2018 Mallard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57-2063&quot;, &quot;address2&quot;:null, &quot;locationimageurl&quot;:null, &quot;_distance&quot;:&quot;11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669&quot;, &quot;url&quot;:null, &quot;postalcode&quot;:&quot;N5W 6H1&quot;, &quot;province&quot;:&quot;ON&quot;, &quot;sustainabilityurl&quot;:null, &quot;hoursmon&quot;:&quot;Please Call&quot;, &quot;longitude&quot;:&quot;-81.1768&quot;, &quot;uid&quot;:1182190078, &quot;retailerlinkurl&quot;:null, &quot;hourssat&quot;:&quot;Please Call&quot;, &quot;clientkey&quot;:&quot;103017&quot;, &quot;name&quot;:&quot;Home Depot&quot;, &quot;locationlinkurl&quot;:null, &quot;address1&quot;:&quot;448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457-5800&quot;, &quot;address2&quot;:null, &quot;locationimageurl&quot;:null, &quot;_distance&quot;:&quot;12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0669&quot;, &quot;url&quot;:null, &quot;postalcode&quot;:&quot;N5W 6H1&quot;, &quot;province&quot;:&quot;ON&quot;, &quot;sustainabilityurl&quot;:null, &quot;hoursmon&quot;:&quot;Please Call&quot;, &quot;longitude&quot;:&quot;-81.1768&quot;, &quot;uid&quot;:1182190078, &quot;retailerlinkurl&quot;:null, &quot;hourssat&quot;:&quot;Please Call&quot;, &quot;clientkey&quot;:&quot;103017&quot;, &quot;name&quot;:&quot;Home Depot&quot;, &quot;locationlinkurl&quot;:null, &quot;address1&quot;:&quot;448 Clark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457-5800&quot;, &quot;address2&quot;:null, &quot;locationimageurl&quot;:null, &quot;_distance&quot;:&quot;13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158&quot;, &quot;url&quot;:null, &quot;postalcode&quot;:&quot;N6G 0E3&quot;, &quot;province&quot;:&quot;ON&quot;, &quot;sustainabilityurl&quot;:null, &quot;hoursmon&quot;:&quot;Please Call&quot;, &quot;longitude&quot;:&quot;-81.33416&quot;, &quot;uid&quot;:1522034744, &quot;retailerlinkurl&quot;:null, &quot;hourssat&quot;:&quot;Please Call&quot;, &quot;clientkey&quot;:&quot;135082&quot;, &quot;name&quot;:&quot;Lowes&quot;, &quot;locationlinkurl&quot;:null, &quot;address1&quot;:&quot;1335 Fanshawe Park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lowes.png&quot;, &quot;phone&quot;:&quot;--&quot;, &quot;address2&quot;:null, &quot;locationimageurl&quot;:null, &quot;_distance&quot;:&quot;11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23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479&quot;, &quot;url&quot;:null, &quot;postalcode&quot;:&quot;L3C 5Z4&quot;, &quot;province&quot;:&quot;ON&quot;, &quot;sustainabilityurl&quot;:null, &quot;hoursmon&quot;:&quot;Please Call&quot;, &quot;longitude&quot;:&quot;-79.24987&quot;, &quot;uid&quot;:1693895280, &quot;retailerlinkurl&quot;:null, &quot;hourssat&quot;:&quot;Please Call&quot;, &quot;clientkey&quot;:&quot;68032&quot;, &quot;name&quot;:&quot;Staples&quot;, &quot;locationlinkurl&quot;:null, &quot;address1&quot;:&quot;Seaway Mall 800 Niagar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elland&quot;, &quot;singleuse&quot;:&quot;Y&quot;, &quot;fax&quot;:null, &quot;country&quot;:&quot;CA&quot;, &quot;logourl&quot;:&quot;http://www.call2recycle.org/notpress/where2getit/staples.png&quot;, &quot;phone&quot;:&quot;905-714-7607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1705&quot;, &quot;url&quot;:null, &quot;postalcode&quot;:&quot;N6G 3Y9&quot;, &quot;province&quot;:&quot;ON&quot;, &quot;sustainabilityurl&quot;:null, &quot;hoursmon&quot;:&quot;Please Call&quot;, &quot;longitude&quot;:&quot;-81.27336&quot;, &quot;uid&quot;:341261759, &quot;retailerlinkurl&quot;:null, &quot;hourssat&quot;:&quot;Please Call&quot;, &quot;clientkey&quot;:&quot;159875&quot;, &quot;name&quot;:&quot;Best Buy&quot;, &quot;locationlinkurl&quot;:null, &quot;address1&quot;:&quot;Richmon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1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254633333333&quot;, &quot;url&quot;:null, &quot;postalcode&quot;:&quot;N6G 2N3&quot;, &quot;province&quot;:&quot;ON&quot;, &quot;sustainabilityurl&quot;:null, &quot;hoursmon&quot;:&quot;Please Call&quot;, &quot;longitude&quot;:&quot;-81.2820055555556&quot;, &quot;uid&quot;:941812245, &quot;retailerlinkurl&quot;:null, &quot;hourssat&quot;:&quot;Please Call&quot;, &quot;clientkey&quot;:&quot;157947&quot;, &quot;name&quot;:&quot;ListenUp! Canada&quot;, &quot;locationlinkurl&quot;:null, &quot;address1&quot;:&quot;1673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call2recycle.png&quot;, &quot;phone&quot;:&quot;519-667-0303&quot;, &quot;address2&quot;:null, &quot;locationimageurl&quot;:null, &quot;_distance&quot;:&quot;12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277044897959&quot;, &quot;url&quot;:null, &quot;postalcode&quot;:&quot;N5X 3Y2&quot;, &quot;province&quot;:&quot;ON&quot;, &quot;sustainabilityurl&quot;:null, &quot;hoursmon&quot;:&quot;Please Call&quot;, &quot;longitude&quot;:&quot;-81.2831842857143&quot;, &quot;uid&quot;:1697151372, &quot;retailerlinkurl&quot;:null, &quot;hourssat&quot;:&quot;Please Call&quot;, &quot;clientkey&quot;:&quot;68071&quot;, &quot;name&quot;:&quot;Staples&quot;, &quot;locationlinkurl&quot;:null, &quot;address1&quot;:&quot;1737 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staples.png&quot;, &quot;phone&quot;:&quot;519-661-0888&quot;, &quot;address2&quot;:null, &quot;locationimageurl&quot;:null, &quot;_distance&quot;:&quot;12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34694137931&quot;, &quot;url&quot;:null, &quot;postalcode&quot;:&quot;N5X 1L1&quot;, &quot;province&quot;:&quot;ON&quot;, &quot;sustainabilityurl&quot;:null, &quot;hoursmon&quot;:&quot;Please Call&quot;, &quot;longitude&quot;:&quot;-81.2553737931034&quot;, &quot;uid&quot;:1182192410, &quot;retailerlinkurl&quot;:null, &quot;hourssat&quot;:&quot;Please Call&quot;, &quot;clientkey&quot;:&quot;43546&quot;, &quot;name&quot;:&quot;Home Depot&quot;, &quot;locationlinkurl&quot;:null, &quot;address1&quot;:&quot;600 Fanshawe Park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homedepot.png&quot;, &quot;phone&quot;:&quot;519-850-5900&quot;, &quot;address2&quot;:null, &quot;locationimageurl&quot;:null, &quot;_distance&quot;:&quot;13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3662&quot;, &quot;url&quot;:null, &quot;postalcode&quot;:&quot;N5X 3Y2&quot;, &quot;province&quot;:&quot;ON&quot;, &quot;sustainabilityurl&quot;:null, &quot;hoursmon&quot;:&quot;Please Call&quot;, &quot;longitude&quot;:&quot;-81.28786&quot;, &quot;uid&quot;:983606375, &quot;retailerlinkurl&quot;:null, &quot;hourssat&quot;:&quot;Please Call&quot;, &quot;clientkey&quot;:&quot;132730&quot;, &quot;name&quot;:&quot;Best Buy&quot;, &quot;locationlinkurl&quot;:null, &quot;address1&quot;:&quot;Richmon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ondon&quot;, &quot;singleuse&quot;:&quot;Y&quot;, &quot;fax&quot;:null, &quot;country&quot;:&quot;CA&quot;, &quot;logourl&quot;:&quot;http://www.call2recycle.org/notpress/where2getit/bestbuy.png&quot;, &quot;phone&quot;:&quot;519-963-8494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405984210526&quot;, &quot;url&quot;:null, &quot;postalcode&quot;:&quot;N5C 4B1&quot;, &quot;province&quot;:&quot;ON&quot;, &quot;sustainabilityurl&quot;:null, &quot;hoursmon&quot;:&quot;Please Call&quot;, &quot;longitude&quot;:&quot;-80.8850492105263&quot;, &quot;uid&quot;:392185533, &quot;retailerlinkurl&quot;:null, &quot;hourssat&quot;:&quot;Please Call&quot;, &quot;clientkey&quot;:&quot;168156&quot;, &quot;name&quot;:&quot;ListenUp Canada&quot;, &quot;locationlinkurl&quot;:null, &quot;address1&quot;:&quot;9-120 Thames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Ingersoll&quot;, &quot;singleuse&quot;:&quot;Y&quot;, &quot;fax&quot;:null, &quot;country&quot;:&quot;CA&quot;, &quot;logourl&quot;:&quot;http://www.call2recycle.org/notpress/where2getit/call2recycle.png&quot;, &quot;phone&quot;:&quot;519-485-1671&quot;, &quot;address2&quot;:null, &quot;locationimageurl&quot;:null, &quot;_distance&quot;:&quot;6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0703930009034&quot;, &quot;url&quot;:null, &quot;postalcode&quot;:&quot;L2G 3H2&quot;, &quot;province&quot;:&quot;ON&quot;, &quot;sustainabilityurl&quot;:null, &quot;hoursmon&quot;:&quot;Please Call&quot;, &quot;longitude&quot;:&quot;-79.1146269448938&quot;, &quot;uid&quot;:520676239, &quot;retailerlinkurl&quot;:null, &quot;hourssat&quot;:&quot;Please Call&quot;, &quot;clientkey&quot;:&quot;43702&quot;, &quot;name&quot;:&quot;Just Accessories&quot;, &quot;locationlinkurl&quot;:null, &quot;address1&quot;:&quot;7116 McLeod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call2recycle.png&quot;, &quot;phone&quot;:&quot;905-358-5878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041398492462&quot;, &quot;url&quot;:null, &quot;postalcode&quot;:&quot;L2E 7K5&quot;, &quot;province&quot;:&quot;ON&quot;, &quot;sustainabilityurl&quot;:null, &quot;hoursmon&quot;:&quot;Please Call&quot;, &quot;longitude&quot;:&quot;-79.1139305527638&quot;, &quot;uid&quot;:1182197990, &quot;retailerlinkurl&quot;:null, &quot;hourssat&quot;:&quot;Please Call&quot;, &quot;clientkey&quot;:&quot;78234&quot;, &quot;name&quot;:&quot;Home Depot&quot;, &quot;locationlinkurl&quot;:null, &quot;address1&quot;:&quot;7190 Morris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homedepot.png&quot;, &quot;phone&quot;:&quot;905-371-7470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041398492462&quot;, &quot;url&quot;:null, &quot;postalcode&quot;:&quot;L2E 7K5&quot;, &quot;province&quot;:&quot;ON&quot;, &quot;sustainabilityurl&quot;:null, &quot;hoursmon&quot;:&quot;Please Call&quot;, &quot;longitude&quot;:&quot;-79.1139305527638&quot;, &quot;uid&quot;:1632397580, &quot;retailerlinkurl&quot;:null, &quot;hourssat&quot;:&quot;Please Call&quot;, &quot;clientkey&quot;:&quot;67956&quot;, &quot;name&quot;:&quot;Staples&quot;, &quot;locationlinkurl&quot;:null, &quot;address1&quot;:&quot;7190 Morriso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staples.png&quot;, &quot;phone&quot;:&quot;905-358-0650&quot;, &quot;address2&quot;:null, &quot;locationimageurl&quot;:null, &quot;_distance&quot;:&quot;10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42502173913&quot;, &quot;url&quot;:null, &quot;postalcode&quot;:&quot;L2E 6N1&quot;, &quot;province&quot;:&quot;ON&quot;, &quot;sustainabilityurl&quot;:null, &quot;hoursmon&quot;:&quot;Please Call&quot;, &quot;longitude&quot;:&quot;-79.111777173913&quot;, &quot;uid&quot;:400726447, &quot;retailerlinkurl&quot;:null, &quot;hourssat&quot;:&quot;Please Call&quot;, &quot;clientkey&quot;:&quot;157980&quot;, &quot;name&quot;:&quot;ListenUp! Canada&quot;, &quot;locationlinkurl&quot;:null, &quot;address1&quot;:&quot;4025 Dorchest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iagara Falls&quot;, &quot;singleuse&quot;:&quot;Y&quot;, &quot;fax&quot;:null, &quot;country&quot;:&quot;CA&quot;, &quot;logourl&quot;:&quot;http://www.call2recycle.org/notpress/where2getit/call2recycle.png&quot;, &quot;phone&quot;:&quot;905-374-2792&quot;, &quot;address2&quot;:null, &quot;locationimageurl&quot;:null, &quot;_distance&quot;:&quot;10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58086046512&quot;, &quot;url&quot;:null, &quot;postalcode&quot;:&quot;N4S 9A2&quot;, &quot;province&quot;:&quot;ON&quot;, &quot;sustainabilityurl&quot;:null, &quot;hoursmon&quot;:&quot;Please Call&quot;, &quot;longitude&quot;:&quot;-80.7378265116279&quot;, &quot;uid&quot;:1525169926, &quot;retailerlinkurl&quot;:null, &quot;hourssat&quot;:&quot;Please Call&quot;, &quot;clientkey&quot;:&quot;67948&quot;, &quot;name&quot;:&quot;Staples&quot;, &quot;locationlinkurl&quot;:null, &quot;address1&quot;:&quot;497 Norwic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staples.png&quot;, &quot;phone&quot;:&quot;519-421-3202&quot;, &quot;address2&quot;:null, &quot;locationimageurl&quot;:null, &quot;_distance&quot;:&quot;1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613&quot;, &quot;url&quot;:null, &quot;postalcode&quot;:&quot;N4V 1B9&quot;, &quot;province&quot;:&quot;ON&quot;, &quot;sustainabilityurl&quot;:null, &quot;hoursmon&quot;:&quot;Please Call&quot;, &quot;longitude&quot;:&quot;-80.72925&quot;, &quot;uid&quot;:1182196480, &quot;retailerlinkurl&quot;:null, &quot;hourssat&quot;:&quot;Please Call&quot;, &quot;clientkey&quot;:&quot;78354&quot;, &quot;name&quot;:&quot;Home Depot&quot;, &quot;locationlinkurl&quot;:null, &quot;address1&quot;:&quot;901 Julian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homedepot.png&quot;, &quot;phone&quot;:&quot;519-421-5500&quot;, &quot;address2&quot;:null, &quot;locationimageurl&quot;:null, &quot;_distance&quot;:&quot;10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1939&quot;, &quot;url&quot;:null, &quot;postalcode&quot;:&quot;L2S 0C7&quot;, &quot;province&quot;:&quot;ON&quot;, &quot;sustainabilityurl&quot;:null, &quot;hoursmon&quot;:&quot;Please Call&quot;, &quot;longitude&quot;:&quot;-79.26929&quot;, &quot;uid&quot;:1522037064, &quot;retailerlinkurl&quot;:null, &quot;hourssat&quot;:&quot;Please Call&quot;, &quot;clientkey&quot;:&quot;132831&quot;, &quot;name&quot;:&quot;Best Buy&quot;, &quot;locationlinkurl&quot;:null, &quot;address1&quot;:&quot;1-420 Vansick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bestbuy.png&quot;, &quot;phone&quot;:&quot;905-378-0333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245186956522&quot;, &quot;url&quot;:null, &quot;postalcode&quot;:&quot;L2V 3Y7&quot;, &quot;province&quot;:&quot;ON&quot;, &quot;sustainabilityurl&quot;:null, &quot;hoursmon&quot;:&quot;Please Call&quot;, &quot;longitude&quot;:&quot;-79.2006786956522&quot;, &quot;uid&quot;:-24087951, &quot;retailerlinkurl&quot;:null, &quot;hourssat&quot;:&quot;Please Call&quot;, &quot;clientkey&quot;:&quot;112460&quot;, &quot;name&quot;:&quot;Pharmasave&quot;, &quot;locationlinkurl&quot;:null, &quot;address1&quot;:&quot;15 Front St S. (Box 67)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old&quot;, &quot;singleuse&quot;:&quot;Y&quot;, &quot;fax&quot;:null, &quot;country&quot;:&quot;CA&quot;, &quot;logourl&quot;:&quot;http://www.call2recycle.org/notpress/where2getit/call2recycle.png&quot;, &quot;phone&quot;:&quot;905-227-2511&quot;, &quot;address2&quot;:null, &quot;locationimageurl&quot;:null, &quot;_distance&quot;:&quot;11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245186956522&quot;, &quot;url&quot;:null, &quot;postalcode&quot;:&quot;L2V 3Y7&quot;, &quot;province&quot;:&quot;ON&quot;, &quot;sustainabilityurl&quot;:null, &quot;hoursmon&quot;:&quot;Please Call&quot;, &quot;longitude&quot;:&quot;-79.2006786956522&quot;, &quot;uid&quot;:-24087951, &quot;retailerlinkurl&quot;:null, &quot;hourssat&quot;:&quot;Please Call&quot;, &quot;clientkey&quot;:&quot;112460&quot;, &quot;name&quot;:&quot;Pharmasave&quot;, &quot;locationlinkurl&quot;:null, &quot;address1&quot;:&quot;15 Front St S. (Box 67)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orold&quot;, &quot;singleuse&quot;:&quot;Y&quot;, &quot;fax&quot;:null, &quot;country&quot;:&quot;CA&quot;, &quot;logourl&quot;:&quot;http://www.call2recycle.org/notpress/where2getit/call2recycle.png&quot;, &quot;phone&quot;:&quot;905-227-2511&quot;, &quot;address2&quot;:null, &quot;locationimageurl&quot;:null, &quot;_distance&quot;:&quot;13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3&quot;, &quot;url&quot;:null, &quot;postalcode&quot;:&quot;N4S 1C2&quot;, &quot;province&quot;:&quot;ON&quot;, &quot;sustainabilityurl&quot;:null, &quot;hoursmon&quot;:&quot;Please Call&quot;, &quot;longitude&quot;:&quot;-80.7573725&quot;, &quot;uid&quot;:502591972, &quot;retailerlinkurl&quot;:null, &quot;hourssat&quot;:&quot;Please Call&quot;, &quot;clientkey&quot;:&quot;157933&quot;, &quot;name&quot;:&quot;ListenUp! Canada&quot;, &quot;locationlinkurl&quot;:null, &quot;address1&quot;:&quot;469 Dunda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stock&quot;, &quot;singleuse&quot;:&quot;Y&quot;, &quot;fax&quot;:null, &quot;country&quot;:&quot;CA&quot;, &quot;logourl&quot;:&quot;http://www.call2recycle.org/notpress/where2getit/call2recycle.png&quot;, &quot;phone&quot;:&quot;519-537-8361&quot;, &quot;address2&quot;:null, &quot;locationimageurl&quot;:null, &quot;_distance&quot;:&quot;11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10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14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474446153846&quot;, &quot;url&quot;:null, &quot;postalcode&quot;:&quot;N3R 4X8&quot;, &quot;province&quot;:&quot;ON&quot;, &quot;sustainabilityurl&quot;:null, &quot;hoursmon&quot;:&quot;Please Call&quot;, &quot;longitude&quot;:&quot;-80.2361169230769&quot;, &quot;uid&quot;:400726427, &quot;retailerlinkurl&quot;:null, &quot;hourssat&quot;:&quot;Please Call&quot;, &quot;clientkey&quot;:&quot;157967&quot;, &quot;name&quot;:&quot;ListenUp! Canada&quot;, &quot;locationlinkurl&quot;:null, &quot;address1&quot;:&quot;422 Gre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call2recycle.png&quot;, &quot;phone&quot;:&quot;519-753-4182&quot;, &quot;address2&quot;:null, &quot;locationimageurl&quot;:null, &quot;_distance&quot;:&quot;9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14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8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372&quot;, &quot;url&quot;:null, &quot;postalcode&quot;:&quot;N3S 7R4&quot;, &quot;province&quot;:&quot;ON&quot;, &quot;sustainabilityurl&quot;:null, &quot;hoursmon&quot;:&quot;Please Call&quot;, &quot;longitude&quot;:&quot;-80.237796&quot;, &quot;uid&quot;:1560276600, &quot;retailerlinkurl&quot;:null, &quot;hourssat&quot;:&quot;Please Call&quot;, &quot;clientkey&quot;:&quot;105410&quot;, &quot;name&quot;:&quot;Lowes&quot;, &quot;locationlinkurl&quot;:null, &quot;address1&quot;:&quot;215 Henry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lowes.png&quot;, &quot;phone&quot;:&quot;519-720-2060&quot;, &quot;address2&quot;:null, &quot;locationimageurl&quot;:null, &quot;_distance&quot;:&quot;9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14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8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558&quot;, &quot;url&quot;:null, &quot;postalcode&quot;:&quot;N3S 7R4&quot;, &quot;province&quot;:&quot;ON&quot;, &quot;sustainabilityurl&quot;:null, &quot;hoursmon&quot;:&quot;Please Call&quot;, &quot;longitude&quot;:&quot;-80.236674&quot;, &quot;uid&quot;:677051379, &quot;retailerlinkurl&quot;:null, &quot;hourssat&quot;:&quot;Please Call&quot;, &quot;clientkey&quot;:&quot;169751&quot;, &quot;name&quot;:&quot;Princess Auto&quot;, &quot;locationlinkurl&quot;:null, &quot;address1&quot;:&quot;221 Henr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PrincessAuto_150x150.png&quot;, &quot;phone&quot;:&quot;226-227-9440&quot;, &quot;address2&quot;:null, &quot;locationimageurl&quot;:null, &quot;_distance&quot;:&quot;9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557522&quot;, &quot;url&quot;:null, &quot;postalcode&quot;:&quot;L2S 0E7&quot;, &quot;province&quot;:&quot;ON&quot;, &quot;sustainabilityurl&quot;:null, &quot;hoursmon&quot;:&quot;Please Call&quot;, &quot;longitude&quot;:&quot;-79.2651518&quot;, &quot;uid&quot;:677051382, &quot;retailerlinkurl&quot;:null, &quot;hourssat&quot;:&quot;Please Call&quot;, &quot;clientkey&quot;:&quot;169753&quot;, &quot;name&quot;:&quot;Princess Auto&quot;, &quot;locationlinkurl&quot;:null, &quot;address1&quot;:&quot;295 Fourt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PrincessAuto_150x150.png&quot;, &quot;phone&quot;:&quot;289-438-8380&quot;, &quot;address2&quot;:null, &quot;locationimageurl&quot;:null, &quot;_distance&quot;:&quot;10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14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8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30392918477&quot;, &quot;url&quot;:null, &quot;postalcode&quot;:&quot;N3R 7J4&quot;, &quot;province&quot;:&quot;ON&quot;, &quot;sustainabilityurl&quot;:null, &quot;hoursmon&quot;:&quot;Please Call&quot;, &quot;longitude&quot;:&quot;-80.2414100444489&quot;, &quot;uid&quot;:1182199391, &quot;retailerlinkurl&quot;:null, &quot;hourssat&quot;:&quot;Please Call&quot;, &quot;clientkey&quot;:&quot;43551&quot;, &quot;name&quot;:&quot;Home Depot&quot;, &quot;locationlinkurl&quot;:null, &quot;address1&quot;:&quot;25 Holiday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homedepot.png&quot;, &quot;phone&quot;:&quot;519-757-3534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14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8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693666109149&quot;, &quot;url&quot;:null, &quot;postalcode&quot;:&quot;N3R 7C5&quot;, &quot;province&quot;:&quot;ON&quot;, &quot;sustainabilityurl&quot;:null, &quot;hoursmon&quot;:&quot;Please Call&quot;, &quot;longitude&quot;:&quot;-80.2479792495133&quot;, &quot;uid&quot;:1697151414, &quot;retailerlinkurl&quot;:null, &quot;hourssat&quot;:&quot;Please Call&quot;, &quot;clientkey&quot;:&quot;135676&quot;, &quot;name&quot;:&quot;Staples&quot;, &quot;locationlinkurl&quot;:null, &quot;address1&quot;:&quot;595 Wes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ntford&quot;, &quot;singleuse&quot;:&quot;Y&quot;, &quot;fax&quot;:null, &quot;country&quot;:&quot;CA&quot;, &quot;logourl&quot;:&quot;http://www.call2recycle.org/notpress/where2getit/staples.png&quot;, &quot;phone&quot;:&quot;519-752-3367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63769718819&quot;, &quot;url&quot;:null, &quot;postalcode&quot;:&quot;L0R 1P0&quot;, &quot;province&quot;:&quot;ON&quot;, &quot;sustainabilityurl&quot;:null, &quot;hoursmon&quot;:&quot;Please Call&quot;, &quot;longitude&quot;:&quot;-79.7903986495485&quot;, &quot;uid&quot;:1986322359, &quot;retailerlinkurl&quot;:null, &quot;hourssat&quot;:&quot;Please Call&quot;, &quot;clientkey&quot;:&quot;138615&quot;, &quot;name&quot;:&quot;Staples&quot;, &quot;locationlinkurl&quot;:null, &quot;address1&quot;:&quot;2130 Rymal Road Unit 10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nnon&quot;, &quot;singleuse&quot;:&quot;Y&quot;, &quot;fax&quot;:null, &quot;country&quot;:&quot;CA&quot;, &quot;logourl&quot;:&quot;http://www.call2recycle.org/notpress/where2getit/staples.png&quot;, &quot;phone&quot;:&quot;905-692-7215&quot;, &quot;address2&quot;:null, &quot;locationimageurl&quot;:null, &quot;_distance&quot;:&quot;24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63769718819&quot;, &quot;url&quot;:null, &quot;postalcode&quot;:&quot;L0R 1P0&quot;, &quot;province&quot;:&quot;ON&quot;, &quot;sustainabilityurl&quot;:null, &quot;hoursmon&quot;:&quot;Please Call&quot;, &quot;longitude&quot;:&quot;-79.7903986495485&quot;, &quot;uid&quot;:1986322359, &quot;retailerlinkurl&quot;:null, &quot;hourssat&quot;:&quot;Please Call&quot;, &quot;clientkey&quot;:&quot;138615&quot;, &quot;name&quot;:&quot;Staples&quot;, &quot;locationlinkurl&quot;:null, &quot;address1&quot;:&quot;2130 Rymal Road Unit 10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nnon&quot;, &quot;singleuse&quot;:&quot;Y&quot;, &quot;fax&quot;:null, &quot;country&quot;:&quot;CA&quot;, &quot;logourl&quot;:&quot;http://www.call2recycle.org/notpress/where2getit/staples.png&quot;, &quot;phone&quot;:&quot;905-692-7215&quot;, &quot;address2&quot;:null, &quot;locationimageurl&quot;:null, &quot;_distance&quot;:&quot;7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92340662616&quot;, &quot;url&quot;:null, &quot;postalcode&quot;:&quot;L2N 7R6&quot;, &quot;province&quot;:&quot;ON&quot;, &quot;sustainabilityurl&quot;:null, &quot;hoursmon&quot;:&quot;Please Call&quot;, &quot;longitude&quot;:&quot;-79.2488582576566&quot;, &quot;uid&quot;:1679417603, &quot;retailerlinkurl&quot;:null, &quot;hourssat&quot;:&quot;Please Call&quot;, &quot;clientkey&quot;:&quot;152393&quot;, &quot;name&quot;:&quot;Staples&quot;, &quot;locationlinkurl&quot;:null, &quot;address1&quot;:&quot;10 YMC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staples.png&quot;, &quot;phone&quot;:&quot;905-937-4292&quot;, &quot;address2&quot;:null, &quot;locationimageurl&quot;:null, &quot;_distance&quot;:&quot;12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793789783435&quot;, &quot;url&quot;:null, &quot;postalcode&quot;:&quot;L2N 7R6&quot;, &quot;province&quot;:&quot;ON&quot;, &quot;sustainabilityurl&quot;:null, &quot;hoursmon&quot;:&quot;Please Call&quot;, &quot;longitude&quot;:&quot;-79.2478539630517&quot;, &quot;uid&quot;:1182192280, &quot;retailerlinkurl&quot;:null, &quot;hourssat&quot;:&quot;Please Call&quot;, &quot;clientkey&quot;:&quot;43504&quot;, &quot;name&quot;:&quot;Home Depot&quot;, &quot;locationlinkurl&quot;:null, &quot;address1&quot;:&quot;20 Ymca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 Catharines&quot;, &quot;singleuse&quot;:&quot;Y&quot;, &quot;fax&quot;:null, &quot;country&quot;:&quot;CA&quot;, &quot;logourl&quot;:&quot;http://www.call2recycle.org/notpress/where2getit/homedepot.png&quot;, &quot;phone&quot;:&quot;905-937-5900&quot;, &quot;address2&quot;:null, &quot;locationimageurl&quot;:null, &quot;_distance&quot;:&quot;1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21532&quot;, &quot;url&quot;:null, &quot;postalcode&quot;:&quot;L8J 0B4&quot;, &quot;province&quot;:&quot;ON&quot;, &quot;sustainabilityurl&quot;:null, &quot;hoursmon&quot;:&quot;Please Call&quot;, &quot;longitude&quot;:&quot;-79.8127364&quot;, &quot;uid&quot;:1182197575, &quot;retailerlinkurl&quot;:null, &quot;hourssat&quot;:&quot;Please Call&quot;, &quot;clientkey&quot;:&quot;121787&quot;, &quot;name&quot;:&quot;Home Depot&quot;, &quot;locationlinkurl&quot;:null, &quot;address1&quot;:&quot;1775 Stone Churc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homedepot.png&quot;, &quot;phone&quot;:&quot;905-574-4400&quot;, &quot;address2&quot;:null, &quot;locationimageurl&quot;:null, &quot;_distance&quot;:&quot;14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21532&quot;, &quot;url&quot;:null, &quot;postalcode&quot;:&quot;L8J 0B4&quot;, &quot;province&quot;:&quot;ON&quot;, &quot;sustainabilityurl&quot;:null, &quot;hoursmon&quot;:&quot;Please Call&quot;, &quot;longitude&quot;:&quot;-79.8127364&quot;, &quot;uid&quot;:1182197575, &quot;retailerlinkurl&quot;:null, &quot;hourssat&quot;:&quot;Please Call&quot;, &quot;clientkey&quot;:&quot;121787&quot;, &quot;name&quot;:&quot;Home Depot&quot;, &quot;locationlinkurl&quot;:null, &quot;address1&quot;:&quot;1775 Stone Church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homedepot.png&quot;, &quot;phone&quot;:&quot;905-574-4400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44638910939&quot;, &quot;url&quot;:null, &quot;postalcode&quot;:&quot;L3M 4H1&quot;, &quot;province&quot;:&quot;ON&quot;, &quot;sustainabilityurl&quot;:null, &quot;hoursmon&quot;:&quot;Please Call&quot;, &quot;longitude&quot;:&quot;-79.5629405753382&quot;, &quot;uid&quot;:392185285, &quot;retailerlinkurl&quot;:null, &quot;hourssat&quot;:&quot;Please Call&quot;, &quot;clientkey&quot;:&quot;157986&quot;, &quot;name&quot;:&quot;ListenUp! Canada&quot;, &quot;locationlinkurl&quot;:null, &quot;address1&quot;:&quot;Village Inn Shopping Plaza 63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imsby&quot;, &quot;singleuse&quot;:&quot;Y&quot;, &quot;fax&quot;:null, &quot;country&quot;:&quot;CA&quot;, &quot;logourl&quot;:&quot;http://www.call2recycle.org/notpress/where2getit/call2recycle.png&quot;, &quot;phone&quot;:&quot;905-309-6116&quot;, &quot;address2&quot;:null, &quot;locationimageurl&quot;:null, &quot;_distance&quot;:&quot;10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44638910939&quot;, &quot;url&quot;:null, &quot;postalcode&quot;:&quot;L3M 4H1&quot;, &quot;province&quot;:&quot;ON&quot;, &quot;sustainabilityurl&quot;:null, &quot;hoursmon&quot;:&quot;Please Call&quot;, &quot;longitude&quot;:&quot;-79.5629405753382&quot;, &quot;uid&quot;:392185285, &quot;retailerlinkurl&quot;:null, &quot;hourssat&quot;:&quot;Please Call&quot;, &quot;clientkey&quot;:&quot;157986&quot;, &quot;name&quot;:&quot;ListenUp! Canada&quot;, &quot;locationlinkurl&quot;:null, &quot;address1&quot;:&quot;Village Inn Shopping Plaza 63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rimsby&quot;, &quot;singleuse&quot;:&quot;Y&quot;, &quot;fax&quot;:null, &quot;country&quot;:&quot;CA&quot;, &quot;logourl&quot;:&quot;http://www.call2recycle.org/notpress/where2getit/call2recycle.png&quot;, &quot;phone&quot;:&quot;905-309-6116&quot;, &quot;address2&quot;:null, &quot;locationimageurl&quot;:null, &quot;_distance&quot;:&quot;12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1995437817332&quot;, &quot;url&quot;:null, &quot;postalcode&quot;:&quot;L8J 1P8&quot;, &quot;province&quot;:&quot;ON&quot;, &quot;sustainabilityurl&quot;:null, &quot;hoursmon&quot;:&quot;Please Call&quot;, &quot;longitude&quot;:&quot;-79.7944403927634&quot;, &quot;uid&quot;:445269835, &quot;retailerlinkurl&quot;:null, &quot;hourssat&quot;:&quot;Please Call&quot;, &quot;clientkey&quot;:&quot;112450&quot;, &quot;name&quot;:&quot;Pharmasave&quot;, &quot;locationlinkurl&quot;:null, &quot;address1&quot;:&quot;1050 Paramount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call2recycle.png&quot;, &quot;phone&quot;:&quot;905-578-1111&quot;, &quot;address2&quot;:null, &quot;locationimageurl&quot;:null, &quot;_distance&quot;:&quot;9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072454545455&quot;, &quot;url&quot;:null, &quot;postalcode&quot;:&quot;N0J 1M0&quot;, &quot;province&quot;:&quot;ON&quot;, &quot;sustainabilityurl&quot;:null, &quot;hoursmon&quot;:&quot;Please Call&quot;, &quot;longitude&quot;:&quot;-80.6978127272727&quot;, &quot;uid&quot;:1182190247, &quot;retailerlinkurl&quot;:null, &quot;hourssat&quot;:&quot;Please Call&quot;, &quot;clientkey&quot;:&quot;110689&quot;, &quot;name&quot;:&quot;K.C.s Repair Centre&quot;, &quot;locationlinkurl&quot;:null, &quot;address1&quot;:&quot;156 Blandfor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Innerkip&quot;, &quot;singleuse&quot;:&quot;Y&quot;, &quot;fax&quot;:null, &quot;country&quot;:&quot;CA&quot;, &quot;logourl&quot;:&quot;http://www.call2recycle.org/notpress/where2getit/call2recycle.png&quot;, &quot;phone&quot;:&quot;519-469-3351&quot;, &quot;address2&quot;:null, &quot;locationimageurl&quot;:null, &quot;_distance&quot;:&quot;10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707&quot;, &quot;url&quot;:null, &quot;postalcode&quot;:&quot;L9A 4X5&quot;, &quot;province&quot;:&quot;ON&quot;, &quot;sustainabilityurl&quot;:null, &quot;hoursmon&quot;:&quot;Please Call&quot;, &quot;longitude&quot;:&quot;-79.86449&quot;, &quot;uid&quot;:341261620, &quot;retailerlinkurl&quot;:null, &quot;hourssat&quot;:&quot;Please Call&quot;, &quot;clientkey&quot;:&quot;41268&quot;, &quot;name&quot;:&quot;Sears (Canada)&quot;, &quot;locationlinkurl&quot;:null, &quot;address1&quot;:&quot;999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ears.png&quot;, &quot;phone&quot;:&quot;905-389-4441&quot;, &quot;address2&quot;:null, &quot;locationimageurl&quot;:null, &quot;_distance&quot;:&quot;11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707&quot;, &quot;url&quot;:null, &quot;postalcode&quot;:&quot;L9A 4X5&quot;, &quot;province&quot;:&quot;ON&quot;, &quot;sustainabilityurl&quot;:null, &quot;hoursmon&quot;:&quot;Please Call&quot;, &quot;longitude&quot;:&quot;-79.86449&quot;, &quot;uid&quot;:341261620, &quot;retailerlinkurl&quot;:null, &quot;hourssat&quot;:&quot;Please Call&quot;, &quot;clientkey&quot;:&quot;41268&quot;, &quot;name&quot;:&quot;Sears (Canada)&quot;, &quot;locationlinkurl&quot;:null, &quot;address1&quot;:&quot;999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ears.png&quot;, &quot;phone&quot;:&quot;905-389-4441&quot;, &quot;address2&quot;:null, &quot;locationimageurl&quot;:null, &quot;_distance&quot;:&quot;12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863&quot;, &quot;url&quot;:null, &quot;postalcode&quot;:&quot;L9A 4V8&quot;, &quot;province&quot;:&quot;ON&quot;, &quot;sustainabilityurl&quot;:null, &quot;hoursmon&quot;:&quot;Please Call&quot;, &quot;longitude&quot;:&quot;-79.86401&quot;, &quot;uid&quot;:1609500384, &quot;retailerlinkurl&quot;:null, &quot;hourssat&quot;:&quot;Please Call&quot;, &quot;clientkey&quot;:&quot;68065&quot;, &quot;name&quot;:&quot;Staples&quot;, &quot;locationlinkurl&quot;:null, &quot;address1&quot;:&quot;970 Upper Wentwo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383-7913&quot;, &quot;address2&quot;:null, &quot;locationimageurl&quot;:null, &quot;_distance&quot;:&quot;12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1863&quot;, &quot;url&quot;:null, &quot;postalcode&quot;:&quot;L9A 4V8&quot;, &quot;province&quot;:&quot;ON&quot;, &quot;sustainabilityurl&quot;:null, &quot;hoursmon&quot;:&quot;Please Call&quot;, &quot;longitude&quot;:&quot;-79.86401&quot;, &quot;uid&quot;:1609500384, &quot;retailerlinkurl&quot;:null, &quot;hourssat&quot;:&quot;Please Call&quot;, &quot;clientkey&quot;:&quot;68065&quot;, &quot;name&quot;:&quot;Staples&quot;, &quot;locationlinkurl&quot;:null, &quot;address1&quot;:&quot;970 Upper Wentwo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383-7913&quot;, &quot;address2&quot;:null, &quot;locationimageurl&quot;:null, &quot;_distance&quot;:&quot;12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069&quot;, &quot;url&quot;:null, &quot;postalcode&quot;:&quot;L9A 5H2&quot;, &quot;province&quot;:&quot;ON&quot;, &quot;sustainabilityurl&quot;:null, &quot;hoursmon&quot;:&quot;Please Call&quot;, &quot;longitude&quot;:&quot;-79.86314&quot;, &quot;uid&quot;:502592015, &quot;retailerlinkurl&quot;:null, &quot;hourssat&quot;:&quot;Please Call&quot;, &quot;clientkey&quot;:&quot;157962&quot;, &quot;name&quot;:&quot;ListenUp! Canada&quot;, &quot;locationlinkurl&quot;:null, &quot;address1&quot;:&quot;880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4-9196&quot;, &quot;address2&quot;:null, &quot;locationimageurl&quot;:null, &quot;_distance&quot;:&quot;12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069&quot;, &quot;url&quot;:null, &quot;postalcode&quot;:&quot;L9A 5H2&quot;, &quot;province&quot;:&quot;ON&quot;, &quot;sustainabilityurl&quot;:null, &quot;hoursmon&quot;:&quot;Please Call&quot;, &quot;longitude&quot;:&quot;-79.86314&quot;, &quot;uid&quot;:502592015, &quot;retailerlinkurl&quot;:null, &quot;hourssat&quot;:&quot;Please Call&quot;, &quot;clientkey&quot;:&quot;157962&quot;, &quot;name&quot;:&quot;ListenUp! Canada&quot;, &quot;locationlinkurl&quot;:null, &quot;address1&quot;:&quot;880 Upper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4-9196&quot;, &quot;address2&quot;:null, &quot;locationimageurl&quot;:null, &quot;_distance&quot;:&quot;1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544&quot;, &quot;url&quot;:null, &quot;postalcode&quot;:&quot;L9K 1L6&quot;, &quot;province&quot;:&quot;ON&quot;, &quot;sustainabilityurl&quot;:null, &quot;hoursmon&quot;:&quot;Please Call&quot;, &quot;longitude&quot;:&quot;-79.95532&quot;, &quot;uid&quot;:1709658338, &quot;retailerlinkurl&quot;:null, &quot;hourssat&quot;:&quot;Please Call&quot;, &quot;clientkey&quot;:&quot;68035&quot;, &quot;name&quot;:&quot;Staples&quot;, &quot;locationlinkurl&quot;:null, &quot;address1&quot;:&quot;1-1015 Golf Link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staples.png&quot;, &quot;phone&quot;:&quot;905-648-6047&quot;, &quot;address2&quot;:null, &quot;locationimageurl&quot;:null, &quot;_distance&quot;:&quot;7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55173449585&quot;, &quot;url&quot;:null, &quot;postalcode&quot;:&quot;L9K 1L5&quot;, &quot;province&quot;:&quot;ON&quot;, &quot;sustainabilityurl&quot;:null, &quot;hoursmon&quot;:&quot;Please Call&quot;, &quot;longitude&quot;:&quot;-79.9538051792998&quot;, &quot;uid&quot;:821564647, &quot;retailerlinkurl&quot;:null, &quot;hourssat&quot;:&quot;Please Call&quot;, &quot;clientkey&quot;:&quot;63636&quot;, &quot;name&quot;:&quot;Henrys&quot;, &quot;locationlinkurl&quot;:null, &quot;address1&quot;:&quot;737 Golf Link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call2recycle.png&quot;, &quot;phone&quot;:&quot;905-648-9754&quot;, &quot;address2&quot;:null, &quot;locationimageurl&quot;:null, &quot;_distance&quot;:&quot;7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704&quot;, &quot;url&quot;:null, &quot;postalcode&quot;:&quot;L9K 1J9&quot;, &quot;province&quot;:&quot;ON&quot;, &quot;sustainabilityurl&quot;:null, &quot;hoursmon&quot;:&quot;Please Call&quot;, &quot;longitude&quot;:&quot;-79.94467&quot;, &quot;uid&quot;:789254646, &quot;retailerlinkurl&quot;:null, &quot;hourssat&quot;:&quot;Please Call&quot;, &quot;clientkey&quot;:&quot;132732&quot;, &quot;name&quot;:&quot;Best Buy&quot;, &quot;locationlinkurl&quot;:null, &quot;address1&quot;:&quot;1-14 Martindale Cre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bestbuy.png&quot;, &quot;phone&quot;:&quot;905-304-7624&quot;, &quot;address2&quot;:null, &quot;locationimageurl&quot;:null, &quot;_distance&quot;:&quot;7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29086749999&quot;, &quot;url&quot;:null, &quot;postalcode&quot;:&quot;L9K 1J9&quot;, &quot;province&quot;:&quot;ON&quot;, &quot;sustainabilityurl&quot;:null, &quot;hoursmon&quot;:&quot;Please Call&quot;, &quot;longitude&quot;:&quot;-79.9415112934695&quot;, &quot;uid&quot;:1182187222, &quot;retailerlinkurl&quot;:null, &quot;hourssat&quot;:&quot;Please Call&quot;, &quot;clientkey&quot;:&quot;39387&quot;, &quot;name&quot;:&quot;Home Depot&quot;, &quot;locationlinkurl&quot;:null, &quot;address1&quot;:&quot;122 Martindale Crescen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ncaster&quot;, &quot;singleuse&quot;:&quot;Y&quot;, &quot;fax&quot;:null, &quot;country&quot;:&quot;CA&quot;, &quot;logourl&quot;:&quot;http://www.call2recycle.org/notpress/where2getit/homedepot.png&quot;, &quot;phone&quot;:&quot;905-304-5900&quot;, &quot;address2&quot;:null, &quot;locationimageurl&quot;:null, &quot;_distance&quot;:&quot;8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31541823488&quot;, &quot;url&quot;:null, &quot;postalcode&quot;:&quot;L8E 2J8&quot;, &quot;province&quot;:&quot;ON&quot;, &quot;sustainabilityurl&quot;:null, &quot;hoursmon&quot;:&quot;Please Call&quot;, &quot;longitude&quot;:&quot;-79.7434223326724&quot;, &quot;uid&quot;:636392821, &quot;retailerlinkurl&quot;:null, &quot;hourssat&quot;:&quot;Please Call&quot;, &quot;clientkey&quot;:&quot;169583&quot;, &quot;name&quot;:&quot;Franklin Empire&quot;, &quot;locationlinkurl&quot;:null, &quot;address1&quot;:&quot;2783 Barto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78-3330&quot;, &quot;address2&quot;:null, &quot;locationimageurl&quot;:null, &quot;_distance&quot;:&quot;10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425&quot;, &quot;url&quot;:null, &quot;postalcode&quot;:&quot;L8E 1H9&quot;, &quot;province&quot;:&quot;ON&quot;, &quot;sustainabilityurl&quot;:null, &quot;hoursmon&quot;:&quot;Please Call&quot;, &quot;longitude&quot;:&quot;-79.76165&quot;, &quot;uid&quot;:400726438, &quot;retailerlinkurl&quot;:null, &quot;hourssat&quot;:&quot;Please Call&quot;, &quot;clientkey&quot;:&quot;157973&quot;, &quot;name&quot;:&quot;ListenUp! Canada&quot;, &quot;locationlinkurl&quot;:null, &quot;address1&quot;:&quot;160 Centennial Pkwy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662-8275&quot;, &quot;address2&quot;:null, &quot;locationimageurl&quot;:null, &quot;_distance&quot;:&quot;10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3714&quot;, &quot;url&quot;:null, &quot;postalcode&quot;:&quot;L8E 2W7&quot;, &quot;province&quot;:&quot;ON&quot;, &quot;sustainabilityurl&quot;:null, &quot;hoursmon&quot;:&quot;Please Call&quot;, &quot;longitude&quot;:&quot;-79.7616175&quot;, &quot;uid&quot;:341261720, &quot;retailerlinkurl&quot;:null, &quot;hourssat&quot;:&quot;Please Call&quot;, &quot;clientkey&quot;:&quot;159750&quot;, &quot;name&quot;:&quot;Staples Canada&quot;, &quot;locationlinkurl&quot;:null, &quot;address1&quot;:&quot;2444 Barton Stree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905-578-3573&quot;, &quot;address2&quot;:null, &quot;locationimageurl&quot;:null, &quot;_distance&quot;:&quot;10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00266666667&quot;, &quot;url&quot;:null, &quot;postalcode&quot;:&quot;L8E 2X4&quot;, &quot;province&quot;:&quot;ON&quot;, &quot;sustainabilityurl&quot;:null, &quot;hoursmon&quot;:&quot;Please Call&quot;, &quot;longitude&quot;:&quot;-79.7591422222222&quot;, &quot;uid&quot;:1182192338, &quot;retailerlinkurl&quot;:null, &quot;hourssat&quot;:&quot;Please Call&quot;, &quot;clientkey&quot;:&quot;43514&quot;, &quot;name&quot;:&quot;Home Depot&quot;, &quot;locationlinkurl&quot;:null, &quot;address1&quot;:&quot;350 Centennial Pky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homedepot.png&quot;, &quot;phone&quot;:&quot;905-561-9755&quot;, &quot;address2&quot;:null, &quot;locationimageurl&quot;:null, &quot;_distance&quot;:&quot;10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08032222222&quot;, &quot;url&quot;:null, &quot;postalcode&quot;:&quot;L8E 0C5&quot;, &quot;province&quot;:&quot;ON&quot;, &quot;sustainabilityurl&quot;:null, &quot;hoursmon&quot;:&quot;Please Call&quot;, &quot;longitude&quot;:&quot;-79.7363474444444&quot;, &quot;uid&quot;:540400464, &quot;retailerlinkurl&quot;:null, &quot;hourssat&quot;:&quot;Please Call&quot;, &quot;clientkey&quot;:&quot;161204&quot;, &quot;name&quot;:&quot;Fastenal&quot;, &quot;locationlinkurl&quot;:null, &quot;address1&quot;:&quot;107-1100 Sou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toney Creek&quot;, &quot;singleuse&quot;:&quot;Y&quot;, &quot;fax&quot;:null, &quot;country&quot;:&quot;CA&quot;, &quot;logourl&quot;:&quot;http://www.call2recycle.org/notpress/where2getit/call2recycle.png&quot;, &quot;phone&quot;:&quot;289-649-0770&quot;, &quot;address2&quot;:null, &quot;locationimageurl&quot;:null, &quot;_distance&quot;:&quot;10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43277777778&quot;, &quot;url&quot;:null, &quot;postalcode&quot;:&quot;L8H 2Y6&quot;, &quot;province&quot;:&quot;ON&quot;, &quot;sustainabilityurl&quot;:null, &quot;hoursmon&quot;:&quot;Please Call&quot;, &quot;longitude&quot;:&quot;-79.7859277777778&quot;, &quot;uid&quot;:677051362, &quot;retailerlinkurl&quot;:null, &quot;hourssat&quot;:&quot;Please Call&quot;, &quot;clientkey&quot;:&quot;169714&quot;, &quot;name&quot;:&quot;Princess Auto&quot;, &quot;locationlinkurl&quot;:null, &quot;address1&quot;:&quot;1850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PrincessAuto_150x150.png&quot;, &quot;phone&quot;:&quot;905-561-9400&quot;, &quot;address2&quot;:null, &quot;locationimageurl&quot;:null, &quot;_distance&quot;:&quot;11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7988888889&quot;, &quot;url&quot;:null, &quot;postalcode&quot;:&quot;L8H 2V4&quot;, &quot;province&quot;:&quot;ON&quot;, &quot;sustainabilityurl&quot;:null, &quot;hoursmon&quot;:&quot;Please Call&quot;, &quot;longitude&quot;:&quot;-79.8086933333333&quot;, &quot;uid&quot;:1875653347, &quot;retailerlinkurl&quot;:null, &quot;hourssat&quot;:&quot;Please Call&quot;, &quot;clientkey&quot;:&quot;141474&quot;, &quot;name&quot;:&quot;Staples&quot;, &quot;locationlinkurl&quot;:null, &quot;address1&quot;:&quot;1267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1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7988888889&quot;, &quot;url&quot;:null, &quot;postalcode&quot;:&quot;L8H 2V4&quot;, &quot;province&quot;:&quot;ON&quot;, &quot;sustainabilityurl&quot;:null, &quot;hoursmon&quot;:&quot;Please Call&quot;, &quot;longitude&quot;:&quot;-79.8086933333333&quot;, &quot;uid&quot;:1875653347, &quot;retailerlinkurl&quot;:null, &quot;hourssat&quot;:&quot;Please Call&quot;, &quot;clientkey&quot;:&quot;141474&quot;, &quot;name&quot;:&quot;Staples&quot;, &quot;locationlinkurl&quot;:null, &quot;address1&quot;:&quot;1267 Barto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14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808&quot;, &quot;url&quot;:null, &quot;postalcode&quot;:&quot;L8N 1Y2&quot;, &quot;province&quot;:&quot;ON&quot;, &quot;sustainabilityurl&quot;:null, &quot;hoursmon&quot;:&quot;Please Call&quot;, &quot;longitude&quot;:&quot;-79.871143&quot;, &quot;uid&quot;:702459305, &quot;retailerlinkurl&quot;:null, &quot;hourssat&quot;:&quot;Please Call&quot;, &quot;clientkey&quot;:&quot;157952&quot;, &quot;name&quot;:&quot;ListenUp! Canada&quot;, &quot;locationlinkurl&quot;:null, &quot;address1&quot;:&quot;25 Charl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9-6251&quot;, &quot;address2&quot;:null, &quot;locationimageurl&quot;:null, &quot;_distance&quot;:&quot;11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49808&quot;, &quot;url&quot;:null, &quot;postalcode&quot;:&quot;L8N 1Y2&quot;, &quot;province&quot;:&quot;ON&quot;, &quot;sustainabilityurl&quot;:null, &quot;hoursmon&quot;:&quot;Please Call&quot;, &quot;longitude&quot;:&quot;-79.871143&quot;, &quot;uid&quot;:702459305, &quot;retailerlinkurl&quot;:null, &quot;hourssat&quot;:&quot;Please Call&quot;, &quot;clientkey&quot;:&quot;157952&quot;, &quot;name&quot;:&quot;ListenUp! Canada&quot;, &quot;locationlinkurl&quot;:null, &quot;address1&quot;:&quot;25 Charlton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9-6251&quot;, &quot;address2&quot;:null, &quot;locationimageurl&quot;:null, &quot;_distance&quot;:&quot;14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734&quot;, &quot;url&quot;:null, &quot;postalcode&quot;:&quot;L8S 1G5&quot;, &quot;province&quot;:&quot;ON&quot;, &quot;sustainabilityurl&quot;:null, &quot;hoursmon&quot;:&quot;Please Call&quot;, &quot;longitude&quot;:&quot;-79.93383&quot;, &quot;uid&quot;:502592042, &quot;retailerlinkurl&quot;:null, &quot;hourssat&quot;:&quot;Please Call&quot;, &quot;clientkey&quot;:&quot;158000&quot;, &quot;name&quot;:&quot;ListenUp! Canada&quot;, &quot;locationlinkurl&quot;:null, &quot;address1&quot;:&quot;1685 Mai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24-0788&quot;, &quot;address2&quot;:null, &quot;locationimageurl&quot;:null, &quot;_distance&quot;:&quot;8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829&quot;, &quot;url&quot;:null, &quot;postalcode&quot;:&quot;L8L 6W1&quot;, &quot;province&quot;:&quot;ON&quot;, &quot;sustainabilityurl&quot;:null, &quot;hoursmon&quot;:&quot;Please Call&quot;, &quot;longitude&quot;:&quot;-79.82995&quot;, &quot;uid&quot;:1182189134, &quot;retailerlinkurl&quot;:null, &quot;hourssat&quot;:&quot;Please Call&quot;, &quot;clientkey&quot;:&quot;71107&quot;, &quot;name&quot;:&quot;Envirosystems Inc.&quot;, &quot;locationlinkurl&quot;:null, &quot;address1&quot;:&quot;239 Lottrid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45-2665&quot;, &quot;address2&quot;:null, &quot;locationimageurl&quot;:null, &quot;_distance&quot;:&quot;13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25829&quot;, &quot;url&quot;:null, &quot;postalcode&quot;:&quot;L8L 6W1&quot;, &quot;province&quot;:&quot;ON&quot;, &quot;sustainabilityurl&quot;:null, &quot;hoursmon&quot;:&quot;Please Call&quot;, &quot;longitude&quot;:&quot;-79.82995&quot;, &quot;uid&quot;:1182189134, &quot;retailerlinkurl&quot;:null, &quot;hourssat&quot;:&quot;Please Call&quot;, &quot;clientkey&quot;:&quot;71107&quot;, &quot;name&quot;:&quot;Envirosystems Inc.&quot;, &quot;locationlinkurl&quot;:null, &quot;address1&quot;:&quot;239 Lottrid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amilton&quot;, &quot;singleuse&quot;:&quot;Y&quot;, &quot;fax&quot;:null, &quot;country&quot;:&quot;CA&quot;, &quot;logourl&quot;:&quot;http://www.call2recycle.org/notpress/where2getit/call2recycle.png&quot;, &quot;phone&quot;:&quot;905-545-2665&quot;, &quot;address2&quot;:null, &quot;locationimageurl&quot;:null, &quot;_distance&quot;:&quot;1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179275&quot;, &quot;url&quot;:null, &quot;postalcode&quot;:&quot;L0R 2H1&quot;, &quot;province&quot;:&quot;ON&quot;, &quot;sustainabilityurl&quot;:null, &quot;hoursmon&quot;:&quot;Please Call&quot;, &quot;longitude&quot;:&quot;-79.9109525&quot;, &quot;uid&quot;:1633568914, &quot;retailerlinkurl&quot;:null, &quot;hourssat&quot;:&quot;Please Call&quot;, &quot;clientkey&quot;:&quot;151750&quot;, &quot;name&quot;:&quot;Staples&quot;, &quot;locationlinkurl&quot;:null, &quot;address1&quot;:&quot;88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terdown&quot;, &quot;singleuse&quot;:&quot;Y&quot;, &quot;fax&quot;:null, &quot;country&quot;:&quot;CA&quot;, &quot;logourl&quot;:&quot;http://www.call2recycle.org/notpress/where2getit/staples.png&quot;, &quot;phone&quot;:&quot;905-689-0271&quot;, &quot;address2&quot;:null, &quot;locationimageurl&quot;:null, &quot;_distance&quot;:&quot;11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278229640744&quot;, &quot;url&quot;:null, &quot;postalcode&quot;:&quot;L7S 2J8&quot;, &quot;province&quot;:&quot;ON&quot;, &quot;sustainabilityurl&quot;:null, &quot;hoursmon&quot;:&quot;Please Call&quot;, &quot;longitude&quot;:&quot;-79.8196357784446&quot;, &quot;uid&quot;:417592559, &quot;retailerlinkurl&quot;:null, &quot;hourssat&quot;:&quot;Please Call&quot;, &quot;clientkey&quot;:&quot;87779&quot;, &quot;name&quot;:&quot;Hudsons Bay Company&quot;, &quot;locationlinkurl&quot;:null, &quot;address1&quot;:&quot;Mapleview Centre 900 Mapl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81-0030&quot;, &quot;address2&quot;:null, &quot;locationimageurl&quot;:null, &quot;_distance&quot;:&quot;10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57729032258&quot;, &quot;url&quot;:null, &quot;postalcode&quot;:&quot;L7S 2K4&quot;, &quot;province&quot;:&quot;ON&quot;, &quot;sustainabilityurl&quot;:null, &quot;hoursmon&quot;:&quot;Please Call&quot;, &quot;longitude&quot;:&quot;-79.8128403225806&quot;, &quot;uid&quot;:1697151368, &quot;retailerlinkurl&quot;:null, &quot;hourssat&quot;:&quot;Please Call&quot;, &quot;clientkey&quot;:&quot;68051&quot;, &quot;name&quot;:&quot;Staples&quot;, &quot;locationlinkurl&quot;:null, &quot;address1&quot;:&quot;1881 Fairview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staples.png&quot;, &quot;phone&quot;:&quot;905-637-1422&quot;, &quot;address2&quot;:null, &quot;locationimageurl&quot;:null, &quot;_distance&quot;:&quot;10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69777706284&quot;, &quot;url&quot;:null, &quot;postalcode&quot;:&quot;L7R 3P9&quot;, &quot;province&quot;:&quot;ON&quot;, &quot;sustainabilityurl&quot;:null, &quot;hoursmon&quot;:&quot;Please Call&quot;, &quot;longitude&quot;:&quot;-79.8184103048358&quot;, &quot;uid&quot;:400726449, &quot;retailerlinkurl&quot;:null, &quot;hourssat&quot;:&quot;Please Call&quot;, &quot;clientkey&quot;:&quot;157982&quot;, &quot;name&quot;:&quot;ListenUp! Canada&quot;, &quot;locationlinkurl&quot;:null, &quot;address1&quot;:&quot;1435 Plains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31-7889&quot;, &quot;address2&quot;:null, &quot;locationimageurl&quot;:null, &quot;_distance&quot;:&quot;10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390135923777&quot;, &quot;url&quot;:null, &quot;postalcode&quot;:&quot;L7R 0B2&quot;, &quot;province&quot;:&quot;ON&quot;, &quot;sustainabilityurl&quot;:null, &quot;hoursmon&quot;:&quot;Please Call&quot;, &quot;longitude&quot;:&quot;-79.8183843895694&quot;, &quot;uid&quot;:-511708263, &quot;retailerlinkurl&quot;:null, &quot;hourssat&quot;:&quot;Please Call&quot;, &quot;clientkey&quot;:&quot;162304&quot;, &quot;name&quot;:&quot;Mountain Equipment Co-Op&quot;, &quot;locationlinkurl&quot;:null, &quot;address1&quot;:&quot;1030 Brant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333-8559&quot;, &quot;address2&quot;:null, &quot;locationimageurl&quot;:null, &quot;_distance&quot;:&quot;10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5283&quot;, &quot;url&quot;:null, &quot;postalcode&quot;:&quot;N1S 2L8&quot;, &quot;province&quot;:&quot;ON&quot;, &quot;sustainabilityurl&quot;:null, &quot;hoursmon&quot;:&quot;Please Call&quot;, &quot;longitude&quot;:&quot;-80.31844&quot;, &quot;uid&quot;:1182193551, &quot;retailerlinkurl&quot;:null, &quot;hourssat&quot;:&quot;Please Call&quot;, &quot;clientkey&quot;:&quot;105616&quot;, &quot;name&quot;:&quot;Home Essentials&quot;, &quot;locationlinkurl&quot;:null, &quot;address1&quot;:&quot;64 Grand Ave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2-6046&quot;, &quot;address2&quot;:null, &quot;locationimageurl&quot;:null, &quot;_distance&quot;:&quot;1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5283&quot;, &quot;url&quot;:null, &quot;postalcode&quot;:&quot;N1S 2L8&quot;, &quot;province&quot;:&quot;ON&quot;, &quot;sustainabilityurl&quot;:null, &quot;hoursmon&quot;:&quot;Please Call&quot;, &quot;longitude&quot;:&quot;-80.31844&quot;, &quot;uid&quot;:1182193551, &quot;retailerlinkurl&quot;:null, &quot;hourssat&quot;:&quot;Please Call&quot;, &quot;clientkey&quot;:&quot;105616&quot;, &quot;name&quot;:&quot;Home Essentials&quot;, &quot;locationlinkurl&quot;:null, &quot;address1&quot;:&quot;64 Grand Ave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2-6046&quot;, &quot;address2&quot;:null, &quot;locationimageurl&quot;:null, &quot;_distance&quot;:&quot;6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66399619041&quot;, &quot;url&quot;:null, &quot;postalcode&quot;:&quot;L7M 4M9&quot;, &quot;province&quot;:&quot;ON&quot;, &quot;sustainabilityurl&quot;:null, &quot;hoursmon&quot;:&quot;Please Call&quot;, &quot;longitude&quot;:&quot;-79.8083578201066&quot;, &quot;uid&quot;:1182176613, &quot;retailerlinkurl&quot;:null, &quot;hourssat&quot;:&quot;Please Call&quot;, &quot;clientkey&quot;:&quot;43515&quot;, &quot;name&quot;:&quot;Home Depot&quot;, &quot;locationlinkurl&quot;:null, &quot;address1&quot;:&quot;3050 Davidson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homedepot.png&quot;, &quot;phone&quot;:&quot;905-331-1700&quot;, &quot;address2&quot;:null, &quot;locationimageurl&quot;:null, &quot;_distance&quot;:&quot;9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568097209952&quot;, &quot;url&quot;:null, &quot;postalcode&quot;:&quot;L7M 4X7&quot;, &quot;province&quot;:&quot;ON&quot;, &quot;sustainabilityurl&quot;:null, &quot;hoursmon&quot;:&quot;Please Call&quot;, &quot;longitude&quot;:&quot;-79.808176898632&quot;, &quot;uid&quot;:1602879679, &quot;retailerlinkurl&quot;:null, &quot;hourssat&quot;:&quot;Please Call&quot;, &quot;clientkey&quot;:&quot;68052&quot;, &quot;name&quot;:&quot;Staples&quot;, &quot;locationlinkurl&quot;:null, &quot;address1&quot;:&quot;3060 Davidson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staples.png&quot;, &quot;phone&quot;:&quot;905-332-1071&quot;, &quot;address2&quot;:null, &quot;locationimageurl&quot;:null, &quot;_distance&quot;:&quot;9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387&quot;, &quot;url&quot;:null, &quot;postalcode&quot;:&quot;N1R 8L4&quot;, &quot;province&quot;:&quot;ON&quot;, &quot;sustainabilityurl&quot;:null, &quot;hoursmon&quot;:&quot;Please Call&quot;, &quot;longitude&quot;:&quot;-80.31864&quot;, &quot;uid&quot;:400726500, &quot;retailerlinkurl&quot;:null, &quot;hourssat&quot;:&quot;Please Call&quot;, &quot;clientkey&quot;:&quot;157928&quot;, &quot;name&quot;:&quot;ListenUp! Canada&quot;, &quot;locationlinkurl&quot;:null, &quot;address1&quot;:&quot;1 Hespel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4-9092&quot;, &quot;address2&quot;:null, &quot;locationimageurl&quot;:null, &quot;_distance&quot;:&quot;14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387&quot;, &quot;url&quot;:null, &quot;postalcode&quot;:&quot;N1R 8L4&quot;, &quot;province&quot;:&quot;ON&quot;, &quot;sustainabilityurl&quot;:null, &quot;hoursmon&quot;:&quot;Please Call&quot;, &quot;longitude&quot;:&quot;-80.31864&quot;, &quot;uid&quot;:400726500, &quot;retailerlinkurl&quot;:null, &quot;hourssat&quot;:&quot;Please Call&quot;, &quot;clientkey&quot;:&quot;157928&quot;, &quot;name&quot;:&quot;ListenUp! Canada&quot;, &quot;locationlinkurl&quot;:null, &quot;address1&quot;:&quot;1 Hespeler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24-9092&quot;, &quot;address2&quot;:null, &quot;locationimageurl&quot;:null, &quot;_distance&quot;:&quot;7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50029771389&quot;, &quot;url&quot;:null, &quot;postalcode&quot;:&quot;L7L 4X9&quot;, &quot;province&quot;:&quot;ON&quot;, &quot;sustainabilityurl&quot;:null, &quot;hoursmon&quot;:&quot;Please Call&quot;, &quot;longitude&quot;:&quot;-79.7839190611361&quot;, &quot;uid&quot;:-2116053984, &quot;retailerlinkurl&quot;:null, &quot;hourssat&quot;:&quot;Please Call&quot;, &quot;clientkey&quot;:&quot;156526&quot;, &quot;name&quot;:&quot;Complete Rent-Alls&quot;, &quot;locationlinkurl&quot;:null, &quot;address1&quot;:&quot;1104 Heritag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632-9010&quot;, &quot;address2&quot;:null, &quot;locationimageurl&quot;:null, &quot;_distance&quot;:&quot;7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7967&quot;, &quot;url&quot;:null, &quot;postalcode&quot;:&quot;N2P 2N4&quot;, &quot;province&quot;:&quot;ON&quot;, &quot;sustainabilityurl&quot;:null, &quot;hoursmon&quot;:&quot;Please Call&quot;, &quot;longitude&quot;:&quot;-80.40888&quot;, &quot;uid&quot;:743822497, &quot;retailerlinkurl&quot;:null, &quot;hourssat&quot;:&quot;Please Call&quot;, &quot;clientkey&quot;:&quot;169703&quot;, &quot;name&quot;:&quot;Princess Auto&quot;, &quot;locationlinkurl&quot;:null, &quot;address1&quot;:&quot;2 Executive P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PrincessAuto_150x150.png&quot;, &quot;phone&quot;:&quot;519-743-0742&quot;, &quot;address2&quot;:null, &quot;locationimageurl&quot;:null, &quot;_distance&quot;:&quot;8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833839090607&quot;, &quot;url&quot;:null, &quot;postalcode&quot;:&quot;L7L 5H6&quot;, &quot;province&quot;:&quot;ON&quot;, &quot;sustainabilityurl&quot;:null, &quot;hoursmon&quot;:&quot;Please Call&quot;, &quot;longitude&quot;:&quot;-79.7703333545969&quot;, &quot;uid&quot;:1182174957, &quot;retailerlinkurl&quot;:null, &quot;hourssat&quot;:&quot;Please Call&quot;, &quot;clientkey&quot;:&quot;68045&quot;, &quot;name&quot;:&quot;Global Mobility Products Inc.&quot;, &quot;locationlinkurl&quot;:null, &quot;address1&quot;:&quot;5075 North Servic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331-3616&quot;, &quot;address2&quot;:null, &quot;locationimageurl&quot;:null, &quot;_distance&quot;:&quot;6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9061&quot;, &quot;url&quot;:null, &quot;postalcode&quot;:&quot;N1R 6B3&quot;, &quot;province&quot;:&quot;ON&quot;, &quot;sustainabilityurl&quot;:null, &quot;hoursmon&quot;:&quot;Please Call&quot;, &quot;longitude&quot;:&quot;-80.32256&quot;, &quot;uid&quot;:341261760, &quot;retailerlinkurl&quot;:null, &quot;hourssat&quot;:&quot;Please Call&quot;, &quot;clientkey&quot;:&quot;159876&quot;, &quot;name&quot;:&quot;Best Buy&quot;, &quot;locationlinkurl&quot;:null, &quot;address1&quot;:&quot;301-355 Hespeler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8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3931931378967&quot;, &quot;url&quot;:null, &quot;postalcode&quot;:&quot;L7L 7G7&quot;, &quot;province&quot;:&quot;ON&quot;, &quot;sustainabilityurl&quot;:null, &quot;hoursmon&quot;:&quot;Please Call&quot;, &quot;longitude&quot;:&quot;-79.7803727550126&quot;, &quot;uid&quot;:1986322564, &quot;retailerlinkurl&quot;:null, &quot;hourssat&quot;:&quot;Please Call&quot;, &quot;clientkey&quot;:&quot;134482&quot;, &quot;name&quot;:&quot;Creek Way Village&quot;, &quot;locationlinkurl&quot;:null, &quot;address1&quot;:&quot;5200 Corporat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urlington&quot;, &quot;singleuse&quot;:&quot;Y&quot;, &quot;fax&quot;:null, &quot;country&quot;:&quot;CA&quot;, &quot;logourl&quot;:&quot;http://www.call2recycle.org/notpress/where2getit/call2recycle.png&quot;, &quot;phone&quot;:&quot;905-825-6000&quot;, &quot;address2&quot;:null, &quot;locationimageurl&quot;:null, &quot;_distance&quot;:&quot;6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07600369329&quot;, &quot;url&quot;:null, &quot;postalcode&quot;:&quot;L6L 0B1&quot;, &quot;province&quot;:&quot;ON&quot;, &quot;sustainabilityurl&quot;:null, &quot;hoursmon&quot;:&quot;Please Call&quot;, &quot;longitude&quot;:&quot;-79.7497547947862&quot;, &quot;uid&quot;:1182190196, &quot;retailerlinkurl&quot;:null, &quot;hourssat&quot;:&quot;Please Call&quot;, &quot;clientkey&quot;:&quot;109543&quot;, &quot;name&quot;:&quot;Home Depot&quot;, &quot;locationlinkurl&quot;:null, &quot;address1&quot;:&quot;3300 South Service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469-7110&quot;, &quot;address2&quot;:null, &quot;locationimageurl&quot;:null, &quot;_distance&quot;:&quot;4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717&quot;, &quot;url&quot;:null, &quot;postalcode&quot;:&quot;N2P 2J4&quot;, &quot;province&quot;:&quot;ON&quot;, &quot;sustainabilityurl&quot;:null, &quot;hoursmon&quot;:&quot;Please Call&quot;, &quot;longitude&quot;:&quot;-80.38879&quot;, &quot;uid&quot;:1182192411, &quot;retailerlinkurl&quot;:null, &quot;hourssat&quot;:&quot;Please Call&quot;, &quot;clientkey&quot;:&quot;43549&quot;, &quot;name&quot;:&quot;Home Depot&quot;, &quot;locationlinkurl&quot;:null, &quot;address1&quot;:&quot;100 Gateway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homedepot.png&quot;, &quot;phone&quot;:&quot;519-650-3900&quot;, &quot;address2&quot;:null, &quot;locationimageurl&quot;:null, &quot;_distance&quot;:&quot;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83843478261&quot;, &quot;url&quot;:null, &quot;postalcode&quot;:&quot;N1R 8E2&quot;, &quot;province&quot;:&quot;ON&quot;, &quot;sustainabilityurl&quot;:null, &quot;hoursmon&quot;:&quot;Please Call&quot;, &quot;longitude&quot;:&quot;-80.3258882608696&quot;, &quot;uid&quot;:2002792350, &quot;retailerlinkurl&quot;:null, &quot;hourssat&quot;:&quot;Please Call&quot;, &quot;clientkey&quot;:&quot;78229&quot;, &quot;name&quot;:&quot;Home Depot&quot;, &quot;locationlinkurl&quot;:null, &quot;address1&quot;:&quot;35 Pinebush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homedepot.png&quot;, &quot;phone&quot;:&quot;519-624-2700&quot;, &quot;address2&quot;:null, &quot;locationimageurl&quot;:null, &quot;_distance&quot;:&quot;9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0852&quot;, &quot;url&quot;:null, &quot;postalcode&quot;:&quot;N1R 8K5&quot;, &quot;province&quot;:&quot;ON&quot;, &quot;sustainabilityurl&quot;:null, &quot;hoursmon&quot;:&quot;Please Call&quot;, &quot;longitude&quot;:&quot;-80.32515&quot;, &quot;uid&quot;:1546390912, &quot;retailerlinkurl&quot;:null, &quot;hourssat&quot;:&quot;Please Call&quot;, &quot;clientkey&quot;:&quot;68053&quot;, &quot;name&quot;:&quot;Staples&quot;, &quot;locationlinkurl&quot;:null, &quot;address1&quot;:&quot;26 Pinebush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staples.png&quot;, &quot;phone&quot;:&quot;519-622-5280&quot;, &quot;address2&quot;:null, &quot;locationimageurl&quot;:null, &quot;_distance&quot;:&quot;9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135169155933&quot;, &quot;url&quot;:null, &quot;postalcode&quot;:&quot;N3H 4R7&quot;, &quot;province&quot;:&quot;ON&quot;, &quot;sustainabilityurl&quot;:null, &quot;hoursmon&quot;:&quot;Please Call&quot;, &quot;longitude&quot;:&quot;-80.3784116489889&quot;, &quot;uid&quot;:636392829, &quot;retailerlinkurl&quot;:null, &quot;hourssat&quot;:&quot;Please Call&quot;, &quot;clientkey&quot;:&quot;169588&quot;, &quot;name&quot;:&quot;Franklin Empire&quot;, &quot;locationlinkurl&quot;:null, &quot;address1&quot;:&quot;29 Cherry Blossom Rd RR 32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mbridge&quot;, &quot;singleuse&quot;:&quot;Y&quot;, &quot;fax&quot;:null, &quot;country&quot;:&quot;CA&quot;, &quot;logourl&quot;:&quot;http://www.call2recycle.org/notpress/where2getit/call2recycle.png&quot;, &quot;phone&quot;:&quot;519-650-1182&quot;, &quot;address2&quot;:null, &quot;locationimageurl&quot;:null, &quot;_distance&quot;:&quot;10.0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142537565135&quot;, &quot;url&quot;:null, &quot;postalcode&quot;:&quot;N2E 4E2&quot;, &quot;province&quot;:&quot;ON&quot;, &quot;sustainabilityurl&quot;:null, &quot;hoursmon&quot;:&quot;Please Call&quot;, &quot;longitude&quot;:&quot;-80.5141950333888&quot;, &quot;uid&quot;:1182176129, &quot;retailerlinkurl&quot;:null, &quot;hourssat&quot;:&quot;Please Call&quot;, &quot;clientkey&quot;:&quot;78232&quot;, &quot;name&quot;:&quot;Home Depot&quot;, &quot;locationlinkurl&quot;:null, &quot;address1&quot;:&quot;1450 Ottawa St S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homedepot.png&quot;, &quot;phone&quot;:&quot;519-569-4300&quot;, &quot;address2&quot;:null, &quot;locationimageurl&quot;:null, &quot;_distance&quot;:&quot;13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337&quot;, &quot;url&quot;:null, &quot;postalcode&quot;:&quot;N2C 1W9&quot;, &quot;province&quot;:&quot;ON&quot;, &quot;sustainabilityurl&quot;:null, &quot;hoursmon&quot;:&quot;Please Call&quot;, &quot;longitude&quot;:&quot;-80.4358&quot;, &quot;uid&quot;:-2116055084, &quot;retailerlinkurl&quot;:null, &quot;hourssat&quot;:&quot;Please Call&quot;, &quot;clientkey&quot;:&quot;41306&quot;, &quot;name&quot;:&quot;Sears (Canada)&quot;, &quot;locationlinkurl&quot;:null, &quot;address1&quot;:&quot;200 Fairway Rd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sears.png&quot;, &quot;phone&quot;:&quot;519-894-2300&quot;, &quot;address2&quot;:null, &quot;locationimageurl&quot;:null, &quot;_distance&quot;:&quot;11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34743216091&quot;, &quot;url&quot;:null, &quot;postalcode&quot;:&quot;N2E 2M7&quot;, &quot;province&quot;:&quot;ON&quot;, &quot;sustainabilityurl&quot;:null, &quot;hoursmon&quot;:&quot;Please Call&quot;, &quot;longitude&quot;:&quot;-80.4780417587932&quot;, &quot;uid&quot;:1182181789, &quot;retailerlinkurl&quot;:null, &quot;hourssat&quot;:&quot;Please Call&quot;, &quot;clientkey&quot;:&quot;44375&quot;, &quot;name&quot;:&quot;MRC Systems Inc.&quot;, &quot;locationlinkurl&quot;:null, &quot;address1&quot;:&quot;20 Alpine Cou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call2recycle.png&quot;, &quot;phone&quot;:&quot;519-749-1763&quot;, &quot;address2&quot;:null, &quot;locationimageurl&quot;:null, &quot;_distance&quot;:&quot;12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43164273263&quot;, &quot;url&quot;:null, &quot;postalcode&quot;:&quot;N2E 3W7&quot;, &quot;province&quot;:&quot;ON&quot;, &quot;sustainabilityurl&quot;:null, &quot;hoursmon&quot;:&quot;Please Call&quot;, &quot;longitude&quot;:&quot;-80.4892616533735&quot;, &quot;uid&quot;:1831129855, &quot;retailerlinkurl&quot;:null, &quot;hourssat&quot;:&quot;Please Call&quot;, &quot;clientkey&quot;:&quot;68070&quot;, &quot;name&quot;:&quot;Staples&quot;, &quot;locationlinkurl&quot;:null, &quot;address1&quot;:&quot;245 Strasburg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staples.png&quot;, &quot;phone&quot;:&quot;519-571-7420&quot;, &quot;address2&quot;:null, &quot;locationimageurl&quot;:null, &quot;_distance&quot;:&quot;12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2442&quot;, &quot;url&quot;:null, &quot;postalcode&quot;:&quot;N2C 1X1&quot;, &quot;province&quot;:&quot;ON&quot;, &quot;sustainabilityurl&quot;:null, &quot;hoursmon&quot;:&quot;Please Call&quot;, &quot;longitude&quot;:&quot;-80.44121&quot;, &quot;uid&quot;:341261757, &quot;retailerlinkurl&quot;:null, &quot;hourssat&quot;:&quot;Please Call&quot;, &quot;clientkey&quot;:&quot;159870&quot;, &quot;name&quot;:&quot;Best Buy&quot;, &quot;locationlinkurl&quot;:null, &quot;address1&quot;:&quot;2960 Kingsway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1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316403871121&quot;, &quot;url&quot;:null, &quot;postalcode&quot;:&quot;N2M 3M4&quot;, &quot;province&quot;:&quot;ON&quot;, &quot;sustainabilityurl&quot;:null, &quot;hoursmon&quot;:&quot;Please Call&quot;, &quot;longitude&quot;:&quot;-80.4788023226726&quot;, &quot;uid&quot;:50860910, &quot;retailerlinkurl&quot;:null, &quot;hourssat&quot;:&quot;Please Call&quot;, &quot;clientkey&quot;:&quot;162529&quot;, &quot;name&quot;:&quot;Batteries Expert&quot;, &quot;locationlinkurl&quot;:null, &quot;address1&quot;:&quot;14 Hoffma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tchener&quot;, &quot;singleuse&quot;:&quot;Y&quot;, &quot;fax&quot;:null, &quot;country&quot;:&quot;CA&quot;, &quot;logourl&quot;:&quot;http://www.call2recycle.org/notpress/where2getit/call2recycle.png&quot;, &quot;phone&quot;:&quot;519-578-0938&quot;, &quot;address2&quot;:null, &quot;locationimageurl&quot;:null, &quot;_distance&quot;:&quot;12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537&quot;, &quot;url&quot;:null, &quot;postalcode&quot;:&quot;L6J 2W7&quot;, &quot;province&quot;:&quot;ON&quot;, &quot;sustainabilityurl&quot;:null, &quot;hoursmon&quot;:&quot;Please Call&quot;, &quot;longitude&quot;:&quot;-79.68677&quot;, &quot;uid&quot;:1853118972, &quot;retailerlinkurl&quot;:null, &quot;hourssat&quot;:&quot;Please Call&quot;, &quot;clientkey&quot;:&quot;78236&quot;, &quot;name&quot;:&quot;Home Depot&quot;, &quot;locationlinkurl&quot;:null, &quot;address1&quot;:&quot;99 Cross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815-5000&quot;, &quot;address2&quot;:null, &quot;locationimageurl&quot;:null, &quot;_distance&quot;:&quot;1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667051425437&quot;, &quot;url&quot;:null, &quot;postalcode&quot;:&quot;L6H 3P1&quot;, &quot;province&quot;:&quot;ON&quot;, &quot;sustainabilityurl&quot;:null, &quot;hoursmon&quot;:&quot;Please Call&quot;, &quot;longitude&quot;:&quot;-79.6902873864082&quot;, &quot;uid&quot;:-2116053875, &quot;retailerlinkurl&quot;:null, &quot;hourssat&quot;:&quot;Please Call&quot;, &quot;clientkey&quot;:&quot;116152&quot;, &quot;name&quot;:&quot;Town of Oakville&quot;, &quot;locationlinkurl&quot;:null, &quot;address1&quot;:&quot;1225 Trafalga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call2recycle.png&quot;, &quot;phone&quot;:&quot;905-845-6601&quot;, &quot;address2&quot;:null, &quot;locationimageurl&quot;:null, &quot;_distance&quot;:&quot;2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4797983370262&quot;, &quot;url&quot;:null, &quot;postalcode&quot;:&quot;L6H 7H9&quot;, &quot;province&quot;:&quot;ON&quot;, &quot;sustainabilityurl&quot;:null, &quot;hoursmon&quot;:&quot;Please Call&quot;, &quot;longitude&quot;:&quot;-79.7164707317139&quot;, &quot;uid&quot;:-1212378767, &quot;retailerlinkurl&quot;:null, &quot;hourssat&quot;:&quot;Please Call&quot;, &quot;clientkey&quot;:&quot;130991&quot;, &quot;name&quot;:&quot;Post Inn Village - Services for Seniors&quot;, &quot;locationlinkurl&quot;:null, &quot;address1&quot;:&quot;203 Georgian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call2recycle.png&quot;, &quot;phone&quot;:&quot;905-825-6000&quot;, &quot;address2&quot;:null, &quot;locationimageurl&quot;:null, &quot;_distance&quot;:&quot;3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475&quot;, &quot;url&quot;:null, &quot;postalcode&quot;:&quot;L5J 4P1&quot;, &quot;province&quot;:&quot;ON&quot;, &quot;sustainabilityurl&quot;:null, &quot;hoursmon&quot;:&quot;Please Call&quot;, &quot;longitude&quot;:&quot;-79.6258739344262&quot;, &quot;uid&quot;:400726405, &quot;retailerlinkurl&quot;:null, &quot;hourssat&quot;:&quot;Please Call&quot;, &quot;clientkey&quot;:&quot;157945&quot;, &quot;name&quot;:&quot;ListenUp! Canada&quot;, &quot;locationlinkurl&quot;:null, &quot;address1&quot;:&quot;Clarkson Village Center 1865 Lakeshore Rd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855-7638&quot;, &quot;address2&quot;:null, &quot;locationimageurl&quot;:null, &quot;_distance&quot;:&quot;5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797&quot;, &quot;url&quot;:null, &quot;postalcode&quot;:&quot;N1G 4V9&quot;, &quot;province&quot;:&quot;ON&quot;, &quot;sustainabilityurl&quot;:null, &quot;hoursmon&quot;:&quot;Please Call&quot;, &quot;longitude&quot;:&quot;-80.23639&quot;, &quot;uid&quot;:-1239796047, &quot;retailerlinkurl&quot;:null, &quot;hourssat&quot;:&quot;Please Call&quot;, &quot;clientkey&quot;:&quot;68063&quot;, &quot;name&quot;:&quot;Staples&quot;, &quot;locationlinkurl&quot;:null, &quot;address1&quot;:&quot;370 Stone Rd W.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staples.png&quot;, &quot;phone&quot;:&quot;519-763-4205&quot;, &quot;address2&quot;:null, &quot;locationimageurl&quot;:null, &quot;_distance&quot;:&quot;10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18025&quot;, &quot;url&quot;:null, &quot;postalcode&quot;:&quot;L6H 5W9&quot;, &quot;province&quot;:&quot;ON&quot;, &quot;sustainabilityurl&quot;:null, &quot;hoursmon&quot;:&quot;Please Call&quot;, &quot;longitude&quot;:&quot;-79.683355&quot;, &quot;uid&quot;:1182190743, &quot;retailerlinkurl&quot;:null, &quot;hourssat&quot;:&quot;Please Call&quot;, &quot;clientkey&quot;:&quot;39385&quot;, &quot;name&quot;:&quot;Home Depot&quot;, &quot;locationlinkurl&quot;:null, &quot;address1&quot;:&quot;2555 Bristol Circl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homedepot.png&quot;, &quot;phone&quot;:&quot;905-829-5900&quot;, &quot;address2&quot;:null, &quot;locationimageurl&quot;:null, &quot;_distance&quot;:&quot;5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2236625&quot;, &quot;url&quot;:null, &quot;postalcode&quot;:&quot;L6H 6J5&quot;, &quot;province&quot;:&quot;ON&quot;, &quot;sustainabilityurl&quot;:null, &quot;hoursmon&quot;:&quot;Please Call&quot;, &quot;longitude&quot;:&quot;-79.6810634375&quot;, &quot;uid&quot;:1609500379, &quot;retailerlinkurl&quot;:null, &quot;hourssat&quot;:&quot;Please Call&quot;, &quot;clientkey&quot;:&quot;143112&quot;, &quot;name&quot;:&quot;Staples&quot;, &quot;locationlinkurl&quot;:null, &quot;address1&quot;:&quot;2460 Winston Churchill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akville&quot;, &quot;singleuse&quot;:&quot;Y&quot;, &quot;fax&quot;:null, &quot;country&quot;:&quot;CA&quot;, &quot;logourl&quot;:&quot;http://www.call2recycle.org/notpress/where2getit/staples.png&quot;, &quot;phone&quot;:&quot;905-829-196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276517334641&quot;, &quot;url&quot;:null, &quot;postalcode&quot;:&quot;L5K 0A1&quot;, &quot;province&quot;:&quot;ON&quot;, &quot;sustainabilityurl&quot;:null, &quot;hoursmon&quot;:&quot;Please Call&quot;, &quot;longitude&quot;:&quot;-79.6521177075339&quot;, &quot;uid&quot;:406327068, &quot;retailerlinkurl&quot;:null, &quot;hourssat&quot;:&quot;Please Call&quot;, &quot;clientkey&quot;:&quot;168562&quot;, &quot;name&quot;:&quot;uBreakiFix&quot;, &quot;locationlinkurl&quot;:null, &quot;address1&quot;:&quot;1910 Fowler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289-327-3442&quot;, &quot;address2&quot;:null, &quot;locationimageurl&quot;:null, &quot;_distance&quot;:&quot;6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323&quot;, &quot;url&quot;:null, &quot;postalcode&quot;:&quot;L5L 1R6&quot;, &quot;province&quot;:&quot;ON&quot;, &quot;sustainabilityurl&quot;:null, &quot;hoursmon&quot;:&quot;Please Call&quot;, &quot;longitude&quot;:&quot;-79.67721&quot;, &quot;uid&quot;:1182186200, &quot;retailerlinkurl&quot;:null, &quot;hourssat&quot;:&quot;Please Call&quot;, &quot;clientkey&quot;:&quot;91896&quot;, &quot;name&quot;:&quot;Mississauga Repair Centre&quot;, &quot;locationlinkurl&quot;:null, &quot;address1&quot;:&quot;3120 Glen Erin Dr Unit 16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828-1565&quot;, &quot;address2&quot;:null, &quot;locationimageurl&quot;:null, &quot;_distance&quot;:&quot;6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572&quot;, &quot;url&quot;:null, &quot;postalcode&quot;:&quot;L9T 0A5&quot;, &quot;province&quot;:&quot;ON&quot;, &quot;sustainabilityurl&quot;:null, &quot;hoursmon&quot;:&quot;Please Call&quot;, &quot;longitude&quot;:&quot;-79.87415&quot;, &quot;uid&quot;:1503277587, &quot;retailerlinkurl&quot;:null, &quot;hourssat&quot;:&quot;Please Call&quot;, &quot;clientkey&quot;:&quot;94847&quot;, &quot;name&quot;:&quot;Home Depot&quot;, &quot;locationlinkurl&quot;:null, &quot;address1&quot;:&quot;1013 Map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homedepot.png&quot;, &quot;phone&quot;:&quot;905-864-1200&quot;, &quot;address2&quot;:null, &quot;locationimageurl&quot;:null, &quot;_distance&quot;:&quot;12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3572&quot;, &quot;url&quot;:null, &quot;postalcode&quot;:&quot;L9T 0A5&quot;, &quot;province&quot;:&quot;ON&quot;, &quot;sustainabilityurl&quot;:null, &quot;hoursmon&quot;:&quot;Please Call&quot;, &quot;longitude&quot;:&quot;-79.87415&quot;, &quot;uid&quot;:1503277587, &quot;retailerlinkurl&quot;:null, &quot;hourssat&quot;:&quot;Please Call&quot;, &quot;clientkey&quot;:&quot;94847&quot;, &quot;name&quot;:&quot;Home Depot&quot;, &quot;locationlinkurl&quot;:null, &quot;address1&quot;:&quot;1013 Map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homedepot.png&quot;, &quot;phone&quot;:&quot;905-864-1200&quot;, &quot;address2&quot;:null, &quot;locationimageurl&quot;:null, &quot;_distance&quot;:&quot;13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417045&quot;, &quot;url&quot;:null, &quot;postalcode&quot;:&quot;L9T 6R1&quot;, &quot;province&quot;:&quot;ON&quot;, &quot;sustainabilityurl&quot;:null, &quot;hoursmon&quot;:&quot;Please Call&quot;, &quot;longitude&quot;:&quot;-79.8713099&quot;, &quot;uid&quot;:-254640389, &quot;retailerlinkurl&quot;:null, &quot;hourssat&quot;:&quot;Please Call&quot;, &quot;clientkey&quot;:&quot;102518&quot;, &quot;name&quot;:&quot;Staples&quot;, &quot;locationlinkurl&quot;:null, &quot;address1&quot;:&quot;1220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staples.png&quot;, &quot;phone&quot;:&quot;905-878-2434&quot;, &quot;address2&quot;:null, &quot;locationimageurl&quot;:null, &quot;_distance&quot;:&quot;12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417045&quot;, &quot;url&quot;:null, &quot;postalcode&quot;:&quot;L9T 6R1&quot;, &quot;province&quot;:&quot;ON&quot;, &quot;sustainabilityurl&quot;:null, &quot;hoursmon&quot;:&quot;Please Call&quot;, &quot;longitude&quot;:&quot;-79.8713099&quot;, &quot;uid&quot;:-254640389, &quot;retailerlinkurl&quot;:null, &quot;hourssat&quot;:&quot;Please Call&quot;, &quot;clientkey&quot;:&quot;102518&quot;, &quot;name&quot;:&quot;Staples&quot;, &quot;locationlinkurl&quot;:null, &quot;address1&quot;:&quot;1220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lton&quot;, &quot;singleuse&quot;:&quot;Y&quot;, &quot;fax&quot;:null, &quot;country&quot;:&quot;CA&quot;, &quot;logourl&quot;:&quot;http://www.call2recycle.org/notpress/where2getit/staples.png&quot;, &quot;phone&quot;:&quot;905-878-2434&quot;, &quot;address2&quot;:null, &quot;locationimageurl&quot;:null, &quot;_distance&quot;:&quot;13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547519800794&quot;, &quot;url&quot;:null, &quot;postalcode&quot;:&quot;N1L 1P4&quot;, &quot;province&quot;:&quot;ON&quot;, &quot;sustainabilityurl&quot;:null, &quot;hoursmon&quot;:&quot;Please Call&quot;, &quot;longitude&quot;:&quot;-80.1998674375443&quot;, &quot;uid&quot;:1182174569, &quot;retailerlinkurl&quot;:null, &quot;hourssat&quot;:&quot;Please Call&quot;, &quot;clientkey&quot;:&quot;37651&quot;, &quot;name&quot;:&quot;City of Guelph HHW Depot&quot;, &quot;locationlinkurl&quot;:null, &quot;address1&quot;:&quot;110 Dunlop Dr Gate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call2recycle.png&quot;, &quot;phone&quot;:&quot;519-767-0598&quot;, &quot;address2&quot;:null, &quot;locationimageurl&quot;:null, &quot;_distance&quot;:&quot;7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05428595857&quot;, &quot;url&quot;:null, &quot;postalcode&quot;:&quot;N1H 3Z1&quot;, &quot;province&quot;:&quot;ON&quot;, &quot;sustainabilityurl&quot;:null, &quot;hoursmon&quot;:&quot;Please Call&quot;, &quot;longitude&quot;:&quot;-80.2712401819304&quot;, &quot;uid&quot;:604842703, &quot;retailerlinkurl&quot;:null, &quot;hourssat&quot;:&quot;Please Call&quot;, &quot;clientkey&quot;:&quot;157998&quot;, &quot;name&quot;:&quot;ListenUp! Canada&quot;, &quot;locationlinkurl&quot;:null, &quot;address1&quot;:&quot;690 Woolwi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call2recycle.png&quot;, &quot;phone&quot;:&quot;519-767-5500&quot;, &quot;address2&quot;:null, &quot;locationimageurl&quot;:null, &quot;_distance&quot;:&quot;10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155&quot;, &quot;url&quot;:null, &quot;postalcode&quot;:&quot;N1H 1G8&quot;, &quot;province&quot;:&quot;ON&quot;, &quot;sustainabilityurl&quot;:null, &quot;hoursmon&quot;:&quot;Please Call&quot;, &quot;longitude&quot;:&quot;-80.2822&quot;, &quot;uid&quot;:-2116054183, &quot;retailerlinkurl&quot;:null, &quot;hourssat&quot;:&quot;Please Call&quot;, &quot;clientkey&quot;:&quot;94844&quot;, &quot;name&quot;:&quot;Home Depot&quot;, &quot;locationlinkurl&quot;:null, &quot;address1&quot;:&quot;63 Woodlawn Rd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homedepot.png&quot;, &quot;phone&quot;:&quot;519-780-3400&quot;, &quot;address2&quot;:null, &quot;locationimageurl&quot;:null, &quot;_distance&quot;:&quot;10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18102531646&quot;, &quot;url&quot;:null, &quot;postalcode&quot;:&quot;L5C 1Y5&quot;, &quot;province&quot;:&quot;ON&quot;, &quot;sustainabilityurl&quot;:null, &quot;hoursmon&quot;:&quot;Please Call&quot;, &quot;longitude&quot;:&quot;-79.6491292405063&quot;, &quot;uid&quot;:719118490, &quot;retailerlinkurl&quot;:null, &quot;hourssat&quot;:&quot;Please Call&quot;, &quot;clientkey&quot;:&quot;161944&quot;, &quot;name&quot;:&quot;Ministry of Government &amp; Consumer Services&quot;, &quot;locationlinkurl&quot;:null, &quot;address1&quot;:&quot;3215 Erindale Stati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9-6163&quot;, &quot;address2&quot;:null, &quot;locationimageurl&quot;:null, &quot;_distance&quot;:&quot;8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59664168708&quot;, &quot;url&quot;:null, &quot;postalcode&quot;:&quot;N1H 1G7&quot;, &quot;province&quot;:&quot;ON&quot;, &quot;sustainabilityurl&quot;:null, &quot;hoursmon&quot;:&quot;Please Call&quot;, &quot;longitude&quot;:&quot;-80.2761626391892&quot;, &quot;uid&quot;:1601453874, &quot;retailerlinkurl&quot;:null, &quot;hourssat&quot;:&quot;Please Call&quot;, &quot;clientkey&quot;:&quot;68062&quot;, &quot;name&quot;:&quot;Staples&quot;, &quot;locationlinkurl&quot;:null, &quot;address1&quot;:&quot;20 Woodlaw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Guelph&quot;, &quot;singleuse&quot;:&quot;Y&quot;, &quot;fax&quot;:null, &quot;country&quot;:&quot;CA&quot;, &quot;logourl&quot;:&quot;http://www.call2recycle.org/notpress/where2getit/staples.png&quot;, &quot;phone&quot;:&quot;519-822-2344&quot;, &quot;address2&quot;:null, &quot;locationimageurl&quot;:null, &quot;_distance&quot;:&quot;10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73018918919&quot;, &quot;url&quot;:null, &quot;postalcode&quot;:&quot;L5C 1T7&quot;, &quot;province&quot;:&quot;ON&quot;, &quot;sustainabilityurl&quot;:null, &quot;hoursmon&quot;:&quot;Please Call&quot;, &quot;longitude&quot;:&quot;-79.6347959459459&quot;, &quot;uid&quot;:1877277936, &quot;retailerlinkurl&quot;:null, &quot;hourssat&quot;:&quot;Please Call&quot;, &quot;clientkey&quot;:&quot;143238&quot;, &quot;name&quot;:&quot;Home Depot&quot;, &quot;locationlinkurl&quot;:null, &quot;address1&quot;:&quot;3065 Mavis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281-6230&quot;, &quot;address2&quot;:null, &quot;locationimageurl&quot;:null, &quot;_distance&quot;:&quot;8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75645945946&quot;, &quot;url&quot;:null, &quot;postalcode&quot;:&quot;L5C 1T7&quot;, &quot;province&quot;:&quot;ON&quot;, &quot;sustainabilityurl&quot;:null, &quot;hoursmon&quot;:&quot;Please Call&quot;, &quot;longitude&quot;:&quot;-79.6351672972973&quot;, &quot;uid&quot;:-1675423241, &quot;retailerlinkurl&quot;:null, &quot;hourssat&quot;:&quot;Please Call&quot;, &quot;clientkey&quot;:&quot;158623&quot;, &quot;name&quot;:&quot;Interstate All Battery Center&quot;, &quot;locationlinkurl&quot;:null, &quot;address1&quot;:&quot;3077 Mavi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949-1818&quot;, &quot;address2&quot;:null, &quot;locationimageurl&quot;:null, &quot;_distance&quot;:&quot;8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697166483922&quot;, &quot;url&quot;:null, &quot;postalcode&quot;:&quot;L5C 4E9&quot;, &quot;province&quot;:&quot;ON&quot;, &quot;sustainabilityurl&quot;:null, &quot;hoursmon&quot;:&quot;Please Call&quot;, &quot;longitude&quot;:&quot;-79.66258931314&quot;, &quot;uid&quot;:502592044, &quot;retailerlinkurl&quot;:null, &quot;hourssat&quot;:&quot;Please Call&quot;, &quot;clientkey&quot;:&quot;158002&quot;, &quot;name&quot;:&quot;ListenUp! Canada&quot;, &quot;locationlinkurl&quot;:null, &quot;address1&quot;:&quot;1140 Burnhamthorp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949-0102&quot;, &quot;address2&quot;:null, &quot;locationimageurl&quot;:null, &quot;_distance&quot;:&quot;8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7159&quot;, &quot;url&quot;:null, &quot;postalcode&quot;:&quot;L5B 2P7&quot;, &quot;province&quot;:&quot;ON&quot;, &quot;sustainabilityurl&quot;:null, &quot;hoursmon&quot;:&quot;Please Call&quot;, &quot;longitude&quot;:&quot;-79.61069&quot;, &quot;uid&quot;:400726471, &quot;retailerlinkurl&quot;:null, &quot;hourssat&quot;:&quot;Please Call&quot;, &quot;clientkey&quot;:&quot;158008&quot;, &quot;name&quot;:&quot;ListenUp! Canada&quot;, &quot;locationlinkurl&quot;:null, &quot;address1&quot;:&quot;Business Bldg. 101 Queensway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02-6888&quot;, &quot;address2&quot;:null, &quot;locationimageurl&quot;:null, &quot;_distance&quot;:&quot;9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777787267331&quot;, &quot;url&quot;:null, &quot;postalcode&quot;:&quot;L5B 4A2&quot;, &quot;province&quot;:&quot;ON&quot;, &quot;sustainabilityurl&quot;:null, &quot;hoursmon&quot;:&quot;Please Call&quot;, &quot;longitude&quot;:&quot;-79.6152479148324&quot;, &quot;uid&quot;:400726425, &quot;retailerlinkurl&quot;:null, &quot;hourssat&quot;:&quot;Please Call&quot;, &quot;clientkey&quot;:&quot;157966&quot;, &quot;name&quot;:&quot;ListenUp! Canada&quot;, &quot;locationlinkurl&quot;:null, &quot;address1&quot;:&quot;Business Building 71 King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2-4327&quot;, &quot;address2&quot;:null, &quot;locationimageurl&quot;:null, &quot;_distance&quot;:&quot;9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03964962338&quot;, &quot;url&quot;:null, &quot;postalcode&quot;:&quot;L5B 4M6&quot;, &quot;province&quot;:&quot;ON&quot;, &quot;sustainabilityurl&quot;:null, &quot;hoursmon&quot;:&quot;Please Call&quot;, &quot;longitude&quot;:&quot;-79.6468598538234&quot;, &quot;uid&quot;:-1531689387, &quot;retailerlinkurl&quot;:null, &quot;hourssat&quot;:&quot;Please Call&quot;, &quot;clientkey&quot;:&quot;102520&quot;, &quot;name&quot;:&quot;Staples&quot;, &quot;locationlinkurl&quot;:null, &quot;address1&quot;:&quot;3950 Grand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306-7888&quot;, &quot;address2&quot;:null, &quot;locationimageurl&quot;:null, &quot;_distance&quot;:&quot;9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09175&quot;, &quot;url&quot;:null, &quot;postalcode&quot;:&quot;L5M 1L6&quot;, &quot;province&quot;:&quot;ON&quot;, &quot;sustainabilityurl&quot;:null, &quot;hoursmon&quot;:&quot;Please Call&quot;, &quot;longitude&quot;:&quot;-79.712705&quot;, &quot;uid&quot;:400726491, &quot;retailerlinkurl&quot;:null, &quot;hourssat&quot;:&quot;Please Call&quot;, &quot;clientkey&quot;:&quot;157922&quot;, &quot;name&quot;:&quot;ListenUp! Canada&quot;, &quot;locationlinkurl&quot;:null, &quot;address1&quot;:&quot;217 Queen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86-1051&quot;, &quot;address2&quot;:null, &quot;locationimageurl&quot;:null, &quot;_distance&quot;:&quot;10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882913561828&quot;, &quot;url&quot;:null, &quot;postalcode&quot;:&quot;L5N 7K6&quot;, &quot;province&quot;:&quot;ON&quot;, &quot;sustainabilityurl&quot;:null, &quot;hoursmon&quot;:&quot;Please Call&quot;, &quot;longitude&quot;:&quot;-79.7327009440744&quot;, &quot;uid&quot;:-1487888923, &quot;retailerlinkurl&quot;:null, &quot;hourssat&quot;:&quot;Please Call&quot;, &quot;clientkey&quot;:&quot;72918&quot;, &quot;name&quot;:&quot;Stanley Black &amp; Decker&quot;, &quot;locationlinkurl&quot;:null, &quot;address1&quot;:&quot;6275 Millcree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289-290-4668&quot;, &quot;address2&quot;:null, &quot;locationimageurl&quot;:null, &quot;_distance&quot;:&quot;10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9177&quot;, &quot;url&quot;:null, &quot;postalcode&quot;:&quot;L4Y 1Y5&quot;, &quot;province&quot;:&quot;ON&quot;, &quot;sustainabilityurl&quot;:null, &quot;hoursmon&quot;:&quot;Please Call&quot;, &quot;longitude&quot;:&quot;-79.58866&quot;, &quot;uid&quot;:981583871, &quot;retailerlinkurl&quot;:null, &quot;hourssat&quot;:&quot;Please Call&quot;, &quot;clientkey&quot;:&quot;163233&quot;, &quot;name&quot;:&quot;MCSCS&quot;, &quot;locationlinkurl&quot;:null, &quot;address1&quot;:&quot;2301 Haine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79-6997&quot;, &quot;address2&quot;:null, &quot;locationimageurl&quot;:null, &quot;_distance&quot;:&quot;11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5991950396019&quot;, &quot;url&quot;:null, &quot;postalcode&quot;:&quot;L5N 8C5&quot;, &quot;province&quot;:&quot;ON&quot;, &quot;sustainabilityurl&quot;:null, &quot;hoursmon&quot;:&quot;Please Call&quot;, &quot;longitude&quot;:&quot;-79.7796852742672&quot;, &quot;uid&quot;:1953413175, &quot;retailerlinkurl&quot;:null, &quot;hourssat&quot;:&quot;Please Call&quot;, &quot;clientkey&quot;:&quot;43565&quot;, &quot;name&quot;:&quot;Home Depot&quot;, &quot;locationlinkurl&quot;:null, &quot;address1&quot;:&quot;2920 Argent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814-3860&quot;, &quot;address2&quot;:null, &quot;locationimageurl&quot;:null, &quot;_distance&quot;:&quot;1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71071830986&quot;, &quot;url&quot;:null, &quot;postalcode&quot;:&quot;L5V 3E4&quot;, &quot;province&quot;:&quot;ON&quot;, &quot;sustainabilityurl&quot;:null, &quot;hoursmon&quot;:&quot;Please Call&quot;, &quot;longitude&quot;:&quot;-79.7008128169014&quot;, &quot;uid&quot;:2071210362, &quot;retailerlinkurl&quot;:null, &quot;hourssat&quot;:&quot;Please Call&quot;, &quot;clientkey&quot;:&quot;156201&quot;, &quot;name&quot;:&quot;Home Depot&quot;, &quot;locationlinkurl&quot;:null, &quot;address1&quot;:&quot;5975 Terry Fox 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homedepot.png&quot;, &quot;phone&quot;:&quot;905-285-4000&quot;, &quot;address2&quot;:null, &quot;locationimageurl&quot;:null, &quot;_distance&quot;:&quot;11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798&quot;, &quot;url&quot;:null, &quot;postalcode&quot;:&quot;L5N 8E1&quot;, &quot;province&quot;:&quot;ON&quot;, &quot;sustainabilityurl&quot;:null, &quot;hoursmon&quot;:&quot;Please Call&quot;, &quot;longitude&quot;:&quot;-79.72949&quot;, &quot;uid&quot;:1798604618, &quot;retailerlinkurl&quot;:null, &quot;hourssat&quot;:&quot;Please Call&quot;, &quot;clientkey&quot;:&quot;68076&quot;, &quot;name&quot;:&quot;Staples&quot;, &quot;locationlinkurl&quot;:null, &quot;address1&quot;:&quot;2-3135 Argent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785-0864&quot;, &quot;address2&quot;:null, &quot;locationimageurl&quot;:null, &quot;_distance&quot;:&quot;12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87329220779&quot;, &quot;url&quot;:null, &quot;postalcode&quot;:&quot;L4Z 3X6&quot;, &quot;province&quot;:&quot;ON&quot;, &quot;sustainabilityurl&quot;:null, &quot;hoursmon&quot;:&quot;Please Call&quot;, &quot;longitude&quot;:&quot;-79.6555426623377&quot;, &quot;uid&quot;:-936092200, &quot;retailerlinkurl&quot;:null, &quot;hourssat&quot;:&quot;Please Call&quot;, &quot;clientkey&quot;:&quot;63634&quot;, &quot;name&quot;:&quot;Henrys&quot;, &quot;locationlinkurl&quot;:null, &quot;address1&quot;:&quot;5027 Hurontario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68-1922&quot;, &quot;address2&quot;:null, &quot;locationimageurl&quot;:null, &quot;_distance&quot;:&quot;11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909&quot;, &quot;url&quot;:null, &quot;postalcode&quot;:&quot;M9C 5N2&quot;, &quot;province&quot;:&quot;ON&quot;, &quot;sustainabilityurl&quot;:null, &quot;hoursmon&quot;:&quot;Please Call&quot;, &quot;longitude&quot;:&quot;-79.56052&quot;, &quot;uid&quot;:502592037, &quot;retailerlinkurl&quot;:null, &quot;hourssat&quot;:&quot;Please Call&quot;, &quot;clientkey&quot;:&quot;157989&quot;, &quot;name&quot;:&quot;ListenUp! Canada&quot;, &quot;locationlinkurl&quot;:null, &quot;address1&quot;:&quot;Queensway Professional Centre 190 Sherway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call2recycle.png&quot;, &quot;phone&quot;:&quot;416-620-5776&quot;, &quot;address2&quot;:null, &quot;locationimageurl&quot;:null, &quot;_distance&quot;:&quot;12.8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0992&quot;, &quot;url&quot;:null, &quot;postalcode&quot;:&quot;L5V 2P5&quot;, &quot;province&quot;:&quot;ON&quot;, &quot;sustainabilityurl&quot;:null, &quot;hoursmon&quot;:&quot;Please Call&quot;, &quot;longitude&quot;:&quot;-79.69273&quot;, &quot;uid&quot;:2025806661, &quot;retailerlinkurl&quot;:null, &quot;hourssat&quot;:&quot;Please Call&quot;, &quot;clientkey&quot;:&quot;155921&quot;, &quot;name&quot;:&quot;Staples&quot;, &quot;locationlinkurl&quot;:null, &quot;address1&quot;:&quot;5900 Mavi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813-3134&quot;, &quot;address2&quot;:null, &quot;locationimageurl&quot;:null, &quot;_distance&quot;:&quot;11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160075925926&quot;, &quot;url&quot;:null, &quot;postalcode&quot;:&quot;M9C 1A7&quot;, &quot;province&quot;:&quot;ON&quot;, &quot;sustainabilityurl&quot;:null, &quot;hoursmon&quot;:&quot;Please Call&quot;, &quot;longitude&quot;:&quot;-79.5569162037037&quot;, &quot;uid&quot;:1182188659, &quot;retailerlinkurl&quot;:null, &quot;hourssat&quot;:&quot;Please Call&quot;, &quot;clientkey&quot;:&quot;39388&quot;, &quot;name&quot;:&quot;Home Depot&quot;, &quot;locationlinkurl&quot;:null, &quot;address1&quot;:&quot;193 North Que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homedepot.png&quot;, &quot;phone&quot;:&quot;416-626-9800&quot;, &quot;address2&quot;:null, &quot;locationimageurl&quot;:null, &quot;_distance&quot;:&quot;8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30371052632&quot;, &quot;url&quot;:null, &quot;postalcode&quot;:&quot;L4X 2X8&quot;, &quot;province&quot;:&quot;ON&quot;, &quot;sustainabilityurl&quot;:null, &quot;hoursmon&quot;:&quot;Please Call&quot;, &quot;longitude&quot;:&quot;-79.5691739473684&quot;, &quot;uid&quot;:-1665997020, &quot;retailerlinkurl&quot;:null, &quot;hourssat&quot;:&quot;Please Call&quot;, &quot;clientkey&quot;:&quot;102519&quot;, &quot;name&quot;:&quot;Staples&quot;, &quot;locationlinkurl&quot;:null, &quot;address1&quot;:&quot;2040 Dundas St E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279-4392&quot;, &quot;address2&quot;:null, &quot;locationimageurl&quot;:null, &quot;_distance&quot;:&quot;7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6546&quot;, &quot;url&quot;:null, &quot;postalcode&quot;:&quot;L5R 4B3&quot;, &quot;province&quot;:&quot;ON&quot;, &quot;sustainabilityurl&quot;:null, &quot;hoursmon&quot;:&quot;Please Call&quot;, &quot;longitude&quot;:&quot;-79.679812&quot;, &quot;uid&quot;:731919552, &quot;retailerlinkurl&quot;:null, &quot;hourssat&quot;:&quot;Please Call&quot;, &quot;clientkey&quot;:&quot;165777&quot;, &quot;name&quot;:&quot;Dashvapes Inc&quot;, &quot;locationlinkurl&quot;:null, &quot;address1&quot;:&quot;6020 Hurontario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507-3274&quot;, &quot;address2&quot;:null, &quot;locationimageurl&quot;:null, &quot;_distance&quot;:&quot;12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65720048875&quot;, &quot;url&quot;:null, &quot;postalcode&quot;:&quot;L4X 1L9&quot;, &quot;province&quot;:&quot;ON&quot;, &quot;sustainabilityurl&quot;:null, &quot;hoursmon&quot;:&quot;Please Call&quot;, &quot;longitude&quot;:&quot;-79.5650736806528&quot;, &quot;uid&quot;:406327067, &quot;retailerlinkurl&quot;:null, &quot;hourssat&quot;:&quot;Please Call&quot;, &quot;clientkey&quot;:&quot;168561&quot;, &quot;name&quot;:&quot;uBreakiFix&quot;, &quot;locationlinkurl&quot;:null, &quot;address1&quot;:&quot;2200 Dundas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232-0365&quot;, &quot;address2&quot;:null, &quot;locationimageurl&quot;:null, &quot;_distance&quot;:&quot;7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2993&quot;, &quot;url&quot;:null, &quot;postalcode&quot;:&quot;M9B 3Y8&quot;, &quot;province&quot;:&quot;ON&quot;, &quot;sustainabilityurl&quot;:null, &quot;hoursmon&quot;:&quot;Please Call&quot;, &quot;longitude&quot;:&quot;-79.55195&quot;, &quot;uid&quot;:1074363251, &quot;retailerlinkurl&quot;:null, &quot;hourssat&quot;:&quot;Please Call&quot;, &quot;clientkey&quot;:&quot;159877&quot;, &quot;name&quot;:&quot;Best Buy&quot;, &quot;locationlinkurl&quot;:null, &quot;address1&quot;:&quot;281-250 The East Mall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7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3927&quot;, &quot;url&quot;:null, &quot;postalcode&quot;:&quot;L4W 5K1&quot;, &quot;province&quot;:&quot;ON&quot;, &quot;sustainabilityurl&quot;:null, &quot;hoursmon&quot;:&quot;Please Call&quot;, &quot;longitude&quot;:&quot;-79.62362&quot;, &quot;uid&quot;:-2116053868, &quot;retailerlinkurl&quot;:null, &quot;hourssat&quot;:&quot;Please Call&quot;, &quot;clientkey&quot;:&quot;68075&quot;, &quot;name&quot;:&quot;Staples&quot;, &quot;locationlinkurl&quot;:null, &quot;address1&quot;:&quot;1530 Aimco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602-5889&quot;, &quot;address2&quot;:null, &quot;locationimageurl&quot;:null, &quot;_distance&quot;:&quot;6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395682758621&quot;, &quot;url&quot;:null, &quot;postalcode&quot;:&quot;M6A 3A1&quot;, &quot;province&quot;:&quot;ON&quot;, &quot;sustainabilityurl&quot;:null, &quot;hoursmon&quot;:&quot;Please Call&quot;, &quot;longitude&quot;:&quot;-79.4275837931034&quot;, &quot;uid&quot;:341261754, &quot;retailerlinkurl&quot;:null, &quot;hourssat&quot;:&quot;Please Call&quot;, &quot;clientkey&quot;:&quot;159867&quot;, &quot;name&quot;:&quot;Best Buy&quot;, &quot;locationlinkurl&quot;:null, &quot;address1&quot;:&quot;Unit 303 - 3401 Dufferin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5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59&quot;, &quot;url&quot;:null, &quot;postalcode&quot;:&quot;M5V 1K2&quot;, &quot;province&quot;:&quot;ON&quot;, &quot;sustainabilityurl&quot;:null, &quot;hoursmon&quot;:&quot;Please Call&quot;, &quot;longitude&quot;:&quot;-79.392955&quot;, &quot;uid&quot;:-511708697, &quot;retailerlinkurl&quot;:null, &quot;hourssat&quot;:&quot;Please Call&quot;, &quot;clientkey&quot;:&quot;39063&quot;, &quot;name&quot;:&quot;Mountain Equipment Co-op&quot;, &quot;locationlinkurl&quot;:null, &quot;address1&quot;:&quot;400 King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40-2667&quot;, &quot;address2&quot;:null, &quot;locationimageurl&quot;:null, &quot;_distance&quot;:&quot;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5412602003&quot;, &quot;url&quot;:null, &quot;postalcode&quot;:&quot;L7G 4B5&quot;, &quot;province&quot;:&quot;ON&quot;, &quot;sustainabilityurl&quot;:null, &quot;hoursmon&quot;:&quot;Please Call&quot;, &quot;longitude&quot;:&quot;-79.8896765710905&quot;, &quot;uid&quot;:392185284, &quot;retailerlinkurl&quot;:null, &quot;hourssat&quot;:&quot;Please Call&quot;, &quot;clientkey&quot;:&quot;157985&quot;, &quot;name&quot;:&quot;ListenUp! Canada&quot;, &quot;locationlinkurl&quot;:null, &quot;address1&quot;:&quot;324 Guelp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702-1945&quot;, &quot;address2&quot;:null, &quot;locationimageurl&quot;:null, &quot;_distance&quot;:&quot;10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6261538462&quot;, &quot;url&quot;:null, &quot;postalcode&quot;:&quot;M5C 1S8&quot;, &quot;province&quot;:&quot;ON&quot;, &quot;sustainabilityurl&quot;:null, &quot;hoursmon&quot;:&quot;Please Call&quot;, &quot;longitude&quot;:&quot;-79.3780784615385&quot;, &quot;uid&quot;:1986272712, &quot;retailerlinkurl&quot;:null, &quot;hourssat&quot;:&quot;Please Call&quot;, &quot;clientkey&quot;:&quot;68029&quot;, &quot;name&quot;:&quot;Staples&quot;, &quot;locationlinkurl&quot;:null, &quot;address1&quot;:&quot;85-89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203-3525&quot;, &quot;address2&quot;:null, &quot;locationimageurl&quot;:null, &quot;_distance&quot;:&quot;3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745&quot;, &quot;url&quot;:null, &quot;postalcode&quot;:&quot;M6S 1P5&quot;, &quot;province&quot;:&quot;ON&quot;, &quot;sustainabilityurl&quot;:null, &quot;hoursmon&quot;:&quot;Please Call&quot;, &quot;longitude&quot;:&quot;-79.482619375&quot;, &quot;uid&quot;:400726499, &quot;retailerlinkurl&quot;:null, &quot;hourssat&quot;:&quot;Please Call&quot;, &quot;clientkey&quot;:&quot;157927&quot;, &quot;name&quot;:&quot;ListenUp! Canada&quot;, &quot;locationlinkurl&quot;:null, &quot;address1&quot;:&quot;239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7-7523&quot;, &quot;address2&quot;:null, &quot;locationimageurl&quot;:null, &quot;_distance&quot;:&quot;7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49745&quot;, &quot;url&quot;:null, &quot;postalcode&quot;:&quot;M6S 1P5&quot;, &quot;province&quot;:&quot;ON&quot;, &quot;sustainabilityurl&quot;:null, &quot;hoursmon&quot;:&quot;Please Call&quot;, &quot;longitude&quot;:&quot;-79.482619375&quot;, &quot;uid&quot;:400726499, &quot;retailerlinkurl&quot;:null, &quot;hourssat&quot;:&quot;Please Call&quot;, &quot;clientkey&quot;:&quot;157927&quot;, &quot;name&quot;:&quot;ListenUp! Canada&quot;, &quot;locationlinkurl&quot;:null, &quot;address1&quot;:&quot;239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7-7523&quot;, &quot;address2&quot;:null, &quot;locationimageurl&quot;:null, &quot;_distance&quot;:&quot;8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04605263158&quot;, &quot;url&quot;:null, &quot;postalcode&quot;:&quot;M5V 1Z4&quot;, &quot;province&quot;:&quot;ON&quot;, &quot;sustainabilityurl&quot;:null, &quot;hoursmon&quot;:&quot;Please Call&quot;, &quot;longitude&quot;:&quot;-79.3882905263158&quot;, &quot;uid&quot;:106760584, &quot;retailerlinkurl&quot;:null, &quot;hourssat&quot;:&quot;Please Call&quot;, &quot;clientkey&quot;:&quot;24095&quot;, &quot;name&quot;:&quot;Atlas Machinery Supply&quot;, &quot;locationlinkurl&quot;:null, &quot;address1&quot;:&quot;233 Queen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8-3553&quot;, &quot;address2&quot;:null, &quot;locationimageurl&quot;:null, &quot;_distance&quot;:&quot;3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05627272727&quot;, &quot;url&quot;:null, &quot;postalcode&quot;:&quot;L7G 5X7&quot;, &quot;province&quot;:&quot;ON&quot;, &quot;sustainabilityurl&quot;:null, &quot;hoursmon&quot;:&quot;Please Call&quot;, &quot;longitude&quot;:&quot;-79.9088590909091&quot;, &quot;uid&quot;:782932702, &quot;retailerlinkurl&quot;:null, &quot;hourssat&quot;:&quot;Please Call&quot;, &quot;clientkey&quot;:&quot;126194&quot;, &quot;name&quot;:&quot;The UPS Store&quot;, &quot;locationlinkurl&quot;:null, &quot;address1&quot;:&quot;162A Guelph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873-2781&quot;, &quot;address2&quot;:null, &quot;locationimageurl&quot;:null, &quot;_distance&quot;:&quot;9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26&quot;, &quot;url&quot;:null, &quot;postalcode&quot;:&quot;M5A 1E9&quot;, &quot;province&quot;:&quot;ON&quot;, &quot;sustainabilityurl&quot;:null, &quot;hoursmon&quot;:&quot;Please Call&quot;, &quot;longitude&quot;:&quot;-79.36401&quot;, &quot;uid&quot;:1561147176, &quot;retailerlinkurl&quot;:null, &quot;hourssat&quot;:&quot;Please Call&quot;, &quot;clientkey&quot;:&quot;68024&quot;, &quot;name&quot;:&quot;Staples&quot;, &quot;locationlinkurl&quot;:null, &quot;address1&quot;:&quot;250 Front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368-3331&quot;, &quot;address2&quot;:null, &quot;locationimageurl&quot;:null, &quot;_distance&quot;:&quot;2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54&quot;, &quot;url&quot;:null, &quot;postalcode&quot;:&quot;L7G 4B5&quot;, &quot;province&quot;:&quot;ON&quot;, &quot;sustainabilityurl&quot;:null, &quot;hoursmon&quot;:&quot;Please Call&quot;, &quot;longitude&quot;:&quot;-79.92861&quot;, &quot;uid&quot;:26983843, &quot;retailerlinkurl&quot;:null, &quot;hourssat&quot;:&quot;Please Call&quot;, &quot;clientkey&quot;:&quot;165651&quot;, &quot;name&quot;:&quot;Deker Electric Ltd&quot;, &quot;locationlinkurl&quot;:null, &quot;address1&quot;:&quot;11-348 Guelp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Georgetown&quot;, &quot;singleuse&quot;:&quot;Y&quot;, &quot;fax&quot;:null, &quot;country&quot;:&quot;CA&quot;, &quot;logourl&quot;:&quot;http://www.call2recycle.org/notpress/where2getit/call2recycle.png&quot;, &quot;phone&quot;:&quot;905-702-0515&quot;, &quot;address2&quot;:null, &quot;locationimageurl&quot;:null, &quot;_distance&quot;:&quot;8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184625&quot;, &quot;url&quot;:null, &quot;postalcode&quot;:&quot;M6S 1M8&quot;, &quot;province&quot;:&quot;ON&quot;, &quot;sustainabilityurl&quot;:null, &quot;hoursmon&quot;:&quot;Please Call&quot;, &quot;longitude&quot;:&quot;-79.4730225&quot;, &quot;uid&quot;:400726463, &quot;retailerlinkurl&quot;:null, &quot;hourssat&quot;:&quot;Please Call&quot;, &quot;clientkey&quot;:&quot;157997&quot;, &quot;name&quot;:&quot;ListenUp! Canada&quot;, &quot;locationlinkurl&quot;:null, &quot;address1&quot;:&quot;2150 Bloor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769-0097&quot;, &quot;address2&quot;:null, &quot;locationimageurl&quot;:null, &quot;_distance&quot;:&quot;7.5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32061538462&quot;, &quot;url&quot;:null, &quot;postalcode&quot;:&quot;M5G 2J5&quot;, &quot;province&quot;:&quot;ON&quot;, &quot;sustainabilityurl&quot;:null, &quot;hoursmon&quot;:&quot;Please Call&quot;, &quot;longitude&quot;:&quot;-79.3874469230769&quot;, &quot;uid&quot;:1713533615, &quot;retailerlinkurl&quot;:null, &quot;hourssat&quot;:&quot;Please Call&quot;, &quot;clientkey&quot;:&quot;152772&quot;, &quot;name&quot;:&quot;Staples&quot;, &quot;locationlinkurl&quot;:null, &quot;address1&quot;:&quot;375 Universit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598-4818&quot;, &quot;address2&quot;:null, &quot;locationimageurl&quot;:null, &quot;_distance&quot;:&quot;3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73580898888&quot;, &quot;url&quot;:null, &quot;postalcode&quot;:&quot;L6X 0Z8&quot;, &quot;province&quot;:&quot;ON&quot;, &quot;sustainabilityurl&quot;:null, &quot;hoursmon&quot;:&quot;Please Call&quot;, &quot;longitude&quot;:&quot;-79.8165908828266&quot;, &quot;uid&quot;:-853657653, &quot;retailerlinkurl&quot;:null, &quot;hourssat&quot;:&quot;Please Call&quot;, &quot;clientkey&quot;:&quot;161652&quot;, &quot;name&quot;:&quot;Home Depot&quot;, &quot;locationlinkurl&quot;:null, &quot;address1&quot;:&quot;9515 Mississaug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57-1800&quot;, &quot;address2&quot;:null, &quot;locationimageurl&quot;:null, &quot;_distance&quot;:&quot;14.1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598001549726&quot;, &quot;url&quot;:null, &quot;postalcode&quot;:&quot;L5T 1W8&quot;, &quot;province&quot;:&quot;ON&quot;, &quot;sustainabilityurl&quot;:null, &quot;hoursmon&quot;:&quot;Please Call&quot;, &quot;longitude&quot;:&quot;-79.6637084686646&quot;, &quot;uid&quot;:341261721, &quot;retailerlinkurl&quot;:null, &quot;hourssat&quot;:&quot;Please Call&quot;, &quot;clientkey&quot;:&quot;159751&quot;, &quot;name&quot;:&quot;Staples Canada&quot;, &quot;locationlinkurl&quot;:null, &quot;address1&quot;:&quot;6450 Vipond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289-562-2532&quot;, &quot;address2&quot;:null, &quot;locationimageurl&quot;:null, &quot;_distance&quot;:&quot;6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06114285714&quot;, &quot;url&quot;:null, &quot;postalcode&quot;:&quot;M5G 1N8&quot;, &quot;province&quot;:&quot;ON&quot;, &quot;sustainabilityurl&quot;:null, &quot;hoursmon&quot;:&quot;Please Call&quot;, &quot;longitude&quot;:&quot;-79.3857528571429&quot;, &quot;uid&quot;:502592038, &quot;retailerlinkurl&quot;:null, &quot;hourssat&quot;:&quot;Please Call&quot;, &quot;clientkey&quot;:&quot;157990&quot;, &quot;name&quot;:&quot;ListenUp! Canada&quot;, &quot;locationlinkurl&quot;:null, &quot;address1&quot;:&quot;Continental Can Bldg. 790 Bay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1-9124&quot;, &quot;address2&quot;:null, &quot;locationimageurl&quot;:null, &quot;_distance&quot;:&quot;3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12163079398&quot;, &quot;url&quot;:null, &quot;postalcode&quot;:&quot;L4W 5L1&quot;, &quot;province&quot;:&quot;ON&quot;, &quot;sustainabilityurl&quot;:null, &quot;hoursmon&quot;:&quot;Please Call&quot;, &quot;longitude&quot;:&quot;-79.6085778031673&quot;, &quot;uid&quot;:174258532, &quot;retailerlinkurl&quot;:null, &quot;hourssat&quot;:&quot;Please Call&quot;, &quot;clientkey&quot;:&quot;150363&quot;, &quot;name&quot;:&quot;Ricoh Canada&quot;, &quot;locationlinkurl&quot;:null, &quot;address1&quot;:&quot;Business Building 5520 Explorer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call2recycle.png&quot;, &quot;phone&quot;:&quot;905-795-7926&quot;, &quot;address2&quot;:null, &quot;locationimageurl&quot;:null, &quot;_distance&quot;:&quot;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4308&quot;, &quot;url&quot;:null, &quot;postalcode&quot;:&quot;M7A 2E1&quot;, &quot;province&quot;:&quot;ON&quot;, &quot;sustainabilityurl&quot;:null, &quot;hoursmon&quot;:&quot;Please Call&quot;, &quot;longitude&quot;:&quot;-79.3876749&quot;, &quot;uid&quot;:701149148, &quot;retailerlinkurl&quot;:null, &quot;hourssat&quot;:&quot;Please Call&quot;, &quot;clientkey&quot;:&quot;161871&quot;, &quot;name&quot;:&quot;Ministry of Tourism Culture and Sport&quot;, &quot;locationlinkurl&quot;:null, &quot;address1&quot;:&quot;900 Bay St 9th FL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1189&quot;, &quot;address2&quot;:null, &quot;locationimageurl&quot;:null, &quot;_distance&quot;:&quot;4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9486956522&quot;, &quot;url&quot;:null, &quot;postalcode&quot;:&quot;M7A 1N3&quot;, &quot;province&quot;:&quot;ON&quot;, &quot;sustainabilityurl&quot;:null, &quot;hoursmon&quot;:&quot;Please Call&quot;, &quot;longitude&quot;:&quot;-79.3889460869565&quot;, &quot;uid&quot;:-34328420, &quot;retailerlinkurl&quot;:null, &quot;hourssat&quot;:&quot;Please Call&quot;, &quot;clientkey&quot;:&quot;165536&quot;, &quot;name&quot;:&quot;Office of the Corporate Chief Information Officer I+IT&quot;, &quot;locationlinkurl&quot;:null, &quot;address1&quot;:&quot;77 Wellesley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212-8242&quot;, &quot;address2&quot;:null, &quot;locationimageurl&quot;:null, &quot;_distance&quot;:&quot;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39486956522&quot;, &quot;url&quot;:null, &quot;postalcode&quot;:&quot;M7A 1N3&quot;, &quot;province&quot;:&quot;ON&quot;, &quot;sustainabilityurl&quot;:null, &quot;hoursmon&quot;:&quot;Please Call&quot;, &quot;longitude&quot;:&quot;-79.3889460869565&quot;, &quot;uid&quot;:621028094, &quot;retailerlinkurl&quot;:null, &quot;hourssat&quot;:&quot;Please Call&quot;, &quot;clientkey&quot;:&quot;161569&quot;, &quot;name&quot;:&quot;Program Development &amp; Capacity Office HR Ontario&quot;, &quot;locationlinkurl&quot;:null, &quot;address1&quot;:&quot;77 Wellesley St. We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4887&quot;, &quot;address2&quot;:null, &quot;locationimageurl&quot;:null, &quot;_distance&quot;:&quot;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60371428571&quot;, &quot;url&quot;:null, &quot;postalcode&quot;:&quot;M5S 2J2&quot;, &quot;province&quot;:&quot;ON&quot;, &quot;sustainabilityurl&quot;:null, &quot;hoursmon&quot;:&quot;Please Call&quot;, &quot;longitude&quot;:&quot;-79.4035023809524&quot;, &quot;uid&quot;:1217406838, &quot;retailerlinkurl&quot;:null, &quot;hourssat&quot;:&quot;Please Call&quot;, &quot;clientkey&quot;:&quot;140710&quot;, &quot;name&quot;:&quot;MNJCC&quot;, &quot;locationlinkurl&quot;:null, &quot;address1&quot;:&quot;750 Spadina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4-6211&quot;, &quot;address2&quot;:null, &quot;locationimageurl&quot;:null, &quot;_distance&quot;:&quot;4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68838461538&quot;, &quot;url&quot;:null, &quot;postalcode&quot;:&quot;M5S 2B1&quot;, &quot;province&quot;:&quot;ON&quot;, &quot;sustainabilityurl&quot;:null, &quot;hoursmon&quot;:&quot;Please Call&quot;, &quot;longitude&quot;:&quot;-79.3882746153846&quot;, &quot;uid&quot;:341261791, &quot;retailerlinkurl&quot;:null, &quot;hourssat&quot;:&quot;Please Call&quot;, &quot;clientkey&quot;:&quot;160105&quot;, &quot;name&quot;:&quot;Ministry of Health and Long-Term Care&quot;, &quot;locationlinkurl&quot;:null, &quot;address1&quot;:&quot;1075 Bay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327-9447&quot;, &quot;address2&quot;:null, &quot;locationimageurl&quot;:null, &quot;_distance&quot;:&quot;4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0075233941&quot;, &quot;url&quot;:null, &quot;postalcode&quot;:&quot;L5T 2Z9&quot;, &quot;province&quot;:&quot;ON&quot;, &quot;sustainabilityurl&quot;:null, &quot;hoursmon&quot;:&quot;Please Call&quot;, &quot;longitude&quot;:&quot;-79.664780667741&quot;, &quot;uid&quot;:677051360, &quot;retailerlinkurl&quot;:null, &quot;hourssat&quot;:&quot;Please Call&quot;, &quot;clientkey&quot;:&quot;169702&quot;, &quot;name&quot;:&quot;Princess Auto&quot;, &quot;locationlinkurl&quot;:null, &quot;address1&quot;:&quot;6608 Dixi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PrincessAuto_150x150.png&quot;, &quot;phone&quot;:&quot;905-564-1011&quot;, &quot;address2&quot;:null, &quot;locationimageurl&quot;:null, &quot;_distance&quot;:&quot;5.5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0095533643&quot;, &quot;url&quot;:null, &quot;postalcode&quot;:&quot;L5T 1G6&quot;, &quot;province&quot;:&quot;ON&quot;, &quot;sustainabilityurl&quot;:null, &quot;hoursmon&quot;:&quot;Please Call&quot;, &quot;longitude&quot;:&quot;-79.6452371511541&quot;, &quot;uid&quot;:689474106, &quot;retailerlinkurl&quot;:null, &quot;hourssat&quot;:&quot;Please Call&quot;, &quot;clientkey&quot;:&quot;169778&quot;, &quot;name&quot;:&quot;Staples Canada&quot;, &quot;locationlinkurl&quot;:null, &quot;address1&quot;:&quot;1865 Mey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ississauga&quot;, &quot;singleuse&quot;:&quot;Y&quot;, &quot;fax&quot;:null, &quot;country&quot;:&quot;CA&quot;, &quot;logourl&quot;:&quot;http://www.call2recycle.org/notpress/where2getit/staples.png&quot;, &quot;phone&quot;:&quot;905-565-2545&quot;, &quot;address2&quot;:null, &quot;locationimageurl&quot;:null, &quot;_distance&quot;:&quot;5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86185294118&quot;, &quot;url&quot;:null, &quot;postalcode&quot;:&quot;M4M 3G6&quot;, &quot;province&quot;:&quot;ON&quot;, &quot;sustainabilityurl&quot;:null, &quot;hoursmon&quot;:&quot;Please Call&quot;, &quot;longitude&quot;:&quot;-79.3382991176471&quot;, &quot;uid&quot;:1182200003, &quot;retailerlinkurl&quot;:null, &quot;hourssat&quot;:&quot;Please Call&quot;, &quot;clientkey&quot;:&quot;78351&quot;, &quot;name&quot;:&quot;Home Depot&quot;, &quot;locationlinkurl&quot;:null, &quot;address1&quot;:&quot;Gerrard Square Shopping Mall 1000 Gerrard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462-6270&quot;, &quot;address2&quot;:null, &quot;locationimageurl&quot;:null, &quot;_distance&quot;:&quot;3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94475&quot;, &quot;url&quot;:null, &quot;postalcode&quot;:&quot;M6N 5G8&quot;, &quot;province&quot;:&quot;ON&quot;, &quot;sustainabilityurl&quot;:null, &quot;hoursmon&quot;:&quot;Please Call&quot;, &quot;longitude&quot;:&quot;-79.4700725&quot;, &quot;uid&quot;:708492656, &quot;retailerlinkurl&quot;:null, &quot;hourssat&quot;:&quot;Please Call&quot;, &quot;clientkey&quot;:&quot;132807&quot;, &quot;name&quot;:&quot;Best Buy Canada&quot;, &quot;locationlinkurl&quot;:null, &quot;address1&quot;:&quot;10 Old Stock Yard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766-1577&quot;, &quot;address2&quot;:null, &quot;locationimageurl&quot;:null, &quot;_distance&quot;:&quot;7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694475&quot;, &quot;url&quot;:null, &quot;postalcode&quot;:&quot;M6N 5G8&quot;, &quot;province&quot;:&quot;ON&quot;, &quot;sustainabilityurl&quot;:null, &quot;hoursmon&quot;:&quot;Please Call&quot;, &quot;longitude&quot;:&quot;-79.4700725&quot;, &quot;uid&quot;:708492656, &quot;retailerlinkurl&quot;:null, &quot;hourssat&quot;:&quot;Please Call&quot;, &quot;clientkey&quot;:&quot;132807&quot;, &quot;name&quot;:&quot;Best Buy Canada&quot;, &quot;locationlinkurl&quot;:null, &quot;address1&quot;:&quot;10 Old Stock Yard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766-1577&quot;, &quot;address2&quot;:null, &quot;locationimageurl&quot;:null, &quot;_distance&quot;:&quot;7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00824&quot;, &quot;url&quot;:null, &quot;postalcode&quot;:&quot;M6N 3E2&quot;, &quot;province&quot;:&quot;ON&quot;, &quot;sustainabilityurl&quot;:null, &quot;hoursmon&quot;:&quot;Please Call&quot;, &quot;longitude&quot;:&quot;-79.4664952&quot;, &quot;uid&quot;:116280463, &quot;retailerlinkurl&quot;:null, &quot;hourssat&quot;:&quot;Please Call&quot;, &quot;clientkey&quot;:&quot;150705&quot;, &quot;name&quot;:&quot;Staples&quot;, &quot;locationlinkurl&quot;:null, &quot;address1&quot;:&quot;542 Keel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762-2816&quot;, &quot;address2&quot;:null, &quot;locationimageurl&quot;:null, &quot;_distance&quot;:&quot;7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00824&quot;, &quot;url&quot;:null, &quot;postalcode&quot;:&quot;M6N 3E2&quot;, &quot;province&quot;:&quot;ON&quot;, &quot;sustainabilityurl&quot;:null, &quot;hoursmon&quot;:&quot;Please Call&quot;, &quot;longitude&quot;:&quot;-79.4664952&quot;, &quot;uid&quot;:116280463, &quot;retailerlinkurl&quot;:null, &quot;hourssat&quot;:&quot;Please Call&quot;, &quot;clientkey&quot;:&quot;150705&quot;, &quot;name&quot;:&quot;Staples&quot;, &quot;locationlinkurl&quot;:null, &quot;address1&quot;:&quot;542 Keel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762-2816&quot;, &quot;address2&quot;:null, &quot;locationimageurl&quot;:null, &quot;_distance&quot;:&quot;7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48&quot;, &quot;url&quot;:null, &quot;postalcode&quot;:&quot;M4E 1E3&quot;, &quot;province&quot;:&quot;ON&quot;, &quot;sustainabilityurl&quot;:null, &quot;hoursmon&quot;:&quot;Please Call&quot;, &quot;longitude&quot;:&quot;-79.2932566666667&quot;, &quot;uid&quot;:392185512, &quot;retailerlinkurl&quot;:null, &quot;hourssat&quot;:&quot;Please Call&quot;, &quot;clientkey&quot;:&quot;162188&quot;, &quot;name&quot;:&quot;ListenUp! Canada&quot;, &quot;locationlinkurl&quot;:null, &quot;address1&quot;:&quot;2144B Queen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.9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7588&quot;, &quot;url&quot;:null, &quot;postalcode&quot;:&quot;M6N 5A8&quot;, &quot;province&quot;:&quot;ON&quot;, &quot;sustainabilityurl&quot;:null, &quot;hoursmon&quot;:&quot;Please Call&quot;, &quot;longitude&quot;:&quot;-79.470253&quot;, &quot;uid&quot;:1182188660, &quot;retailerlinkurl&quot;:null, &quot;hourssat&quot;:&quot;Please Call&quot;, &quot;clientkey&quot;:&quot;39392&quot;, &quot;name&quot;:&quot;Home Depot&quot;, &quot;locationlinkurl&quot;:null, &quot;address1&quot;:&quot;212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66-2800&quot;, &quot;address2&quot;:null, &quot;locationimageurl&quot;:null, &quot;_distance&quot;:&quot;7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17588&quot;, &quot;url&quot;:null, &quot;postalcode&quot;:&quot;M6N 5A8&quot;, &quot;province&quot;:&quot;ON&quot;, &quot;sustainabilityurl&quot;:null, &quot;hoursmon&quot;:&quot;Please Call&quot;, &quot;longitude&quot;:&quot;-79.470253&quot;, &quot;uid&quot;:1182188660, &quot;retailerlinkurl&quot;:null, &quot;hourssat&quot;:&quot;Please Call&quot;, &quot;clientkey&quot;:&quot;39392&quot;, &quot;name&quot;:&quot;Home Depot&quot;, &quot;locationlinkurl&quot;:null, &quot;address1&quot;:&quot;212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66-2800&quot;, &quot;address2&quot;:null, &quot;locationimageurl&quot;:null, &quot;_distance&quot;:&quot;7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655&quot;, &quot;url&quot;:null, &quot;postalcode&quot;:&quot;L6W 4V2&quot;, &quot;province&quot;:&quot;ON&quot;, &quot;sustainabilityurl&quot;:null, &quot;hoursmon&quot;:&quot;Please Call&quot;, &quot;longitude&quot;:&quot;-79.72394&quot;, &quot;uid&quot;:1182176057, &quot;retailerlinkurl&quot;:null, &quot;hourssat&quot;:&quot;Please Call&quot;, &quot;clientkey&quot;:&quot;105411&quot;, &quot;name&quot;:&quot;Lowes&quot;, &quot;locationlinkurl&quot;:null, &quot;address1&quot;:&quot;370 Kennedy Rd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lowes.png&quot;, &quot;phone&quot;:&quot;905-874-5000&quot;, &quot;address2&quot;:null, &quot;locationimageurl&quot;:null, &quot;_distance&quot;:&quot;7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934&quot;, &quot;url&quot;:null, &quot;postalcode&quot;:&quot;L6W 4R8&quot;, &quot;province&quot;:&quot;ON&quot;, &quot;sustainabilityurl&quot;:null, &quot;hoursmon&quot;:&quot;Please Call&quot;, &quot;longitude&quot;:&quot;-79.71553&quot;, &quot;uid&quot;:1986321997, &quot;retailerlinkurl&quot;:null, &quot;hourssat&quot;:&quot;Please Call&quot;, &quot;clientkey&quot;:&quot;154783&quot;, &quot;name&quot;:&quot;Home Depot&quot;, &quot;locationlinkurl&quot;:null, &quot;address1&quot;:&quot;49 First Gulf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57-1800&quot;, &quot;address2&quot;:null, &quot;locationimageurl&quot;:null, &quot;_distance&quot;:&quot;6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796533333333&quot;, &quot;url&quot;:null, &quot;postalcode&quot;:&quot;M4W 2L8&quot;, &quot;province&quot;:&quot;ON&quot;, &quot;sustainabilityurl&quot;:null, &quot;hoursmon&quot;:&quot;Please Call&quot;, &quot;longitude&quot;:&quot;-79.3906066666667&quot;, &quot;uid&quot;:1660789919, &quot;retailerlinkurl&quot;:null, &quot;hourssat&quot;:&quot;Please Call&quot;, &quot;clientkey&quot;:&quot;68023&quot;, &quot;name&quot;:&quot;Staples&quot;, &quot;locationlinkurl&quot;:null, &quot;address1&quot;:&quot;1140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961-4949&quot;, &quot;address2&quot;:null, &quot;locationimageurl&quot;:null, &quot;_distance&quot;:&quot;5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11083333333&quot;, &quot;url&quot;:null, &quot;postalcode&quot;:&quot;M9W 1A4&quot;, &quot;province&quot;:&quot;ON&quot;, &quot;sustainabilityurl&quot;:null, &quot;hoursmon&quot;:&quot;Please Call&quot;, &quot;longitude&quot;:&quot;-79.5916170833333&quot;, &quot;uid&quot;:1182185252, &quot;retailerlinkurl&quot;:null, &quot;hourssat&quot;:&quot;Please Call&quot;, &quot;clientkey&quot;:&quot;35355&quot;, &quot;name&quot;:&quot;Lakeshore Communications&quot;, &quot;locationlinkurl&quot;:null, &quot;address1&quot;:&quot;30 Meteor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675-2929&quot;, &quot;address2&quot;:null, &quot;locationimageurl&quot;:null, &quot;_distance&quot;:&quot;3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33973255541&quot;, &quot;url&quot;:null, &quot;postalcode&quot;:&quot;M4W 3X8&quot;, &quot;province&quot;:&quot;ON&quot;, &quot;sustainabilityurl&quot;:null, &quot;hoursmon&quot;:&quot;Please Call&quot;, &quot;longitude&quot;:&quot;-79.3650023256323&quot;, &quot;uid&quot;:-725079491, &quot;retailerlinkurl&quot;:null, &quot;hourssat&quot;:&quot;Please Call&quot;, &quot;clientkey&quot;:&quot;158147&quot;, &quot;name&quot;:&quot;Evergreen Brick Works&quot;, &quot;locationlinkurl&quot;:null, &quot;address1&quot;:&quot;550 Bayview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96-1495&quot;, &quot;address2&quot;:null, &quot;locationimageurl&quot;:null, &quot;_distance&quot;:&quot;4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77735&quot;, &quot;url&quot;:null, &quot;postalcode&quot;:&quot;M4V 1K7&quot;, &quot;province&quot;:&quot;ON&quot;, &quot;sustainabilityurl&quot;:null, &quot;hoursmon&quot;:&quot;Please Call&quot;, &quot;longitude&quot;:&quot;-79.3943262&quot;, &quot;uid&quot;:392185282, &quot;retailerlinkurl&quot;:null, &quot;hourssat&quot;:&quot;Please Call&quot;, &quot;clientkey&quot;:&quot;157673&quot;, &quot;name&quot;:&quot;ListenUP! Canada&quot;, &quot;locationlinkurl&quot;:null, &quot;address1&quot;:&quot;1 St Clair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5-9223&quot;, &quot;address2&quot;:null, &quot;locationimageurl&quot;:null, &quot;_distance&quot;:&quot;5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86695&quot;, &quot;url&quot;:null, &quot;postalcode&quot;:&quot;M4K 1M8&quot;, &quot;province&quot;:&quot;ON&quot;, &quot;sustainabilityurl&quot;:null, &quot;hoursmon&quot;:&quot;Please Call&quot;, &quot;longitude&quot;:&quot;-79.299492&quot;, &quot;uid&quot;:604842725, &quot;retailerlinkurl&quot;:null, &quot;hourssat&quot;:&quot;Please Call&quot;, &quot;clientkey&quot;:&quot;157925&quot;, &quot;name&quot;:&quot;ListenUp! Canada&quot;, &quot;locationlinkurl&quot;:null, &quot;address1&quot;:&quot;2652 Danforth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691-3305&quot;, &quot;address2&quot;:null, &quot;locationimageurl&quot;:null, &quot;_distance&quot;:&quot;4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88923125&quot;, &quot;url&quot;:null, &quot;postalcode&quot;:&quot;M4T 1Z2&quot;, &quot;province&quot;:&quot;ON&quot;, &quot;sustainabilityurl&quot;:null, &quot;hoursmon&quot;:&quot;Please Call&quot;, &quot;longitude&quot;:&quot;-79.39446125&quot;, &quot;uid&quot;:797673805, &quot;retailerlinkurl&quot;:null, &quot;hourssat&quot;:&quot;Please Call&quot;, &quot;clientkey&quot;:&quot;157926&quot;, &quot;name&quot;:&quot;ListenUp! Canada&quot;, &quot;locationlinkurl&quot;:null, &quot;address1&quot;:&quot;1493 Yong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920-7474&quot;, &quot;address2&quot;:null, &quot;locationimageurl&quot;:null, &quot;_distance&quot;:&quot;5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9088&quot;, &quot;url&quot;:null, &quot;postalcode&quot;:&quot;M4C 1M9&quot;, &quot;province&quot;:&quot;ON&quot;, &quot;sustainabilityurl&quot;:null, &quot;hoursmon&quot;:&quot;Please Call&quot;, &quot;longitude&quot;:&quot;-79.2898&quot;, &quot;uid&quot;:1768005611, &quot;retailerlinkurl&quot;:null, &quot;hourssat&quot;:&quot;Please Call&quot;, &quot;clientkey&quot;:&quot;68025&quot;, &quot;name&quot;:&quot;Staples&quot;, &quot;locationlinkurl&quot;:null, &quot;address1&quot;:&quot;3003 Danforth Ave Unit 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686-4711&quot;, &quot;address2&quot;:null, &quot;locationimageurl&quot;:null, &quot;_distance&quot;:&quot;5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69355&quot;, &quot;url&quot;:null, &quot;postalcode&quot;:&quot;M9W 5G6&quot;, &quot;province&quot;:&quot;ON&quot;, &quot;sustainabilityurl&quot;:null, &quot;hoursmon&quot;:&quot;Please Call&quot;, &quot;longitude&quot;:&quot;-79.59861&quot;, &quot;uid&quot;:636392832, &quot;retailerlinkurl&quot;:null, &quot;hourssat&quot;:&quot;Please Call&quot;, &quot;clientkey&quot;:&quot;169589&quot;, &quot;name&quot;:&quot;Franklin Empire&quot;, &quot;locationlinkurl&quot;:null, &quot;address1&quot;:&quot;350 Carlingview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call2recycle.png&quot;, &quot;phone&quot;:&quot;416-248-0176&quot;, &quot;address2&quot;:null, &quot;locationimageurl&quot;:null, &quot;_distance&quot;:&quot;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2625&quot;, &quot;url&quot;:null, &quot;postalcode&quot;:&quot;M6B 3X8&quot;, &quot;province&quot;:&quot;ON&quot;, &quot;sustainabilityurl&quot;:null, &quot;hoursmon&quot;:&quot;Please Call&quot;, &quot;longitude&quot;:&quot;-79.4641591666667&quot;, &quot;uid&quot;:1841671316, &quot;retailerlinkurl&quot;:null, &quot;hourssat&quot;:&quot;Please Call&quot;, &quot;clientkey&quot;:&quot;43570&quot;, &quot;name&quot;:&quot;Home Depot&quot;, &quot;locationlinkurl&quot;:null, &quot;address1&quot;:&quot;825 Caledon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80-4730&quot;, &quot;address2&quot;:null, &quot;locationimageurl&quot;:null, &quot;_distance&quot;:&quot;6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2625&quot;, &quot;url&quot;:null, &quot;postalcode&quot;:&quot;M6B 3X8&quot;, &quot;province&quot;:&quot;ON&quot;, &quot;sustainabilityurl&quot;:null, &quot;hoursmon&quot;:&quot;Please Call&quot;, &quot;longitude&quot;:&quot;-79.4641591666667&quot;, &quot;uid&quot;:1841671316, &quot;retailerlinkurl&quot;:null, &quot;hourssat&quot;:&quot;Please Call&quot;, &quot;clientkey&quot;:&quot;43570&quot;, &quot;name&quot;:&quot;Home Depot&quot;, &quot;locationlinkurl&quot;:null, &quot;address1&quot;:&quot;825 Caledonia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80-4730&quot;, &quot;address2&quot;:null, &quot;locationimageurl&quot;:null, &quot;_distance&quot;:&quot;8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9&quot;, &quot;url&quot;:null, &quot;postalcode&quot;:&quot;M6B 4J3&quot;, &quot;province&quot;:&quot;ON&quot;, &quot;sustainabilityurl&quot;:null, &quot;hoursmon&quot;:&quot;Please Call&quot;, &quot;longitude&quot;:&quot;-79.452005&quot;, &quot;uid&quot;:502592007, &quot;retailerlinkurl&quot;:null, &quot;hourssat&quot;:&quot;Please Call&quot;, &quot;clientkey&quot;:&quot;157946&quot;, &quot;name&quot;:&quot;ListenUp! Canada&quot;, &quot;locationlinkurl&quot;:null, &quot;address1&quot;:&quot;Business Building 2700 Duffer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York&quot;, &quot;singleuse&quot;:&quot;Y&quot;, &quot;fax&quot;:null, &quot;country&quot;:&quot;CA&quot;, &quot;logourl&quot;:&quot;http://www.call2recycle.org/notpress/where2getit/call2recycle.png&quot;, &quot;phone&quot;:&quot;416-630-5111&quot;, &quot;address2&quot;:null, &quot;locationimageurl&quot;:null, &quot;_distance&quot;:&quot;7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19&quot;, &quot;url&quot;:null, &quot;postalcode&quot;:&quot;M6B 4J3&quot;, &quot;province&quot;:&quot;ON&quot;, &quot;sustainabilityurl&quot;:null, &quot;hoursmon&quot;:&quot;Please Call&quot;, &quot;longitude&quot;:&quot;-79.452005&quot;, &quot;uid&quot;:502592007, &quot;retailerlinkurl&quot;:null, &quot;hourssat&quot;:&quot;Please Call&quot;, &quot;clientkey&quot;:&quot;157946&quot;, &quot;name&quot;:&quot;ListenUp! Canada&quot;, &quot;locationlinkurl&quot;:null, &quot;address1&quot;:&quot;Business Building 2700 Duffer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York&quot;, &quot;singleuse&quot;:&quot;Y&quot;, &quot;fax&quot;:null, &quot;country&quot;:&quot;CA&quot;, &quot;logourl&quot;:&quot;http://www.call2recycle.org/notpress/where2getit/call2recycle.png&quot;, &quot;phone&quot;:&quot;416-630-5111&quot;, &quot;address2&quot;:null, &quot;locationimageurl&quot;:null, &quot;_distance&quot;:&quot;8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528&quot;, &quot;url&quot;:null, &quot;postalcode&quot;:&quot;M4G 3T4&quot;, &quot;province&quot;:&quot;ON&quot;, &quot;sustainabilityurl&quot;:null, &quot;hoursmon&quot;:&quot;Please Call&quot;, &quot;longitude&quot;:&quot;-79.36148&quot;, &quot;uid&quot;:1025961988, &quot;retailerlinkurl&quot;:null, &quot;hourssat&quot;:&quot;Please Call&quot;, &quot;clientkey&quot;:&quot;153573&quot;, &quot;name&quot;:&quot;Telus&quot;, &quot;locationlinkurl&quot;:null, &quot;address1&quot;:&quot;73 Lai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ast York&quot;, &quot;singleuse&quot;:&quot;Y&quot;, &quot;fax&quot;:null, &quot;country&quot;:&quot;CA&quot;, &quot;logourl&quot;:&quot;http://www.call2recycle.org/notpress/where2getit/call2recycle.png&quot;, &quot;phone&quot;:&quot;416-422-6422&quot;, &quot;address2&quot;:null, &quot;locationimageurl&quot;:null, &quot;_distance&quot;:&quot;6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865&quot;, &quot;url&quot;:null, &quot;postalcode&quot;:&quot;M9W 4J4&quot;, &quot;province&quot;:&quot;ON&quot;, &quot;sustainabilityurl&quot;:null, &quot;hoursmon&quot;:&quot;Please Call&quot;, &quot;longitude&quot;:&quot;-79.565265&quot;, &quot;uid&quot;:116280485, &quot;retailerlinkurl&quot;:null, &quot;hourssat&quot;:&quot;Please Call&quot;, &quot;clientkey&quot;:&quot;153313&quot;, &quot;name&quot;:&quot;Home Depot&quot;, &quot;locationlinkurl&quot;:null, &quot;address1&quot;:&quot;1983 Kipling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homedepot.png&quot;, &quot;phone&quot;:&quot;416-746-1357&quot;, &quot;address2&quot;:null, &quot;locationimageurl&quot;:null, &quot;_distance&quot;:&quot;2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89125&quot;, &quot;url&quot;:null, &quot;postalcode&quot;:&quot;M4B 3L8&quot;, &quot;province&quot;:&quot;ON&quot;, &quot;sustainabilityurl&quot;:null, &quot;hoursmon&quot;:&quot;Please Call&quot;, &quot;longitude&quot;:&quot;-79.3134525&quot;, &quot;uid&quot;:1182185287, &quot;retailerlinkurl&quot;:null, &quot;hourssat&quot;:&quot;Please Call&quot;, &quot;clientkey&quot;:&quot;39390&quot;, &quot;name&quot;:&quot;Home Depot&quot;, &quot;locationlinkurl&quot;:null, &quot;address1&quot;:&quot;7 Curit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752-5900&quot;, &quot;address2&quot;:null, &quot;locationimageurl&quot;:null, &quot;_distance&quot;:&quot;6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096685185185&quot;, &quot;url&quot;:null, &quot;postalcode&quot;:&quot;M4P 2H4&quot;, &quot;province&quot;:&quot;ON&quot;, &quot;sustainabilityurl&quot;:null, &quot;hoursmon&quot;:&quot;Please Call&quot;, &quot;longitude&quot;:&quot;-79.398972962963&quot;, &quot;uid&quot;:797673839, &quot;retailerlinkurl&quot;:null, &quot;hourssat&quot;:&quot;Please Call&quot;, &quot;clientkey&quot;:&quot;132812&quot;, &quot;name&quot;:&quot;Best Buy Canada&quot;, &quot;locationlinkurl&quot;:null, &quot;address1&quot;:&quot;2400 Yong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bestbuy.png&quot;, &quot;phone&quot;:&quot;416-489-4726&quot;, &quot;address2&quot;:null, &quot;locationimageurl&quot;:null, &quot;_distance&quot;:&quot;7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0257&quot;, &quot;url&quot;:null, &quot;postalcode&quot;:&quot;M4P 3A1&quot;, &quot;province&quot;:&quot;ON&quot;, &quot;sustainabilityurl&quot;:null, &quot;hoursmon&quot;:&quot;Please Call&quot;, &quot;longitude&quot;:&quot;-79.3772455&quot;, &quot;uid&quot;:1635920293, &quot;retailerlinkurl&quot;:null, &quot;hourssat&quot;:&quot;Please Call&quot;, &quot;clientkey&quot;:&quot;68030&quot;, &quot;name&quot;:&quot;Staples&quot;, &quot;locationlinkurl&quot;:null, &quot;address1&quot;:&quot;945 Eglinton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696-0043&quot;, &quot;address2&quot;:null, &quot;locationimageurl&quot;:null, &quot;_distance&quot;:&quot;6.7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1904510481&quot;, &quot;url&quot;:null, &quot;postalcode&quot;:&quot;L6T 1C1&quot;, &quot;province&quot;:&quot;ON&quot;, &quot;sustainabilityurl&quot;:null, &quot;hoursmon&quot;:&quot;Please Call&quot;, &quot;longitude&quot;:&quot;-79.6904347644193&quot;, &quot;uid&quot;:1707706644, &quot;retailerlinkurl&quot;:null, &quot;hourssat&quot;:&quot;Please Call&quot;, &quot;clientkey&quot;:&quot;152640&quot;, &quot;name&quot;:&quot;Transcontinental Printing&quot;, &quot;locationlinkurl&quot;:null, &quot;address1&quot;:&quot;138 East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call2recycle.png&quot;, &quot;phone&quot;:&quot;905-458-4777&quot;, &quot;address2&quot;:null, &quot;locationimageurl&quot;:null, &quot;_distance&quot;:&quot;4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1146&quot;, &quot;url&quot;:null, &quot;postalcode&quot;:&quot;M4G 4H9&quot;, &quot;province&quot;:&quot;ON&quot;, &quot;sustainabilityurl&quot;:null, &quot;hoursmon&quot;:&quot;Please Call&quot;, &quot;longitude&quot;:&quot;-79.35851&quot;, &quot;uid&quot;:1182198085, &quot;retailerlinkurl&quot;:null, &quot;hourssat&quot;:&quot;Please Call&quot;, &quot;clientkey&quot;:&quot;57191&quot;, &quot;name&quot;:&quot;Home Depot&quot;, &quot;locationlinkurl&quot;:null, &quot;address1&quot;:&quot;101 Wicksteed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467-2300&quot;, &quot;address2&quot;:null, &quot;locationimageurl&quot;:null, &quot;_distance&quot;:&quot;6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05099&quot;, &quot;url&quot;:null, &quot;postalcode&quot;:&quot;M9W 6K5&quot;, &quot;province&quot;:&quot;ON&quot;, &quot;sustainabilityurl&quot;:null, &quot;hoursmon&quot;:&quot;Please Call&quot;, &quot;longitude&quot;:&quot;-79.6000779&quot;, &quot;uid&quot;:341261755, &quot;retailerlinkurl&quot;:null, &quot;hourssat&quot;:&quot;Please Call&quot;, &quot;clientkey&quot;:&quot;159868&quot;, &quot;name&quot;:&quot;Best Buy&quot;, &quot;locationlinkurl&quot;:null, &quot;address1&quot;:&quot;Woodbine Plaza 500 Boulevard Rexdal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Etobicoke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0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304875&quot;, &quot;url&quot;:null, &quot;postalcode&quot;:&quot;M1M 1N5&quot;, &quot;province&quot;:&quot;ON&quot;, &quot;sustainabilityurl&quot;:null, &quot;hoursmon&quot;:&quot;Please Call&quot;, &quot;longitude&quot;:&quot;-79.2349525&quot;, &quot;uid&quot;:400726495, &quot;retailerlinkurl&quot;:null, &quot;hourssat&quot;:&quot;Please Call&quot;, &quot;clientkey&quot;:&quot;157924&quot;, &quot;name&quot;:&quot;ListenUp! Canada&quot;, &quot;locationlinkurl&quot;:null, &quot;address1&quot;:&quot;2890 Kingsto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65-4427&quot;, &quot;address2&quot;:null, &quot;locationimageurl&quot;:null, &quot;_distance&quot;:&quot;8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92761&quot;, &quot;url&quot;:null, &quot;postalcode&quot;:&quot;M1L 2M6&quot;, &quot;province&quot;:&quot;ON&quot;, &quot;sustainabilityurl&quot;:null, &quot;hoursmon&quot;:&quot;Please Call&quot;, &quot;longitude&quot;:&quot;-79.2841259&quot;, &quot;uid&quot;:1637096179, &quot;retailerlinkurl&quot;:null, &quot;hourssat&quot;:&quot;Please Call&quot;, &quot;clientkey&quot;:&quot;68014&quot;, &quot;name&quot;:&quot;Staples&quot;, &quot;locationlinkurl&quot;:null, &quot;address1&quot;:&quot;1980 Eglinton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staples.png&quot;, &quot;phone&quot;:&quot;416-752-1091&quot;, &quot;address2&quot;:null, &quot;locationimageurl&quot;:null, &quot;_distance&quot;:&quot;7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298423415831&quot;, &quot;url&quot;:null, &quot;postalcode&quot;:&quot;M3K 2C8&quot;, &quot;province&quot;:&quot;ON&quot;, &quot;sustainabilityurl&quot;:null, &quot;hoursmon&quot;:&quot;Please Call&quot;, &quot;longitude&quot;:&quot;-79.4540872039017&quot;, &quot;uid&quot;:1991949933, &quot;retailerlinkurl&quot;:null, &quot;hourssat&quot;:&quot;Please Call&quot;, &quot;clientkey&quot;:&quot;43571&quot;, &quot;name&quot;:&quot;Home Depot&quot;, &quot;locationlinkurl&quot;:null, &quot;address1&quot;:&quot;90 Billy Bishop 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373-6000&quot;, &quot;address2&quot;:null, &quot;locationimageurl&quot;:null, &quot;_distance&quot;:&quot;7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342373913043&quot;, &quot;url&quot;:null, &quot;postalcode&quot;:&quot;M5M 4A3&quot;, &quot;province&quot;:&quot;ON&quot;, &quot;sustainabilityurl&quot;:null, &quot;hoursmon&quot;:&quot;Please Call&quot;, &quot;longitude&quot;:&quot;-79.4197234782609&quot;, &quot;uid&quot;:406327066, &quot;retailerlinkurl&quot;:null, &quot;hourssat&quot;:&quot;Please Call&quot;, &quot;clientkey&quot;:&quot;168560&quot;, &quot;name&quot;:&quot;uBreakiFix&quot;, &quot;locationlinkurl&quot;:null, &quot;address1&quot;:&quot;1957 Avenu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483-3773&quot;, &quot;address2&quot;:null, &quot;locationimageurl&quot;:null, &quot;_distance&quot;:&quot;9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22160823042&quot;, &quot;url&quot;:null, &quot;postalcode&quot;:&quot;L6T 5J1&quot;, &quot;province&quot;:&quot;ON&quot;, &quot;sustainabilityurl&quot;:null, &quot;hoursmon&quot;:&quot;Please Call&quot;, &quot;longitude&quot;:&quot;-79.6973981517214&quot;, &quot;uid&quot;:2027450232, &quot;retailerlinkurl&quot;:null, &quot;hourssat&quot;:&quot;Please Call&quot;, &quot;clientkey&quot;:&quot;68047&quot;, &quot;name&quot;:&quot;Staples&quot;, &quot;locationlinkurl&quot;:null, &quot;address1&quot;:&quot;2937 Queen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staples.png&quot;, &quot;phone&quot;:&quot;905-791-4522&quot;, &quot;address2&quot;:null, &quot;locationimageurl&quot;:null, &quot;_distance&quot;:&quot;5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41644444444&quot;, &quot;url&quot;:null, &quot;postalcode&quot;:&quot;M3B 2W7&quot;, &quot;province&quot;:&quot;ON&quot;, &quot;sustainabilityurl&quot;:null, &quot;hoursmon&quot;:&quot;Please Call&quot;, &quot;longitude&quot;:&quot;-79.3454033333333&quot;, &quot;uid&quot;:400726431, &quot;retailerlinkurl&quot;:null, &quot;hourssat&quot;:&quot;Please Call&quot;, &quot;clientkey&quot;:&quot;157969&quot;, &quot;name&quot;:&quot;ListenUp! Canada&quot;, &quot;locationlinkurl&quot;:null, &quot;address1&quot;:&quot;1262 Don Mill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441-3251&quot;, &quot;address2&quot;:null, &quot;locationimageurl&quot;:null, &quot;_distance&quot;:&quot;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41644444444&quot;, &quot;url&quot;:null, &quot;postalcode&quot;:&quot;M3B 2W7&quot;, &quot;province&quot;:&quot;ON&quot;, &quot;sustainabilityurl&quot;:null, &quot;hoursmon&quot;:&quot;Please Call&quot;, &quot;longitude&quot;:&quot;-79.3454033333333&quot;, &quot;uid&quot;:400726431, &quot;retailerlinkurl&quot;:null, &quot;hourssat&quot;:&quot;Please Call&quot;, &quot;clientkey&quot;:&quot;157969&quot;, &quot;name&quot;:&quot;ListenUp! Canada&quot;, &quot;locationlinkurl&quot;:null, &quot;address1&quot;:&quot;1262 Don Mill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441-3251&quot;, &quot;address2&quot;:null, &quot;locationimageurl&quot;:null, &quot;_distance&quot;:&quot;9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63925195484&quot;, &quot;url&quot;:null, &quot;postalcode&quot;:&quot;L6S 0B8&quot;, &quot;province&quot;:&quot;ON&quot;, &quot;sustainabilityurl&quot;:null, &quot;hoursmon&quot;:&quot;Please Call&quot;, &quot;longitude&quot;:&quot;-79.6994949174633&quot;, &quot;uid&quot;:1182176468, &quot;retailerlinkurl&quot;:null, &quot;hourssat&quot;:&quot;Please Call&quot;, &quot;clientkey&quot;:&quot;129683&quot;, &quot;name&quot;:&quot;Home Depot&quot;, &quot;locationlinkurl&quot;:null, &quot;address1&quot;:&quot;9105 Airport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homedepot.png&quot;, &quot;phone&quot;:&quot;905-494-2200&quot;, &quot;address2&quot;:null, &quot;locationimageurl&quot;:null, &quot;_distance&quot;:&quot;5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771&quot;, &quot;url&quot;:null, &quot;postalcode&quot;:&quot;M2L 2Y5&quot;, &quot;province&quot;:&quot;ON&quot;, &quot;sustainabilityurl&quot;:null, &quot;hoursmon&quot;:&quot;Please Call&quot;, &quot;longitude&quot;:&quot;-79.3856283333333&quot;, &quot;uid&quot;:502592011, &quot;retailerlinkurl&quot;:null, &quot;hourssat&quot;:&quot;Please Call&quot;, &quot;clientkey&quot;:&quot;157959&quot;, &quot;name&quot;:&quot;ListenUp! Canada&quot;, &quot;locationlinkurl&quot;:null, &quot;address1&quot;:&quot;300 York Mill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10-2705&quot;, &quot;address2&quot;:null, &quot;locationimageurl&quot;:null, &quot;_distance&quot;:&quot;9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771&quot;, &quot;url&quot;:null, &quot;postalcode&quot;:&quot;M2L 2Y5&quot;, &quot;province&quot;:&quot;ON&quot;, &quot;sustainabilityurl&quot;:null, &quot;hoursmon&quot;:&quot;Please Call&quot;, &quot;longitude&quot;:&quot;-79.3856283333333&quot;, &quot;uid&quot;:502592011, &quot;retailerlinkurl&quot;:null, &quot;hourssat&quot;:&quot;Please Call&quot;, &quot;clientkey&quot;:&quot;157959&quot;, &quot;name&quot;:&quot;ListenUp! Canada&quot;, &quot;locationlinkurl&quot;:null, &quot;address1&quot;:&quot;300 York Mill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call2recycle.png&quot;, &quot;phone&quot;:&quot;416-510-2705&quot;, &quot;address2&quot;:null, &quot;locationimageurl&quot;:null, &quot;_distance&quot;:&quot;9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49713093676&quot;, &quot;url&quot;:null, &quot;postalcode&quot;:&quot;L6R 0W3&quot;, &quot;province&quot;:&quot;ON&quot;, &quot;sustainabilityurl&quot;:null, &quot;hoursmon&quot;:&quot;Please Call&quot;, &quot;longitude&quot;:&quot;-79.7391703430019&quot;, &quot;uid&quot;:400726424, &quot;retailerlinkurl&quot;:null, &quot;hourssat&quot;:&quot;Please Call&quot;, &quot;clientkey&quot;:&quot;157965&quot;, &quot;name&quot;:&quot;ListenUp! Canada&quot;, &quot;locationlinkurl&quot;:null, &quot;address1&quot;:&quot;2250 Bovaird Dr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ampton&quot;, &quot;singleuse&quot;:&quot;Y&quot;, &quot;fax&quot;:null, &quot;country&quot;:&quot;CA&quot;, &quot;logourl&quot;:&quot;http://www.call2recycle.org/notpress/where2getit/call2recycle.png&quot;, &quot;phone&quot;:&quot;905-595-2844&quot;, &quot;address2&quot;:null, &quot;locationimageurl&quot;:null, &quot;_distance&quot;:&quot;7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5861&quot;, &quot;url&quot;:null, &quot;postalcode&quot;:&quot;M1R 4B7&quot;, &quot;province&quot;:&quot;ON&quot;, &quot;sustainabilityurl&quot;:null, &quot;hoursmon&quot;:&quot;Please Call&quot;, &quot;longitude&quot;:&quot;-79.31211&quot;, &quot;uid&quot;:-1182935221, &quot;retailerlinkurl&quot;:null, &quot;hourssat&quot;:&quot;Please Call&quot;, &quot;clientkey&quot;:&quot;102528&quot;, &quot;name&quot;:&quot;Staples&quot;, &quot;locationlinkurl&quot;:null, &quot;address1&quot;:&quot;95 Ellesmere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444-5237&quot;, &quot;address2&quot;:null, &quot;locationimageurl&quot;:null, &quot;_distance&quot;:&quot;8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01748&quot;, &quot;url&quot;:null, &quot;postalcode&quot;:&quot;M1H 1A9&quot;, &quot;province&quot;:&quot;ON&quot;, &quot;sustainabilityurl&quot;:null, &quot;hoursmon&quot;:&quot;Please Call&quot;, &quot;longitude&quot;:&quot;-79.2284333&quot;, &quot;uid&quot;:400726444, &quot;retailerlinkurl&quot;:null, &quot;hourssat&quot;:&quot;Please Call&quot;, &quot;clientkey&quot;:&quot;157978&quot;, &quot;name&quot;:&quot;ListenUp! Canada&quot;, &quot;locationlinkurl&quot;:null, &quot;address1&quot;:&quot;3434 Lawrence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439-7888&quot;, &quot;address2&quot;:null, &quot;locationimageurl&quot;:null, &quot;_distance&quot;:&quot;9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262&quot;, &quot;url&quot;:null, &quot;postalcode&quot;:&quot;M1R 4E6&quot;, &quot;province&quot;:&quot;ON&quot;, &quot;sustainabilityurl&quot;:null, &quot;hoursmon&quot;:&quot;Please Call&quot;, &quot;longitude&quot;:&quot;-79.29468&quot;, &quot;uid&quot;:-2116053969, &quot;retailerlinkurl&quot;:null, &quot;hourssat&quot;:&quot;Please Call&quot;, &quot;clientkey&quot;:&quot;156624&quot;, &quot;name&quot;:&quot;Home Depot&quot;, &quot;locationlinkurl&quot;:null, &quot;address1&quot;:&quot;428 Ellesmer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homedepot.png&quot;, &quot;phone&quot;:&quot;416-609-1800&quot;, &quot;address2&quot;:null, &quot;locationimageurl&quot;:null, &quot;_distance&quot;:&quot;8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65105&quot;, &quot;url&quot;:null, &quot;postalcode&quot;:&quot;M1E 2S2&quot;, &quot;province&quot;:&quot;ON&quot;, &quot;sustainabilityurl&quot;:null, &quot;hoursmon&quot;:&quot;Please Call&quot;, &quot;longitude&quot;:&quot;-79.1926905&quot;, &quot;uid&quot;:400726429, &quot;retailerlinkurl&quot;:null, &quot;hourssat&quot;:&quot;Please Call&quot;, &quot;clientkey&quot;:&quot;157968&quot;, &quot;name&quot;:&quot;ListenUp! Canada&quot;, &quot;locationlinkurl&quot;:null, &quot;address1&quot;:&quot;4125 Lawrence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724-9600&quot;, &quot;address2&quot;:null, &quot;locationimageurl&quot;:null, &quot;_distance&quot;:&quot;10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68118&quot;, &quot;url&quot;:null, &quot;postalcode&quot;:&quot;M2N 6Z4&quot;, &quot;province&quot;:&quot;ON&quot;, &quot;sustainabilityurl&quot;:null, &quot;hoursmon&quot;:&quot;Please Call&quot;, &quot;longitude&quot;:&quot;-79.412616&quot;, &quot;uid&quot;:-725079944, &quot;retailerlinkurl&quot;:null, &quot;hourssat&quot;:&quot;Please Call&quot;, &quot;clientkey&quot;:&quot;24275&quot;, &quot;name&quot;:&quot;Best Buy Canada&quot;, &quot;locationlinkurl&quot;:null, &quot;address1&quot;:&quot;5095 Yonge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bestbuy.png&quot;, &quot;phone&quot;:&quot;416-642-7980&quot;, &quot;address2&quot;:null, &quot;locationimageurl&quot;:null, &quot;_distance&quot;:&quot;8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07414&quot;, &quot;url&quot;:null, &quot;postalcode&quot;:&quot;M2K 1E2&quot;, &quot;province&quot;:&quot;ON&quot;, &quot;sustainabilityurl&quot;:null, &quot;hoursmon&quot;:&quot;Please Call&quot;, &quot;longitude&quot;:&quot;-79.3658736&quot;, &quot;uid&quot;:1913164362, &quot;retailerlinkurl&quot;:null, &quot;hourssat&quot;:&quot;Please Call&quot;, &quot;clientkey&quot;:&quot;141590&quot;, &quot;name&quot;:&quot;Canadian College of Naturopathic Medicine&quot;, &quot;locationlinkurl&quot;:null, &quot;address1&quot;:&quot;1255 Sheppar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498-1255&quot;, &quot;address2&quot;:null, &quot;locationimageurl&quot;:null, &quot;_distance&quot;:&quot;7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5466&quot;, &quot;url&quot;:null, &quot;postalcode&quot;:&quot;M1P 4P5&quot;, &quot;province&quot;:&quot;ON&quot;, &quot;sustainabilityurl&quot;:null, &quot;hoursmon&quot;:&quot;Please Call&quot;, &quot;longitude&quot;:&quot;-79.25395&quot;, &quot;uid&quot;:341261756, &quot;retailerlinkurl&quot;:null, &quot;hourssat&quot;:&quot;Please Call&quot;, &quot;clientkey&quot;:&quot;159869&quot;, &quot;name&quot;:&quot;Best Buy&quot;, &quot;locationlinkurl&quot;:null, &quot;address1&quot;:&quot;Scarborough Town Centre 300 Borough Dri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7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7976&quot;, &quot;url&quot;:null, &quot;postalcode&quot;:&quot;M2M 3X4&quot;, &quot;province&quot;:&quot;ON&quot;, &quot;sustainabilityurl&quot;:null, &quot;hoursmon&quot;:&quot;Please Call&quot;, &quot;longitude&quot;:&quot;-79.41556&quot;, &quot;uid&quot;:341261758, &quot;retailerlinkurl&quot;:null, &quot;hourssat&quot;:&quot;Please Call&quot;, &quot;clientkey&quot;:&quot;159872&quot;, &quot;name&quot;:&quot;Best Buy&quot;, &quot;locationlinkurl&quot;:null, &quot;address1&quot;:&quot;106-6464 Yonge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8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07858&quot;, &quot;url&quot;:null, &quot;postalcode&quot;:&quot;M2M 3Y1&quot;, &quot;province&quot;:&quot;ON&quot;, &quot;sustainabilityurl&quot;:null, &quot;hoursmon&quot;:&quot;Please Call&quot;, &quot;longitude&quot;:&quot;-79.4973294&quot;, &quot;uid&quot;:537951724, &quot;retailerlinkurl&quot;:null, &quot;hourssat&quot;:&quot;Please Call&quot;, &quot;clientkey&quot;:&quot;161194&quot;, &quot;name&quot;:&quot;Fastenal&quot;, &quot;locationlinkurl&quot;:null, &quot;address1&quot;:&quot;Steeles Ave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call2recycle.png&quot;, &quot;phone&quot;:&quot;416-646-1681&quot;, &quot;address2&quot;:null, &quot;locationimageurl&quot;:null, &quot;_distance&quot;:&quot;5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216&quot;, &quot;url&quot;:null, &quot;postalcode&quot;:&quot;M1E 5E9&quot;, &quot;province&quot;:&quot;ON&quot;, &quot;sustainabilityurl&quot;:null, &quot;hoursmon&quot;:&quot;Please Call&quot;, &quot;longitude&quot;:&quot;-79.207&quot;, &quot;uid&quot;:400726458, &quot;retailerlinkurl&quot;:null, &quot;hourssat&quot;:&quot;Please Call&quot;, &quot;clientkey&quot;:&quot;157994&quot;, &quot;name&quot;:&quot;ListenUp! Canada&quot;, &quot;locationlinkurl&quot;:null, &quot;address1&quot;:&quot;Medical Business Building 2863 Ellesmer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83-1940&quot;, &quot;address2&quot;:null, &quot;locationimageurl&quot;:null, &quot;_distance&quot;:&quot;8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24005&quot;, &quot;url&quot;:null, &quot;postalcode&quot;:&quot;L4H 0P6&quot;, &quot;province&quot;:&quot;ON&quot;, &quot;sustainabilityurl&quot;:null, &quot;hoursmon&quot;:&quot;Please Call&quot;, &quot;longitude&quot;:&quot;-79.5814143&quot;, &quot;uid&quot;:696651457, &quot;retailerlinkurl&quot;:null, &quot;hourssat&quot;:&quot;Please Call&quot;, &quot;clientkey&quot;:&quot;157992&quot;, &quot;name&quot;:&quot;ListenUp! Canada&quot;, &quot;locationlinkurl&quot;:null, &quot;address1&quot;:&quot;7 Hwy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850-8065&quot;, &quot;address2&quot;:null, &quot;locationimageurl&quot;:null, &quot;_distance&quot;:&quot;3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16&quot;, &quot;url&quot;:null, &quot;postalcode&quot;:&quot;M1S 5K7&quot;, &quot;province&quot;:&quot;ON&quot;, &quot;sustainabilityurl&quot;:null, &quot;hoursmon&quot;:&quot;Please Call&quot;, &quot;longitude&quot;:&quot;-79.25592&quot;, &quot;uid&quot;:677051374, &quot;retailerlinkurl&quot;:null, &quot;hourssat&quot;:&quot;Please Call&quot;, &quot;clientkey&quot;:&quot;169748&quot;, &quot;name&quot;:&quot;Princess Auto&quot;, &quot;locationlinkurl&quot;:null, &quot;address1&quot;:&quot;1455 McCowa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PrincessAuto_150x150.png&quot;, &quot;phone&quot;:&quot;647-253-5600&quot;, &quot;address2&quot;:null, &quot;locationimageurl&quot;:null, &quot;_distance&quot;:&quot;7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6456&quot;, &quot;url&quot;:null, &quot;postalcode&quot;:&quot;M3J 3A8&quot;, &quot;province&quot;:&quot;ON&quot;, &quot;sustainabilityurl&quot;:null, &quot;hoursmon&quot;:&quot;Please Call&quot;, &quot;longitude&quot;:&quot;-79.4809113&quot;, &quot;uid&quot;:1935457476, &quot;retailerlinkurl&quot;:null, &quot;hourssat&quot;:&quot;Please Call&quot;, &quot;clientkey&quot;:&quot;78352&quot;, &quot;name&quot;:&quot;Home Depot&quot;, &quot;locationlinkurl&quot;:null, &quot;address1&quot;:&quot;2375 Steeles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homedepot.png&quot;, &quot;phone&quot;:&quot;416-664-9800&quot;, &quot;address2&quot;:null, &quot;locationimageurl&quot;:null, &quot;_distance&quot;:&quot;10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6456&quot;, &quot;url&quot;:null, &quot;postalcode&quot;:&quot;M3J 3A8&quot;, &quot;province&quot;:&quot;ON&quot;, &quot;sustainabilityurl&quot;:null, &quot;hoursmon&quot;:&quot;Please Call&quot;, &quot;longitude&quot;:&quot;-79.4809113&quot;, &quot;uid&quot;:1935457476, &quot;retailerlinkurl&quot;:null, &quot;hourssat&quot;:&quot;Please Call&quot;, &quot;clientkey&quot;:&quot;78352&quot;, &quot;name&quot;:&quot;Home Depot&quot;, &quot;locationlinkurl&quot;:null, &quot;address1&quot;:&quot;2375 Steeles Ave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York&quot;, &quot;singleuse&quot;:&quot;Y&quot;, &quot;fax&quot;:null, &quot;country&quot;:&quot;CA&quot;, &quot;logourl&quot;:&quot;http://www.call2recycle.org/notpress/where2getit/homedepot.png&quot;, &quot;phone&quot;:&quot;416-664-9800&quot;, &quot;address2&quot;:null, &quot;locationimageurl&quot;:null, &quot;_distance&quot;:&quot;6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47275&quot;, &quot;url&quot;:null, &quot;postalcode&quot;:&quot;L4L 2S7&quot;, &quot;province&quot;:&quot;ON&quot;, &quot;sustainabilityurl&quot;:null, &quot;hoursmon&quot;:&quot;Please Call&quot;, &quot;longitude&quot;:&quot;-79.593464375&quot;, &quot;uid&quot;:642399735, &quot;retailerlinkurl&quot;:null, &quot;hourssat&quot;:&quot;Please Call&quot;, &quot;clientkey&quot;:&quot;168472&quot;, &quot;name&quot;:&quot;Vaughan Public Libraries&quot;, &quot;locationlinkurl&quot;:null, &quot;address1&quot;:&quot;150 Woodbridg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653-7323&quot;, &quot;address2&quot;:null, &quot;locationimageurl&quot;:null, &quot;_distance&quot;:&quot;3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54118&quot;, &quot;url&quot;:null, &quot;postalcode&quot;:&quot;L4L 9J8&quot;, &quot;province&quot;:&quot;ON&quot;, &quot;sustainabilityurl&quot;:null, &quot;hoursmon&quot;:&quot;Please Call&quot;, &quot;longitude&quot;:&quot;-79.5413764&quot;, &quot;uid&quot;:1834474764, &quot;retailerlinkurl&quot;:null, &quot;hourssat&quot;:&quot;Please Call&quot;, &quot;clientkey&quot;:&quot;153718&quot;, &quot;name&quot;:&quot;Staples&quot;, &quot;locationlinkurl&quot;:null, &quot;address1&quot;:&quot;Unit D30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staples.png&quot;, &quot;phone&quot;:&quot;905-856-6588&quot;, &quot;address2&quot;:null, &quot;locationimageurl&quot;:null, &quot;_distance&quot;:&quot;4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5577392966&quot;, &quot;url&quot;:null, &quot;postalcode&quot;:&quot;M1S 3P8&quot;, &quot;province&quot;:&quot;ON&quot;, &quot;sustainabilityurl&quot;:null, &quot;hoursmon&quot;:&quot;Please Call&quot;, &quot;longitude&quot;:&quot;-79.2556527454995&quot;, &quot;uid&quot;:636392811, &quot;retailerlinkurl&quot;:null, &quot;hourssat&quot;:&quot;Please Call&quot;, &quot;clientkey&quot;:&quot;169562&quot;, &quot;name&quot;:&quot;Franklin Empire&quot;, &quot;locationlinkurl&quot;:null, &quot;address1&quot;:&quot;12 Milner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99-4443&quot;, &quot;address2&quot;:null, &quot;locationimageurl&quot;:null, &quot;_distance&quot;:&quot;7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867956637033&quot;, &quot;url&quot;:null, &quot;postalcode&quot;:&quot;L4L 6A9&quot;, &quot;province&quot;:&quot;ON&quot;, &quot;sustainabilityurl&quot;:null, &quot;hoursmon&quot;:&quot;Please Call&quot;, &quot;longitude&quot;:&quot;-79.5535294998399&quot;, &quot;uid&quot;:-1916142271, &quot;retailerlinkurl&quot;:null, &quot;hourssat&quot;:&quot;Please Call&quot;, &quot;clientkey&quot;:&quot;79113&quot;, &quot;name&quot;:&quot;Advantech Communication Systems&quot;, &quot;locationlinkurl&quot;:null, &quot;address1&quot;:&quot;90 Winges Rd Unit 10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call2recycle.png&quot;, &quot;phone&quot;:&quot;905-266-1901&quot;, &quot;address2&quot;:null, &quot;locationimageurl&quot;:null, &quot;_distance&quot;:&quot;4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20975864228&quot;, &quot;url&quot;:null, &quot;postalcode&quot;:&quot;L4L 8T2&quot;, &quot;province&quot;:&quot;ON&quot;, &quot;sustainabilityurl&quot;:null, &quot;hoursmon&quot;:&quot;Please Call&quot;, &quot;longitude&quot;:&quot;-79.5438865267616&quot;, &quot;uid&quot;:1935457485, &quot;retailerlinkurl&quot;:null, &quot;hourssat&quot;:&quot;Please Call&quot;, &quot;clientkey&quot;:&quot;39383&quot;, &quot;name&quot;:&quot;Home Depot&quot;, &quot;locationlinkurl&quot;:null, &quot;address1&quot;:&quot;140 Northview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homedepot.png&quot;, &quot;phone&quot;:&quot;905-851-1800&quot;, &quot;address2&quot;:null, &quot;locationimageurl&quot;:null, &quot;_distance&quot;:&quot;4.9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482&quot;, &quot;url&quot;:null, &quot;postalcode&quot;:&quot;L4K 3Y8&quot;, &quot;province&quot;:&quot;ON&quot;, &quot;sustainabilityurl&quot;:null, &quot;hoursmon&quot;:&quot;Please Call&quot;, &quot;longitude&quot;:&quot;-79.53192&quot;, &quot;uid&quot;:921156536, &quot;retailerlinkurl&quot;:null, &quot;hourssat&quot;:&quot;Please Call&quot;, &quot;clientkey&quot;:&quot;135242&quot;, &quot;name&quot;:&quot;Lowes&quot;, &quot;locationlinkurl&quot;:null, &quot;address1&quot;:&quot;100 Edgeley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lowes.png&quot;, &quot;phone&quot;:&quot;905-532-5630&quot;, &quot;address2&quot;:null, &quot;locationimageurl&quot;:null, &quot;_distance&quot;:&quot;5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84506&quot;, &quot;url&quot;:null, &quot;postalcode&quot;:&quot;L4J 7R5&quot;, &quot;province&quot;:&quot;ON&quot;, &quot;sustainabilityurl&quot;:null, &quot;hoursmon&quot;:&quot;Please Call&quot;, &quot;longitude&quot;:&quot;-79.4709573&quot;, &quot;uid&quot;:1849729758, &quot;retailerlinkurl&quot;:null, &quot;hourssat&quot;:&quot;Please Call&quot;, &quot;clientkey&quot;:&quot;102526&quot;, &quot;name&quot;:&quot;Staples&quot;, &quot;locationlinkurl&quot;:null, &quot;address1&quot;:&quot;1450 Clark Ave W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staples.png&quot;, &quot;phone&quot;:&quot;905-669-5096&quot;, &quot;address2&quot;:null, &quot;locationimageurl&quot;:null, &quot;_distance&quot;:&quot;7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84506&quot;, &quot;url&quot;:null, &quot;postalcode&quot;:&quot;L4J 7R5&quot;, &quot;province&quot;:&quot;ON&quot;, &quot;sustainabilityurl&quot;:null, &quot;hoursmon&quot;:&quot;Please Call&quot;, &quot;longitude&quot;:&quot;-79.4709573&quot;, &quot;uid&quot;:1849729758, &quot;retailerlinkurl&quot;:null, &quot;hourssat&quot;:&quot;Please Call&quot;, &quot;clientkey&quot;:&quot;102526&quot;, &quot;name&quot;:&quot;Staples&quot;, &quot;locationlinkurl&quot;:null, &quot;address1&quot;:&quot;1450 Clark Ave W Unit 1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ornhill&quot;, &quot;singleuse&quot;:&quot;Y&quot;, &quot;fax&quot;:null, &quot;country&quot;:&quot;CA&quot;, &quot;logourl&quot;:&quot;http://www.call2recycle.org/notpress/where2getit/staples.png&quot;, &quot;phone&quot;:&quot;905-669-5096&quot;, &quot;address2&quot;:null, &quot;locationimageurl&quot;:null, &quot;_distance&quot;:&quot;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79976&quot;, &quot;url&quot;:null, &quot;postalcode&quot;:&quot;M1V 1K4&quot;, &quot;province&quot;:&quot;ON&quot;, &quot;sustainabilityurl&quot;:null, &quot;hoursmon&quot;:&quot;Please Call&quot;, &quot;longitude&quot;:&quot;-79.19677&quot;, &quot;uid&quot;:-1895093122, &quot;retailerlinkurl&quot;:null, &quot;hourssat&quot;:&quot;Please Call&quot;, &quot;clientkey&quot;:&quot;144667&quot;, &quot;name&quot;:&quot;Staples&quot;, &quot;locationlinkurl&quot;:null, &quot;address1&quot;:&quot;850 Milner Ave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staples.png&quot;, &quot;phone&quot;:&quot;416-208-7728&quot;, &quot;address2&quot;:null, &quot;locationimageurl&quot;:null, &quot;_distance&quot;:&quot;8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03307&quot;, &quot;url&quot;:null, &quot;postalcode&quot;:&quot;M1T 3T6&quot;, &quot;province&quot;:&quot;ON&quot;, &quot;sustainabilityurl&quot;:null, &quot;hoursmon&quot;:&quot;Please Call&quot;, &quot;longitude&quot;:&quot;-79.3004262&quot;, &quot;uid&quot;:400726416, &quot;retailerlinkurl&quot;:null, &quot;hourssat&quot;:&quot;Please Call&quot;, &quot;clientkey&quot;:&quot;157955&quot;, &quot;name&quot;:&quot;ListenUp! Canada&quot;, &quot;locationlinkurl&quot;:null, &quot;address1&quot;:&quot;Business Building 3850 Finch Ave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494-6901&quot;, &quot;address2&quot;:null, &quot;locationimageurl&quot;:null, &quot;_distance&quot;:&quot;5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14078156504&quot;, &quot;url&quot;:null, &quot;postalcode&quot;:&quot;M1B 5N6&quot;, &quot;province&quot;:&quot;ON&quot;, &quot;sustainabilityurl&quot;:null, &quot;hoursmon&quot;:&quot;Please Call&quot;, &quot;longitude&quot;:&quot;-79.1945958807861&quot;, &quot;uid&quot;:1928299190, &quot;retailerlinkurl&quot;:null, &quot;hourssat&quot;:&quot;Please Call&quot;, &quot;clientkey&quot;:&quot;129688&quot;, &quot;name&quot;:&quot;Home Depot&quot;, &quot;locationlinkurl&quot;:null, &quot;address1&quot;:&quot;60 Grand Marshall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oronto&quot;, &quot;singleuse&quot;:&quot;Y&quot;, &quot;fax&quot;:null, &quot;country&quot;:&quot;CA&quot;, &quot;logourl&quot;:&quot;http://www.call2recycle.org/notpress/where2getit/homedepot.png&quot;, &quot;phone&quot;:&quot;416-283-3166&quot;, &quot;address2&quot;:null, &quot;locationimageurl&quot;:null, &quot;_distance&quot;:&quot;8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644&quot;, &quot;url&quot;:null, &quot;postalcode&quot;:&quot;L1V 1B8&quot;, &quot;province&quot;:&quot;ON&quot;, &quot;sustainabilityurl&quot;:null, &quot;hoursmon&quot;:&quot;Please Call&quot;, &quot;longitude&quot;:&quot;-79.13402&quot;, &quot;uid&quot;:341261752, &quot;retailerlinkurl&quot;:null, &quot;hourssat&quot;:&quot;Please Call&quot;, &quot;clientkey&quot;:&quot;159907&quot;, &quot;name&quot;:&quot;Best Buy&quot;, &quot;locationlinkurl&quot;:null, &quot;address1&quot;:&quot;78-1355 Kingston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4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91281818182&quot;, &quot;url&quot;:null, &quot;postalcode&quot;:&quot;M1B 4Z8&quot;, &quot;province&quot;:&quot;ON&quot;, &quot;sustainabilityurl&quot;:null, &quot;hoursmon&quot;:&quot;Please Call&quot;, &quot;longitude&quot;:&quot;-79.2214209090909&quot;, &quot;uid&quot;:1054244941, &quot;retailerlinkurl&quot;:null, &quot;hourssat&quot;:&quot;Please Call&quot;, &quot;clientkey&quot;:&quot;158003&quot;, &quot;name&quot;:&quot;ListenUp! Canada&quot;, &quot;locationlinkurl&quot;:null, &quot;address1&quot;:&quot;1371 Neils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282-5574&quot;, &quot;address2&quot;:null, &quot;locationimageurl&quot;:null, &quot;_distance&quot;:&quot;7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093601645066&quot;, &quot;url&quot;:null, &quot;postalcode&quot;:&quot;M1B 2W4&quot;, &quot;province&quot;:&quot;ON&quot;, &quot;sustainabilityurl&quot;:null, &quot;hoursmon&quot;:&quot;Please Call&quot;, &quot;longitude&quot;:&quot;-79.2435452702725&quot;, &quot;uid&quot;:537951723, &quot;retailerlinkurl&quot;:null, &quot;hourssat&quot;:&quot;Please Call&quot;, &quot;clientkey&quot;:&quot;161193&quot;, &quot;name&quot;:&quot;Fastenal&quot;, &quot;locationlinkurl&quot;:null, &quot;address1&quot;:&quot;2200 Markham Rd Unit 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646-1681&quot;, &quot;address2&quot;:null, &quot;locationimageurl&quot;:null, &quot;_distance&quot;:&quot;6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06164&quot;, &quot;url&quot;:null, &quot;postalcode&quot;:&quot;M1S 5A5&quot;, &quot;province&quot;:&quot;ON&quot;, &quot;sustainabilityurl&quot;:null, &quot;hoursmon&quot;:&quot;Please Call&quot;, &quot;longitude&quot;:&quot;-79.2528031&quot;, &quot;uid&quot;:1182182490, &quot;retailerlinkurl&quot;:null, &quot;hourssat&quot;:&quot;Please Call&quot;, &quot;clientkey&quot;:&quot;78029&quot;, &quot;name&quot;:&quot;Federal Wireless Communication Inc.&quot;, &quot;locationlinkurl&quot;:null, &quot;address1&quot;:&quot;5250 Finch Ave E Unit 11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call2recycle.png&quot;, &quot;phone&quot;:&quot;416-321-6606&quot;, &quot;address2&quot;:null, &quot;locationimageurl&quot;:null, &quot;_distance&quot;:&quot;5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1413837805&quot;, &quot;url&quot;:null, &quot;postalcode&quot;:&quot;L4K 3M7&quot;, &quot;province&quot;:&quot;ON&quot;, &quot;sustainabilityurl&quot;:null, &quot;hoursmon&quot;:&quot;Please Call&quot;, &quot;longitude&quot;:&quot;-79.4880696655048&quot;, &quot;uid&quot;:119641491, &quot;retailerlinkurl&quot;:null, &quot;hourssat&quot;:&quot;Please Call&quot;, &quot;clientkey&quot;:&quot;110196&quot;, &quot;name&quot;:&quot;Trion Power Tools Services Inc.&quot;, &quot;locationlinkurl&quot;:null, &quot;address1&quot;:&quot;176 Rivermede Rd Unit 7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738-5060&quot;, &quot;address2&quot;:null, &quot;locationimageurl&quot;:null, &quot;_distance&quot;:&quot;7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1413837805&quot;, &quot;url&quot;:null, &quot;postalcode&quot;:&quot;L4K 3M7&quot;, &quot;province&quot;:&quot;ON&quot;, &quot;sustainabilityurl&quot;:null, &quot;hoursmon&quot;:&quot;Please Call&quot;, &quot;longitude&quot;:&quot;-79.4880696655048&quot;, &quot;uid&quot;:119641491, &quot;retailerlinkurl&quot;:null, &quot;hourssat&quot;:&quot;Please Call&quot;, &quot;clientkey&quot;:&quot;110196&quot;, &quot;name&quot;:&quot;Trion Power Tools Services Inc.&quot;, &quot;locationlinkurl&quot;:null, &quot;address1&quot;:&quot;176 Rivermede Rd Unit 78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738-5060&quot;, &quot;address2&quot;:null, &quot;locationimageurl&quot;:null, &quot;_distance&quot;:&quot;9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7102051282&quot;, &quot;url&quot;:null, &quot;postalcode&quot;:&quot;L4K 3N6&quot;, &quot;province&quot;:&quot;ON&quot;, &quot;sustainabilityurl&quot;:null, &quot;hoursmon&quot;:&quot;Please Call&quot;, &quot;longitude&quot;:&quot;-79.4836097435897&quot;, &quot;uid&quot;:1182176133, &quot;retailerlinkurl&quot;:null, &quot;hourssat&quot;:&quot;Please Call&quot;, &quot;clientkey&quot;:&quot;110691&quot;, &quot;name&quot;:&quot;Kelcom&quot;, &quot;locationlinkurl&quot;:null, &quot;address1&quot;:&quot;161 North Rivermed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ncord&quot;, &quot;singleuse&quot;:&quot;Y&quot;, &quot;fax&quot;:null, &quot;country&quot;:&quot;CA&quot;, &quot;logourl&quot;:&quot;http://www.call2recycle.org/notpress/where2getit/call2recycle.png&quot;, &quot;phone&quot;:&quot;905-761-6070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17102051282&quot;, &quot;url&quot;:null, &quot;postalcode&quot;:&quot;L4K 3N6&quot;, &quot;province&quot;:&quot;ON&quot;, &quot;sustainabilityurl&quot;:null, &quot;hoursmon&quot;:&quot;Please Call&quot;, &quot;longitude&quot;:&quot;-79.4836097435897&quot;, &quot;uid&quot;:1182176133, &quot;retailerlinkurl&quot;:null, &quot;hourssat&quot;:&quot;Please Call&quot;, &quot;clientkey&quot;:&quot;110691&quot;, &quot;name&quot;:&quot;Kelcom&quot;, &quot;locationlinkurl&quot;:null, &quot;address1&quot;:&quot;161 North Rivermed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ncord&quot;, &quot;singleuse&quot;:&quot;Y&quot;, &quot;fax&quot;:null, &quot;country&quot;:&quot;CA&quot;, &quot;logourl&quot;:&quot;http://www.call2recycle.org/notpress/where2getit/call2recycle.png&quot;, &quot;phone&quot;:&quot;905-761-6070&quot;, &quot;address2&quot;:null, &quot;locationimageurl&quot;:null, &quot;_distance&quot;:&quot;8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29046715547&quot;, &quot;url&quot;:null, &quot;postalcode&quot;:&quot;L1V 1B5&quot;, &quot;province&quot;:&quot;ON&quot;, &quot;sustainabilityurl&quot;:null, &quot;hoursmon&quot;:&quot;Please Call&quot;, &quot;longitude&quot;:&quot;-79.0984834069593&quot;, &quot;uid&quot;:1937908277, &quot;retailerlinkurl&quot;:null, &quot;hourssat&quot;:&quot;Please Call&quot;, &quot;clientkey&quot;:&quot;154623&quot;, &quot;name&quot;:&quot;Home Depot&quot;, &quot;locationlinkurl&quot;:null, &quot;address1&quot;:&quot;1105 Kingsto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homedepot.png&quot;, &quot;phone&quot;:&quot;905-421-2000&quot;, &quot;address2&quot;:null, &quot;locationimageurl&quot;:null, &quot;_distance&quot;:&quot;12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40925&quot;, &quot;url&quot;:null, &quot;postalcode&quot;:&quot;M1V 5P7&quot;, &quot;province&quot;:&quot;ON&quot;, &quot;sustainabilityurl&quot;:null, &quot;hoursmon&quot;:&quot;Please Call&quot;, &quot;longitude&quot;:&quot;-79.2526589&quot;, &quot;uid&quot;:1584828643, &quot;retailerlinkurl&quot;:null, &quot;hourssat&quot;:&quot;Please Call&quot;, &quot;clientkey&quot;:&quot;123107&quot;, &quot;name&quot;:&quot;Lowes&quot;, &quot;locationlinkurl&quot;:null, &quot;address1&quot;:&quot;6005 Steeles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arborough&quot;, &quot;singleuse&quot;:&quot;Y&quot;, &quot;fax&quot;:null, &quot;country&quot;:&quot;CA&quot;, &quot;logourl&quot;:&quot;http://www.call2recycle.org/notpress/where2getit/lowes.png&quot;, &quot;phone&quot;:&quot;416-940-4827&quot;, &quot;address2&quot;:null, &quot;locationimageurl&quot;:null, &quot;_distance&quot;:&quot;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45991836735&quot;, &quot;url&quot;:null, &quot;postalcode&quot;:&quot;L1W 3S1&quot;, &quot;province&quot;:&quot;ON&quot;, &quot;sustainabilityurl&quot;:null, &quot;hoursmon&quot;:&quot;Please Call&quot;, &quot;longitude&quot;:&quot;-79.0699165306122&quot;, &quot;uid&quot;:1182187077, &quot;retailerlinkurl&quot;:null, &quot;hourssat&quot;:&quot;Please Call&quot;, &quot;clientkey&quot;:&quot;124613&quot;, &quot;name&quot;:&quot;Batteries Expert&quot;, &quot;locationlinkurl&quot;:null, &quot;address1&quot;:&quot;Business Building 1755 Plummer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call2recycle.png&quot;, &quot;phone&quot;:&quot;905-831-5068&quot;, &quot;address2&quot;:null, &quot;locationimageurl&quot;:null, &quot;_distance&quot;:&quot;10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58008333333&quot;, &quot;url&quot;:null, &quot;postalcode&quot;:&quot;M6B 4H8&quot;, &quot;province&quot;:&quot;ON&quot;, &quot;sustainabilityurl&quot;:null, &quot;hoursmon&quot;:&quot;Please Call&quot;, &quot;longitude&quot;:&quot;-79.5337363888889&quot;, &quot;uid&quot;:502592021, &quot;retailerlinkurl&quot;:null, &quot;hourssat&quot;:&quot;Please Call&quot;, &quot;clientkey&quot;:&quot;157964&quot;, &quot;name&quot;:&quot;ListenUp! Canada&quot;, &quot;locationlinkurl&quot;:null, &quot;address1&quot;:&quot;9421 Ja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Vaughan&quot;, &quot;singleuse&quot;:&quot;Y&quot;, &quot;fax&quot;:null, &quot;country&quot;:&quot;CA&quot;, &quot;logourl&quot;:&quot;http://www.call2recycle.org/notpress/where2getit/call2recycle.png&quot;, &quot;phone&quot;:&quot;905-303-2224&quot;, &quot;address2&quot;:null, &quot;locationimageurl&quot;:null, &quot;_distance&quot;:&quot;7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3706&quot;, &quot;url&quot;:null, &quot;postalcode&quot;:&quot;N0G 1A0&quot;, &quot;province&quot;:&quot;ON&quot;, &quot;sustainabilityurl&quot;:null, &quot;hoursmon&quot;:&quot;Please Call&quot;, &quot;longitude&quot;:&quot;-80.48081&quot;, &quot;uid&quot;:1064589789, &quot;retailerlinkurl&quot;:null, &quot;hourssat&quot;:&quot;Please Call&quot;, &quot;clientkey&quot;:&quot;29152&quot;, &quot;name&quot;:&quot;Longs Home Hardware Building Center&quot;, &quot;locationlinkurl&quot;:null, &quot;address1&quot;:&quot;RR 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thur&quot;, &quot;singleuse&quot;:&quot;Y&quot;, &quot;fax&quot;:null, &quot;country&quot;:&quot;CA&quot;, &quot;logourl&quot;:&quot;http://www.call2recycle.org/notpress/where2getit/call2recycle.png&quot;, &quot;phone&quot;:&quot;519-848-2444&quot;, &quot;address2&quot;:null, &quot;locationimageurl&quot;:null, &quot;_distance&quot;:&quot;3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01537747984&quot;, &quot;url&quot;:null, &quot;postalcode&quot;:&quot;L3R 9X5&quot;, &quot;province&quot;:&quot;ON&quot;, &quot;sustainabilityurl&quot;:null, &quot;hoursmon&quot;:&quot;Please Call&quot;, &quot;longitude&quot;:&quot;-79.3284351589818&quot;, &quot;uid&quot;:-34328401, &quot;retailerlinkurl&quot;:null, &quot;hourssat&quot;:&quot;Please Call&quot;, &quot;clientkey&quot;:&quot;124576&quot;, &quot;name&quot;:&quot;Go Wireless Canada&quot;, &quot;locationlinkurl&quot;:null, &quot;address1&quot;:&quot;5-95 Royal Crest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32-3665&quot;, &quot;address2&quot;:null, &quot;locationimageurl&quot;:null, &quot;_distance&quot;:&quot;2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0172451317&quot;, &quot;url&quot;:null, &quot;postalcode&quot;:&quot;L3R 9X5&quot;, &quot;province&quot;:&quot;ON&quot;, &quot;sustainabilityurl&quot;:null, &quot;hoursmon&quot;:&quot;Please Call&quot;, &quot;longitude&quot;:&quot;-79.3261101042016&quot;, &quot;uid&quot;:-357744056, &quot;retailerlinkurl&quot;:null, &quot;hourssat&quot;:&quot;Please Call&quot;, &quot;clientkey&quot;:&quot;124575&quot;, &quot;name&quot;:&quot;Go Wireless Inc Canada (Parent)&quot;, &quot;locationlinkurl&quot;:null, &quot;address1&quot;:&quot;95 Royal Crest Cr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940-8750&quot;, &quot;address2&quot;:null, &quot;locationimageurl&quot;:null, &quot;_distance&quot;:&quot;2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0902360863&quot;, &quot;url&quot;:null, &quot;postalcode&quot;:&quot;L4B 4M6&quot;, &quot;province&quot;:&quot;ON&quot;, &quot;sustainabilityurl&quot;:null, &quot;hoursmon&quot;:&quot;Please Call&quot;, &quot;longitude&quot;:&quot;-79.4226223429902&quot;, &quot;uid&quot;:1801568494, &quot;retailerlinkurl&quot;:null, &quot;hourssat&quot;:&quot;Please Call&quot;, &quot;clientkey&quot;:&quot;153546&quot;, &quot;name&quot;:&quot;Staples Canada/Business Depot&quot;, &quot;locationlinkurl&quot;:null, &quot;address1&quot;:&quot;45 Red Map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staples.png&quot;, &quot;phone&quot;:&quot;905-882-6995&quot;, &quot;address2&quot;:null, &quot;locationimageurl&quot;:null, &quot;_distance&quot;:&quot;5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14159822526&quot;, &quot;url&quot;:null, &quot;postalcode&quot;:&quot;L4B 4K1&quot;, &quot;province&quot;:&quot;ON&quot;, &quot;sustainabilityurl&quot;:null, &quot;hoursmon&quot;:&quot;Please Call&quot;, &quot;longitude&quot;:&quot;-79.4228972184826&quot;, &quot;uid&quot;:1182178280, &quot;retailerlinkurl&quot;:null, &quot;hourssat&quot;:&quot;Please Call&quot;, &quot;clientkey&quot;:&quot;43532&quot;, &quot;name&quot;:&quot;Home Depot&quot;, &quot;locationlinkurl&quot;:null, &quot;address1&quot;:&quot;50 Red Mapl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homedepot.png&quot;, &quot;phone&quot;:&quot;905-763-2311&quot;, &quot;address2&quot;:null, &quot;locationimageurl&quot;:null, &quot;_distance&quot;:&quot;5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316&quot;, &quot;url&quot;:null, &quot;postalcode&quot;:&quot;L1V 6K5&quot;, &quot;province&quot;:&quot;ON&quot;, &quot;sustainabilityurl&quot;:null, &quot;hoursmon&quot;:&quot;Please Call&quot;, &quot;longitude&quot;:&quot;-79.06844&quot;, &quot;uid&quot;:1697151289, &quot;retailerlinkurl&quot;:null, &quot;hourssat&quot;:&quot;Please Call&quot;, &quot;clientkey&quot;:&quot;102523&quot;, &quot;name&quot;:&quot;Staples&quot;, &quot;locationlinkurl&quot;:null, &quot;address1&quot;:&quot;1755 Pickering Pk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staples.png&quot;, &quot;phone&quot;:&quot;905-683-4620&quot;, &quot;address2&quot;:null, &quot;locationimageurl&quot;:null, &quot;_distance&quot;:&quot;10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71519298622&quot;, &quot;url&quot;:null, &quot;postalcode&quot;:&quot;L4H 4E8&quot;, &quot;province&quot;:&quot;ON&quot;, &quot;sustainabilityurl&quot;:null, &quot;hoursmon&quot;:&quot;Please Call&quot;, &quot;longitude&quot;:&quot;-79.5541409777682&quot;, &quot;uid&quot;:116279477, &quot;retailerlinkurl&quot;:null, &quot;hourssat&quot;:&quot;Please Call&quot;, &quot;clientkey&quot;:&quot;163451&quot;, &quot;name&quot;:&quot;Home Depot&quot;, &quot;locationlinkurl&quot;:null, &quot;address1&quot;:&quot;55 Cityview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oodbridge&quot;, &quot;singleuse&quot;:&quot;Y&quot;, &quot;fax&quot;:null, &quot;country&quot;:&quot;CA&quot;, &quot;logourl&quot;:&quot;http://www.call2recycle.org/notpress/where2getit/homedepot.png&quot;, &quot;phone&quot;:&quot;905-303-2323&quot;, &quot;address2&quot;:null, &quot;locationimageurl&quot;:null, &quot;_distance&quot;:&quot;8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796&quot;, &quot;url&quot;:null, &quot;postalcode&quot;:&quot;L1V 4H7&quot;, &quot;province&quot;:&quot;ON&quot;, &quot;sustainabilityurl&quot;:null, &quot;hoursmon&quot;:&quot;Please Call&quot;, &quot;longitude&quot;:&quot;-79.07391&quot;, &quot;uid&quot;:-996409985, &quot;retailerlinkurl&quot;:null, &quot;hourssat&quot;:&quot;Please Call&quot;, &quot;clientkey&quot;:&quot;135452&quot;, &quot;name&quot;:&quot;Lowes&quot;, &quot;locationlinkurl&quot;:null, &quot;address1&quot;:&quot;1899 Brock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ickering&quot;, &quot;singleuse&quot;:&quot;Y&quot;, &quot;fax&quot;:null, &quot;country&quot;:&quot;CA&quot;, &quot;logourl&quot;:&quot;http://www.call2recycle.org/notpress/where2getit/lowes.png&quot;, &quot;phone&quot;:&quot;905-619-7530&quot;, &quot;address2&quot;:null, &quot;locationimageurl&quot;:null, &quot;_distance&quot;:&quot;10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497606481056&quot;, &quot;url&quot;:null, &quot;postalcode&quot;:&quot;L3R 4X7&quot;, &quot;province&quot;:&quot;ON&quot;, &quot;sustainabilityurl&quot;:null, &quot;hoursmon&quot;:&quot;Please Call&quot;, &quot;longitude&quot;:&quot;-79.3580154079469&quot;, &quot;uid&quot;:677051376, &quot;retailerlinkurl&quot;:null, &quot;hourssat&quot;:&quot;Please Call&quot;, &quot;clientkey&quot;:&quot;169749&quot;, &quot;name&quot;:&quot;Princess Auto&quot;, &quot;locationlinkurl&quot;:null, &quot;address1&quot;:&quot;8500 Woodbin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PrincessAuto_150x150.png&quot;, &quot;phone&quot;:&quot;905-944-9696&quot;, &quot;address2&quot;:null, &quot;locationimageurl&quot;:null, &quot;_distance&quot;:&quot;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04080701754&quot;, &quot;url&quot;:null, &quot;postalcode&quot;:&quot;L4B 3M6&quot;, &quot;province&quot;:&quot;ON&quot;, &quot;sustainabilityurl&quot;:null, &quot;hoursmon&quot;:&quot;Please Call&quot;, &quot;longitude&quot;:&quot;-79.4092054385965&quot;, &quot;uid&quot;:500086259, &quot;retailerlinkurl&quot;:null, &quot;hourssat&quot;:&quot;Please Call&quot;, &quot;clientkey&quot;:&quot;157999&quot;, &quot;name&quot;:&quot;ListenUp! Canada&quot;, &quot;locationlinkurl&quot;:null, &quot;address1&quot;:&quot;9019 Bayview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Richmd Hill&quot;, &quot;singleuse&quot;:&quot;Y&quot;, &quot;fax&quot;:null, &quot;country&quot;:&quot;CA&quot;, &quot;logourl&quot;:&quot;http://www.call2recycle.org/notpress/where2getit/call2recycle.png&quot;, &quot;phone&quot;:&quot;905-889-2199&quot;, &quot;address2&quot;:null, &quot;locationimageurl&quot;:null, &quot;_distance&quot;:&quot;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0865&quot;, &quot;url&quot;:null, &quot;postalcode&quot;:&quot;L3R 0J6&quot;, &quot;province&quot;:&quot;ON&quot;, &quot;sustainabilityurl&quot;:null, &quot;hoursmon&quot;:&quot;Please Call&quot;, &quot;longitude&quot;:&quot;-79.353385&quot;, &quot;uid&quot;:1929443535, &quot;retailerlinkurl&quot;:null, &quot;hourssat&quot;:&quot;Please Call&quot;, &quot;clientkey&quot;:&quot;43530&quot;, &quot;name&quot;:&quot;Home Depot&quot;, &quot;locationlinkurl&quot;:null, &quot;address1&quot;:&quot;3155 Hwy 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940-5900&quot;, &quot;address2&quot;:null, &quot;locationimageurl&quot;:null, &quot;_distance&quot;:&quot;2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11025&quot;, &quot;url&quot;:null, &quot;postalcode&quot;:&quot;L3R 0J5&quot;, &quot;province&quot;:&quot;ON&quot;, &quot;sustainabilityurl&quot;:null, &quot;hoursmon&quot;:&quot;Please Call&quot;, &quot;longitude&quot;:&quot;-79.3522558333333&quot;, &quot;uid&quot;:-511708502, &quot;retailerlinkurl&quot;:null, &quot;hourssat&quot;:&quot;Please Call&quot;, &quot;clientkey&quot;:&quot;68074&quot;, &quot;name&quot;:&quot;Staples&quot;, &quot;locationlinkurl&quot;:null, &quot;address1&quot;:&quot;3175 Hwy 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staples.png&quot;, &quot;phone&quot;:&quot;905-479-3101&quot;, &quot;address2&quot;:null, &quot;locationimageurl&quot;:null, &quot;_distance&quot;:&quot;2.2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16&quot;, &quot;url&quot;:null, &quot;postalcode&quot;:&quot;L3S 4K7&quot;, &quot;province&quot;:&quot;ON&quot;, &quot;sustainabilityurl&quot;:null, &quot;hoursmon&quot;:&quot;Please Call&quot;, &quot;longitude&quot;:&quot;-79.25286&quot;, &quot;uid&quot;:1918893685, &quot;retailerlinkurl&quot;:null, &quot;hourssat&quot;:&quot;Please Call&quot;, &quot;clientkey&quot;:&quot;43533&quot;, &quot;name&quot;:&quot;Home Depot&quot;, &quot;locationlinkurl&quot;:null, &quot;address1&quot;:&quot;50 Kirkha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201-2590&quot;, &quot;address2&quot;:null, &quot;locationimageurl&quot;:null, &quot;_distance&quot;:&quot;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9581&quot;, &quot;url&quot;:null, &quot;postalcode&quot;:&quot;L1S 7L8&quot;, &quot;province&quot;:&quot;ON&quot;, &quot;sustainabilityurl&quot;:null, &quot;hoursmon&quot;:&quot;Please Call&quot;, &quot;longitude&quot;:&quot;-79.026064&quot;, &quot;uid&quot;:1650628782, &quot;retailerlinkurl&quot;:null, &quot;hourssat&quot;:&quot;Please Call&quot;, &quot;clientkey&quot;:&quot;151924&quot;, &quot;name&quot;:&quot;Staples&quot;, &quot;locationlinkurl&quot;:null, &quot;address1&quot;:&quot;16 Harwood Ave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staples.png&quot;, &quot;phone&quot;:&quot;905-686-1422&quot;, &quot;address2&quot;:null, &quot;locationimageurl&quot;:null, &quot;_distance&quot;:&quot;8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596828812545&quot;, &quot;url&quot;:null, &quot;postalcode&quot;:&quot;L1N 8M2&quot;, &quot;province&quot;:&quot;ON&quot;, &quot;sustainabilityurl&quot;:null, &quot;hoursmon&quot;:&quot;Please Call&quot;, &quot;longitude&quot;:&quot;-78.896106598816&quot;, &quot;uid&quot;:540400459, &quot;retailerlinkurl&quot;:null, &quot;hourssat&quot;:&quot;Please Call&quot;, &quot;clientkey&quot;:&quot;161198&quot;, &quot;name&quot;:&quot;Fastenal&quot;, &quot;locationlinkurl&quot;:null, &quot;address1&quot;:&quot;1801 Wentwort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723-3500&quot;, &quot;address2&quot;:null, &quot;locationimageurl&quot;:null, &quot;_distance&quot;:&quot;6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46801818182&quot;, &quot;url&quot;:null, &quot;postalcode&quot;:&quot;L1Z 1G1&quot;, &quot;province&quot;:&quot;ON&quot;, &quot;sustainabilityurl&quot;:null, &quot;hoursmon&quot;:&quot;Please Call&quot;, &quot;longitude&quot;:&quot;-79.0104941818182&quot;, &quot;uid&quot;:1182180484, &quot;retailerlinkurl&quot;:null, &quot;hourssat&quot;:&quot;Please Call&quot;, &quot;clientkey&quot;:&quot;43488&quot;, &quot;name&quot;:&quot;Home Depot&quot;, &quot;locationlinkurl&quot;:null, &quot;address1&quot;:&quot;256-260 Kingsto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jax&quot;, &quot;singleuse&quot;:&quot;Y&quot;, &quot;fax&quot;:null, &quot;country&quot;:&quot;CA&quot;, &quot;logourl&quot;:&quot;http://www.call2recycle.org/notpress/where2getit/homedepot.png&quot;, &quot;phone&quot;:&quot;905-428-7939&quot;, &quot;address2&quot;:null, &quot;locationimageurl&quot;:null, &quot;_distance&quot;:&quot;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2224&quot;, &quot;url&quot;:null, &quot;postalcode&quot;:&quot;L3R 1N1&quot;, &quot;province&quot;:&quot;ON&quot;, &quot;sustainabilityurl&quot;:null, &quot;hoursmon&quot;:&quot;Please Call&quot;, &quot;longitude&quot;:&quot;-79.2924453&quot;, &quot;uid&quot;:400726445, &quot;retailerlinkurl&quot;:null, &quot;hourssat&quot;:&quot;Please Call&quot;, &quot;clientkey&quot;:&quot;157979&quot;, &quot;name&quot;:&quot;ListenUp! Canada&quot;, &quot;locationlinkurl&quot;:null, &quot;address1&quot;:&quot;4981 Highway #7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79-6886&quot;, &quot;address2&quot;:null, &quot;locationimageurl&quot;:null, &quot;_distance&quot;:&quot;1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5657142857&quot;, &quot;url&quot;:null, &quot;postalcode&quot;:&quot;L3R 4M9&quot;, &quot;province&quot;:&quot;ON&quot;, &quot;sustainabilityurl&quot;:null, &quot;hoursmon&quot;:&quot;Please Call&quot;, &quot;longitude&quot;:&quot;-79.2913528571429&quot;, &quot;uid&quot;:341261761, &quot;retailerlinkurl&quot;:null, &quot;hourssat&quot;:&quot;Please Call&quot;, &quot;clientkey&quot;:&quot;159878&quot;, &quot;name&quot;:&quot;Best Buy&quot;, &quot;locationlinkurl&quot;:null, &quot;address1&quot;:&quot;Markville Shopping Centre 5000 Highway 7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bestbuy.png&quot;, &quot;phone&quot;:&quot;--&quot;, &quot;address2&quot;:null, &quot;locationimageurl&quot;:null, &quot;_distance&quot;:&quot;1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56465070742&quot;, &quot;url&quot;:null, &quot;postalcode&quot;:&quot;L1N 9W7&quot;, &quot;province&quot;:&quot;ON&quot;, &quot;sustainabilityurl&quot;:null, &quot;hoursmon&quot;:&quot;Please Call&quot;, &quot;longitude&quot;:&quot;-78.9044570195808&quot;, &quot;uid&quot;:677051365, &quot;retailerlinkurl&quot;:null, &quot;hourssat&quot;:&quot;Please Call&quot;, &quot;clientkey&quot;:&quot;169718&quot;, &quot;name&quot;:&quot;Princess Auto&quot;, &quot;locationlinkurl&quot;:null, &quot;address1&quot;:&quot;1550 Victoria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PrincessAuto_150x150.png&quot;, &quot;phone&quot;:&quot;905-665-8581&quot;, &quot;address2&quot;:null, &quot;locationimageurl&quot;:null, &quot;_distance&quot;:&quot;5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669056517861&quot;, &quot;url&quot;:null, &quot;postalcode&quot;:&quot;L1N 9K6&quot;, &quot;province&quot;:&quot;ON&quot;, &quot;sustainabilityurl&quot;:null, &quot;hoursmon&quot;:&quot;Please Call&quot;, &quot;longitude&quot;:&quot;-78.9008313585739&quot;, &quot;uid&quot;:1182192234, &quot;retailerlinkurl&quot;:null, &quot;hourssat&quot;:&quot;Please Call&quot;, &quot;clientkey&quot;:&quot;39384&quot;, &quot;name&quot;:&quot;Home Depot&quot;, &quot;locationlinkurl&quot;:null, &quot;address1&quot;:&quot;1700 Victoria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homedepot.png&quot;, &quot;phone&quot;:&quot;905-571-590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791536206897&quot;, &quot;url&quot;:null, &quot;postalcode&quot;:&quot;L1J 0B6&quot;, &quot;province&quot;:&quot;ON&quot;, &quot;sustainabilityurl&quot;:null, &quot;hoursmon&quot;:&quot;Please Call&quot;, &quot;longitude&quot;:&quot;-78.882005862069&quot;, &quot;uid&quot;:1503277685, &quot;retailerlinkurl&quot;:null, &quot;hourssat&quot;:&quot;Please Call&quot;, &quot;clientkey&quot;:&quot;121716&quot;, &quot;name&quot;:&quot;Lowes&quot;, &quot;locationlinkurl&quot;:null, &quot;address1&quot;:&quot;685 Laval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lowes.png&quot;, &quot;phone&quot;:&quot;905-436-4940&quot;, &quot;address2&quot;:null, &quot;locationimageurl&quot;:null, &quot;_distance&quot;:&quot;5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8695&quot;, &quot;url&quot;:null, &quot;postalcode&quot;:&quot;L1J 2K5&quot;, &quot;province&quot;:&quot;ON&quot;, &quot;sustainabilityurl&quot;:null, &quot;hoursmon&quot;:&quot;Please Call&quot;, &quot;longitude&quot;:&quot;-78.87582125&quot;, &quot;uid&quot;:1755605297, &quot;retailerlinkurl&quot;:null, &quot;hourssat&quot;:&quot;Please Call&quot;, &quot;clientkey&quot;:&quot;67972&quot;, &quot;name&quot;:&quot;Staples&quot;, &quot;locationlinkurl&quot;:null, &quot;address1&quot;:&quot;410 Gibb St We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staples.png&quot;, &quot;phone&quot;:&quot;905-434-1947&quot;, &quot;address2&quot;:null, &quot;locationimageurl&quot;:null, &quot;_distance&quot;:&quot;4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889624&quot;, &quot;url&quot;:null, &quot;postalcode&quot;:&quot;L1N 7B3&quot;, &quot;province&quot;:&quot;ON&quot;, &quot;sustainabilityurl&quot;:null, &quot;hoursmon&quot;:&quot;Please Call&quot;, &quot;longitude&quot;:&quot;-78.9352684&quot;, &quot;uid&quot;:797673804, &quot;retailerlinkurl&quot;:null, &quot;hourssat&quot;:&quot;Please Call&quot;, &quot;clientkey&quot;:&quot;158020&quot;, &quot;name&quot;:&quot;ListenUp! Canada&quot;, &quot;locationlinkurl&quot;:null, &quot;address1&quot;:&quot;604 Garde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668-5440&quot;, &quot;address2&quot;:null, &quot;locationimageurl&quot;:null, &quot;_distance&quot;:&quot;4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12729740915&quot;, &quot;url&quot;:null, &quot;postalcode&quot;:&quot;L3P 7R1&quot;, &quot;province&quot;:&quot;ON&quot;, &quot;sustainabilityurl&quot;:null, &quot;hoursmon&quot;:&quot;Please Call&quot;, &quot;longitude&quot;:&quot;-79.2658992414536&quot;, &quot;uid&quot;:1182177810, &quot;retailerlinkurl&quot;:null, &quot;hourssat&quot;:&quot;Please Call&quot;, &quot;clientkey&quot;:&quot;134433&quot;, &quot;name&quot;:&quot;Pinnacle Hobby&quot;, &quot;locationlinkurl&quot;:null, &quot;address1&quot;:&quot;5970 16th Ave Unit 114-116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call2recycle.png&quot;, &quot;phone&quot;:&quot;905-471-9634&quot;, &quot;address2&quot;:null, &quot;locationimageurl&quot;:null, &quot;_distance&quot;:&quot;3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35839199709&quot;, &quot;url&quot;:null, &quot;postalcode&quot;:&quot;L1J 2K9&quot;, &quot;province&quot;:&quot;ON&quot;, &quot;sustainabilityurl&quot;:null, &quot;hoursmon&quot;:&quot;Please Call&quot;, &quot;longitude&quot;:&quot;-78.8812031841397&quot;, &quot;uid&quot;:400726451, &quot;retailerlinkurl&quot;:null, &quot;hourssat&quot;:&quot;Please Call&quot;, &quot;clientkey&quot;:&quot;157983&quot;, &quot;name&quot;:&quot;ListenUp! Canada&quot;, &quot;locationlinkurl&quot;:null, &quot;address1&quot;:&quot;470 King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call2recycle.png&quot;, &quot;phone&quot;:&quot;905-438-7997&quot;, &quot;address2&quot;:null, &quot;locationimageurl&quot;:null, &quot;_distance&quot;:&quot;4.3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208284362&quot;, &quot;url&quot;:null, &quot;postalcode&quot;:&quot;L1N 9G5&quot;, &quot;province&quot;:&quot;ON&quot;, &quot;sustainabilityurl&quot;:null, &quot;hoursmon&quot;:&quot;Please Call&quot;, &quot;longitude&quot;:&quot;-78.9427566576219&quot;, &quot;uid&quot;:777785331, &quot;retailerlinkurl&quot;:null, &quot;hourssat&quot;:&quot;Please Call&quot;, &quot;clientkey&quot;:&quot;151594&quot;, &quot;name&quot;:&quot;MOHLTC - EHSB - Oshawa CACC&quot;, &quot;locationlinkurl&quot;:null, &quot;address1&quot;:&quot;590 Rossland Rd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call2recycle.png&quot;, &quot;phone&quot;:&quot;905-430-5542&quot;, &quot;address2&quot;:null, &quot;locationimageurl&quot;:null, &quot;_distance&quot;:&quot;3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47&quot;, &quot;url&quot;:null, &quot;postalcode&quot;:&quot;L4S 0B2&quot;, &quot;province&quot;:&quot;ON&quot;, &quot;sustainabilityurl&quot;:null, &quot;hoursmon&quot;:&quot;Please Call&quot;, &quot;longitude&quot;:&quot;-79.39223&quot;, &quot;uid&quot;:1679417588, &quot;retailerlinkurl&quot;:null, &quot;hourssat&quot;:&quot;Please Call&quot;, &quot;clientkey&quot;:&quot;111904&quot;, &quot;name&quot;:&quot;Staples&quot;, &quot;locationlinkurl&quot;:null, &quot;address1&quot;:&quot;1700 Elgin Mills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staples.png&quot;, &quot;phone&quot;:&quot;905-770-1600&quot;, &quot;address2&quot;:null, &quot;locationimageurl&quot;:null, &quot;_distance&quot;:&quot;3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899563&quot;, &quot;url&quot;:null, &quot;postalcode&quot;:&quot;L4S 1M6&quot;, &quot;province&quot;:&quot;ON&quot;, &quot;sustainabilityurl&quot;:null, &quot;hoursmon&quot;:&quot;Please Call&quot;, &quot;longitude&quot;:&quot;-79.391825&quot;, &quot;uid&quot;:1641920080, &quot;retailerlinkurl&quot;:null, &quot;hourssat&quot;:&quot;Please Call&quot;, &quot;clientkey&quot;:&quot;112811&quot;, &quot;name&quot;:&quot;Home Depot&quot;, &quot;locationlinkurl&quot;:null, &quot;address1&quot;:&quot;1706 Elgin Mills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Richmond Hill&quot;, &quot;singleuse&quot;:&quot;Y&quot;, &quot;fax&quot;:null, &quot;country&quot;:&quot;CA&quot;, &quot;logourl&quot;:&quot;http://www.call2recycle.org/notpress/where2getit/homedepot.png&quot;, &quot;phone&quot;:&quot;905-787-7200&quot;, &quot;address2&quot;:null, &quot;locationimageurl&quot;:null, &quot;_distance&quot;:&quot;3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0374&quot;, &quot;url&quot;:null, &quot;postalcode&quot;:&quot;L6E 0G5&quot;, &quot;province&quot;:&quot;ON&quot;, &quot;sustainabilityurl&quot;:null, &quot;hoursmon&quot;:&quot;Please Call&quot;, &quot;longitude&quot;:&quot;-79.26985&quot;, &quot;uid&quot;:1986321695, &quot;retailerlinkurl&quot;:null, &quot;hourssat&quot;:&quot;Please Call&quot;, &quot;clientkey&quot;:&quot;129685&quot;, &quot;name&quot;:&quot;Home Depot&quot;, &quot;locationlinkurl&quot;:null, &quot;address1&quot;:&quot;1201 Castlemore Avenu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rkham&quot;, &quot;singleuse&quot;:&quot;Y&quot;, &quot;fax&quot;:null, &quot;country&quot;:&quot;CA&quot;, &quot;logourl&quot;:&quot;http://www.call2recycle.org/notpress/where2getit/homedepot.png&quot;, &quot;phone&quot;:&quot;905-201-5500&quot;, &quot;address2&quot;:null, &quot;locationimageurl&quot;:null, &quot;_distance&quot;:&quot;3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57&quot;, &quot;url&quot;:null, &quot;postalcode&quot;:&quot;L1C 1P2&quot;, &quot;province&quot;:&quot;ON&quot;, &quot;sustainabilityurl&quot;:null, &quot;hoursmon&quot;:&quot;Please Call&quot;, &quot;longitude&quot;:&quot;-78.68024&quot;, &quot;uid&quot;:110453962, &quot;retailerlinkurl&quot;:null, &quot;hourssat&quot;:&quot;Please Call&quot;, &quot;clientkey&quot;:&quot;130850&quot;, &quot;name&quot;:&quot;Staples&quot;, &quot;locationlinkurl&quot;:null, &quot;address1&quot;:&quot;185 King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staples.png&quot;, &quot;phone&quot;:&quot;905-623-1700&quot;, &quot;address2&quot;:null, &quot;locationimageurl&quot;:null, &quot;_distance&quot;:&quot;12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57&quot;, &quot;url&quot;:null, &quot;postalcode&quot;:&quot;L1C 1P2&quot;, &quot;province&quot;:&quot;ON&quot;, &quot;sustainabilityurl&quot;:null, &quot;hoursmon&quot;:&quot;Please Call&quot;, &quot;longitude&quot;:&quot;-78.68024&quot;, &quot;uid&quot;:110453962, &quot;retailerlinkurl&quot;:null, &quot;hourssat&quot;:&quot;Please Call&quot;, &quot;clientkey&quot;:&quot;130850&quot;, &quot;name&quot;:&quot;Staples&quot;, &quot;locationlinkurl&quot;:null, &quot;address1&quot;:&quot;185 King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staples.png&quot;, &quot;phone&quot;:&quot;905-623-1700&quot;, &quot;address2&quot;:null, &quot;locationimageurl&quot;:null, &quot;_distance&quot;:&quot;14.4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096&quot;, &quot;url&quot;:null, &quot;postalcode&quot;:&quot;L1C 0C3&quot;, &quot;province&quot;:&quot;ON&quot;, &quot;sustainabilityurl&quot;:null, &quot;hoursmon&quot;:&quot;Please Call&quot;, &quot;longitude&quot;:&quot;-78.70816&quot;, &quot;uid&quot;:1182187071, &quot;retailerlinkurl&quot;:null, &quot;hourssat&quot;:&quot;Please Call&quot;, &quot;clientkey&quot;:&quot;129681&quot;, &quot;name&quot;:&quot;Home Depot&quot;, &quot;locationlinkurl&quot;:null, &quot;address1&quot;:&quot;120 Clarington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owmanville&quot;, &quot;singleuse&quot;:&quot;Y&quot;, &quot;fax&quot;:null, &quot;country&quot;:&quot;CA&quot;, &quot;logourl&quot;:&quot;http://www.call2recycle.org/notpress/where2getit/homedepot.png&quot;, &quot;phone&quot;:&quot;905-697-5170&quot;, &quot;address2&quot;:null, &quot;locationimageurl&quot;:null, &quot;_distance&quot;:&quot;10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184340778853&quot;, &quot;url&quot;:null, &quot;postalcode&quot;:&quot;L1R 0H4&quot;, &quot;province&quot;:&quot;ON&quot;, &quot;sustainabilityurl&quot;:null, &quot;hoursmon&quot;:&quot;Please Call&quot;, &quot;longitude&quot;:&quot;-78.9437186560068&quot;, &quot;uid&quot;:1663274639, &quot;retailerlinkurl&quot;:null, &quot;hourssat&quot;:&quot;Please Call&quot;, &quot;clientkey&quot;:&quot;152205&quot;, &quot;name&quot;:&quot;Staples&quot;, &quot;locationlinkurl&quot;:null, &quot;address1&quot;:&quot;320 Taunton Rd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staples.png&quot;, &quot;phone&quot;:&quot;--&quot;, &quot;address2&quot;:null, &quot;locationimageurl&quot;:null, &quot;_distance&quot;:&quot;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20755913993&quot;, &quot;url&quot;:null, &quot;postalcode&quot;:&quot;L1R 3K5&quot;, &quot;province&quot;:&quot;ON&quot;, &quot;sustainabilityurl&quot;:null, &quot;hoursmon&quot;:&quot;Please Call&quot;, &quot;longitude&quot;:&quot;-78.9489120086596&quot;, &quot;uid&quot;:1182200200, &quot;retailerlinkurl&quot;:null, &quot;hourssat&quot;:&quot;Please Call&quot;, &quot;clientkey&quot;:&quot;94841&quot;, &quot;name&quot;:&quot;Home Depot&quot;, &quot;locationlinkurl&quot;:null, &quot;address1&quot;:&quot;4200 Gard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hitby&quot;, &quot;singleuse&quot;:&quot;Y&quot;, &quot;fax&quot;:null, &quot;country&quot;:&quot;CA&quot;, &quot;logourl&quot;:&quot;http://www.call2recycle.org/notpress/where2getit/homedepot.png&quot;, &quot;phone&quot;:&quot;905-655-2905&quot;, &quot;address2&quot;:null, &quot;locationimageurl&quot;:null, &quot;_distance&quot;:&quot;2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42966&quot;, &quot;url&quot;:null, &quot;postalcode&quot;:&quot;L1H 7K5&quot;, &quot;province&quot;:&quot;ON&quot;, &quot;sustainabilityurl&quot;:null, &quot;hoursmon&quot;:&quot;Please Call&quot;, &quot;longitude&quot;:&quot;-78.850946&quot;, &quot;uid&quot;:1182192339, &quot;retailerlinkurl&quot;:null, &quot;hourssat&quot;:&quot;Please Call&quot;, &quot;clientkey&quot;:&quot;43516&quot;, &quot;name&quot;:&quot;Home Depot&quot;, &quot;locationlinkurl&quot;:null, &quot;address1&quot;:&quot;1481 Harmony Rd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shawa&quot;, &quot;singleuse&quot;:&quot;Y&quot;, &quot;fax&quot;:null, &quot;country&quot;:&quot;CA&quot;, &quot;logourl&quot;:&quot;http://www.call2recycle.org/notpress/where2getit/homedepot.png&quot;, &quot;phone&quot;:&quot;905-743-5600&quot;, &quot;address2&quot;:null, &quot;locationimageurl&quot;:null, &quot;_distance&quot;:&quot;3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582946871189&quot;, &quot;url&quot;:null, &quot;postalcode&quot;:&quot;L4A 0K2&quot;, &quot;province&quot;:&quot;ON&quot;, &quot;sustainabilityurl&quot;:null, &quot;hoursmon&quot;:&quot;Please Call&quot;, &quot;longitude&quot;:&quot;-79.2718495160064&quot;, &quot;uid&quot;:1709658346, &quot;retailerlinkurl&quot;:null, &quot;hourssat&quot;:&quot;Please Call&quot;, &quot;clientkey&quot;:&quot;125479&quot;, &quot;name&quot;:&quot;Staples&quot;, &quot;locationlinkurl&quot;:null, &quot;address1&quot;:&quot;1010 Hoover Park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touffville&quot;, &quot;singleuse&quot;:&quot;Y&quot;, &quot;fax&quot;:null, &quot;country&quot;:&quot;CA&quot;, &quot;logourl&quot;:&quot;http://www.call2recycle.org/notpress/where2getit/staples.png&quot;, &quot;phone&quot;:&quot;905-642-6800&quot;, &quot;address2&quot;:null, &quot;locationimageurl&quot;:null, &quot;_distance&quot;:&quot;6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6331&quot;, &quot;url&quot;:null, &quot;postalcode&quot;:&quot;L1A 3Y9&quot;, &quot;province&quot;:&quot;ON&quot;, &quot;sustainabilityurl&quot;:null, &quot;hoursmon&quot;:&quot;Please Call&quot;, &quot;longitude&quot;:&quot;-78.29078&quot;, &quot;uid&quot;:400726459, &quot;retailerlinkurl&quot;:null, &quot;hourssat&quot;:&quot;Please Call&quot;, &quot;clientkey&quot;:&quot;157995&quot;, &quot;name&quot;:&quot;ListenUp! Canada&quot;, &quot;locationlinkurl&quot;:null, &quot;address1&quot;:&quot;Medical Centre 249 Ontario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rt Hope&quot;, &quot;singleuse&quot;:&quot;Y&quot;, &quot;fax&quot;:null, &quot;country&quot;:&quot;CA&quot;, &quot;logourl&quot;:&quot;http://www.call2recycle.org/notpress/where2getit/call2recycle.png&quot;, &quot;phone&quot;:&quot;905-885-0759&quot;, &quot;address2&quot;:null, &quot;locationimageurl&quot;:null, &quot;_distance&quot;:&quot;7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7172&quot;, &quot;url&quot;:null, &quot;postalcode&quot;:&quot;K9A 5W4&quot;, &quot;province&quot;:&quot;ON&quot;, &quot;sustainabilityurl&quot;:null, &quot;hoursmon&quot;:&quot;Please Call&quot;, &quot;longitude&quot;:&quot;-78.19779&quot;, &quot;uid&quot;:1624452340, &quot;retailerlinkurl&quot;:null, &quot;hourssat&quot;:&quot;Please Call&quot;, &quot;clientkey&quot;:&quot;141904&quot;, &quot;name&quot;:&quot;Staples&quot;, &quot;locationlinkurl&quot;:null, &quot;address1&quot;:&quot;1025 Elgin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staples.png&quot;, &quot;phone&quot;:&quot;905-377-0458&quot;, &quot;address2&quot;:null, &quot;locationimageurl&quot;:null, &quot;_distance&quot;:&quot;11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3.9763283741377&quot;, &quot;url&quot;:null, &quot;postalcode&quot;:&quot;K9A 0A8&quot;, &quot;province&quot;:&quot;ON&quot;, &quot;sustainabilityurl&quot;:null, &quot;hoursmon&quot;:&quot;Please Call&quot;, &quot;longitude&quot;:&quot;-78.2001281293115&quot;, &quot;uid&quot;:1939212591, &quot;retailerlinkurl&quot;:null, &quot;hourssat&quot;:&quot;Please Call&quot;, &quot;clientkey&quot;:&quot;129684&quot;, &quot;name&quot;:&quot;Home Depot&quot;, &quot;locationlinkurl&quot;:null, &quot;address1&quot;:&quot;1050 Depalma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bourg&quot;, &quot;singleuse&quot;:&quot;Y&quot;, &quot;fax&quot;:null, &quot;country&quot;:&quot;CA&quot;, &quot;logourl&quot;:&quot;http://www.call2recycle.org/notpress/where2getit/homedepot.png&quot;, &quot;phone&quot;:&quot;905-377-7600&quot;, &quot;address2&quot;:null, &quot;locationimageurl&quot;:null, &quot;_distance&quot;:&quot;11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09409625&quot;, &quot;url&quot;:null, &quot;postalcode&quot;:&quot;L9P 1S9&quot;, &quot;province&quot;:&quot;ON&quot;, &quot;sustainabilityurl&quot;:null, &quot;hoursmon&quot;:&quot;Please Call&quot;, &quot;longitude&quot;:&quot;-79.1307016666667&quot;, &quot;uid&quot;:1610631607, &quot;retailerlinkurl&quot;:null, &quot;hourssat&quot;:&quot;Please Call&quot;, &quot;clientkey&quot;:&quot;151575&quot;, &quot;name&quot;:&quot;Staples&quot;, &quot;locationlinkurl&quot;:null, &quot;address1&quot;:&quot;4 Banff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Uxbridge&quot;, &quot;singleuse&quot;:&quot;Y&quot;, &quot;fax&quot;:null, &quot;country&quot;:&quot;CA&quot;, &quot;logourl&quot;:&quot;http://www.call2recycle.org/notpress/where2getit/staples.png&quot;, &quot;phone&quot;:&quot;905-862-2614&quot;, &quot;address2&quot;:null, &quot;locationimageurl&quot;:null, &quot;_distance&quot;:&quot;14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077506739765&quot;, &quot;url&quot;:null, &quot;postalcode&quot;:&quot;L9P 1V9&quot;, &quot;province&quot;:&quot;ON&quot;, &quot;sustainabilityurl&quot;:null, &quot;hoursmon&quot;:&quot;Please Call&quot;, &quot;longitude&quot;:&quot;-79.1229455265324&quot;, &quot;uid&quot;:502592000, &quot;retailerlinkurl&quot;:null, &quot;hourssat&quot;:&quot;Please Call&quot;, &quot;clientkey&quot;:&quot;157940&quot;, &quot;name&quot;:&quot;ListenUp! Canada&quot;, &quot;locationlinkurl&quot;:null, &quot;address1&quot;:&quot;29 Toronto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Uxbridge&quot;, &quot;singleuse&quot;:&quot;Y&quot;, &quot;fax&quot;:null, &quot;country&quot;:&quot;CA&quot;, &quot;logourl&quot;:&quot;http://www.call2recycle.org/notpress/where2getit/call2recycle.png&quot;, &quot;phone&quot;:&quot;905-852-5933&quot;, &quot;address2&quot;:null, &quot;locationimageurl&quot;:null, &quot;_distance&quot;:&quot;14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48355&quot;, &quot;url&quot;:null, &quot;postalcode&quot;:&quot;L9R 1P8&quot;, &quot;province&quot;:&quot;ON&quot;, &quot;sustainabilityurl&quot;:null, &quot;hoursmon&quot;:&quot;Please Call&quot;, &quot;longitude&quot;:&quot;-79.882015&quot;, &quot;uid&quot;:1551561458, &quot;retailerlinkurl&quot;:null, &quot;hourssat&quot;:&quot;Please Call&quot;, &quot;clientkey&quot;:&quot;95080&quot;, &quot;name&quot;:&quot;Staples&quot;, &quot;locationlinkurl&quot;:null, &quot;address1&quot;:&quot;92 Young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lliston&quot;, &quot;singleuse&quot;:&quot;Y&quot;, &quot;fax&quot;:null, &quot;country&quot;:&quot;CA&quot;, &quot;logourl&quot;:&quot;http://www.call2recycle.org/notpress/where2getit/staples.png&quot;, &quot;phone&quot;:&quot;705-434-4992&quot;, &quot;address2&quot;:null, &quot;locationimageurl&quot;:null, &quot;_distance&quot;:&quot;13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562580701754&quot;, &quot;url&quot;:null, &quot;postalcode&quot;:&quot;N4N 2V6&quot;, &quot;province&quot;:&quot;ON&quot;, &quot;sustainabilityurl&quot;:null, &quot;hoursmon&quot;:&quot;Please Call&quot;, &quot;longitude&quot;:&quot;-81.0243749122807&quot;, &quot;uid&quot;:341261655, &quot;retailerlinkurl&quot;:null, &quot;hourssat&quot;:&quot;Please Call&quot;, &quot;clientkey&quot;:&quot;131831&quot;, &quot;name&quot;:&quot;Belmatic Battery Systems Inc.&quot;, &quot;locationlinkurl&quot;:null, &quot;address1&quot;:&quot;638 12th Ave Unit 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anover&quot;, &quot;singleuse&quot;:&quot;Y&quot;, &quot;fax&quot;:null, &quot;country&quot;:&quot;CA&quot;, &quot;logourl&quot;:&quot;http://www.call2recycle.org/notpress/where2getit/call2recycle.png&quot;, &quot;phone&quot;:&quot;519-364-7029&quot;, &quot;address2&quot;:null, &quot;locationimageurl&quot;:null, &quot;_distance&quot;:&quot;2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844877777778&quot;, &quot;url&quot;:null, &quot;postalcode&quot;:&quot;K8P 3C3&quot;, &quot;province&quot;:&quot;ON&quot;, &quot;sustainabilityurl&quot;:null, &quot;hoursmon&quot;:&quot;Please Call&quot;, &quot;longitude&quot;:&quot;-77.3944644444445&quot;, &quot;uid&quot;:1064589726, &quot;retailerlinkurl&quot;:null, &quot;hourssat&quot;:&quot;Please Call&quot;, &quot;clientkey&quot;:&quot;112461&quot;, &quot;name&quot;:&quot;Pharmasave&quot;, &quot;locationlinkurl&quot;:null, &quot;address1&quot;:&quot;305 North Front St Unit 13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call2recycle.png&quot;, &quot;phone&quot;:&quot;613-962-4576&quot;, &quot;address2&quot;:null, &quot;locationimageurl&quot;:null, &quot;_distance&quot;:&quot;14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8638&quot;, &quot;url&quot;:null, &quot;postalcode&quot;:&quot;K8P 5L2&quot;, &quot;province&quot;:&quot;ON&quot;, &quot;sustainabilityurl&quot;:null, &quot;hoursmon&quot;:&quot;Please Call&quot;, &quot;longitude&quot;:&quot;-77.4044&quot;, &quot;uid&quot;:1878910180, &quot;retailerlinkurl&quot;:null, &quot;hourssat&quot;:&quot;Please Call&quot;, &quot;clientkey&quot;:&quot;68042&quot;, &quot;name&quot;:&quot;Staples&quot;, &quot;locationlinkurl&quot;:null, &quot;address1&quot;:&quot;190 Bell Blv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staples.png&quot;, &quot;phone&quot;:&quot;613-961-7399&quot;, &quot;address2&quot;:null, &quot;locationimageurl&quot;:null, &quot;_distance&quot;:&quot;14.9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1957464158726&quot;, &quot;url&quot;:null, &quot;postalcode&quot;:&quot;K8N 4Z5&quot;, &quot;province&quot;:&quot;ON&quot;, &quot;sustainabilityurl&quot;:null, &quot;hoursmon&quot;:&quot;Please Call&quot;, &quot;longitude&quot;:&quot;-77.400609762801&quot;, &quot;uid&quot;:1182183405, &quot;retailerlinkurl&quot;:null, &quot;hourssat&quot;:&quot;Please Call&quot;, &quot;clientkey&quot;:&quot;116687&quot;, &quot;name&quot;:&quot;Lowes&quot;, &quot;locationlinkurl&quot;:null, &quot;address1&quot;:&quot;219 Millennium Pk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lowes.png&quot;, &quot;phone&quot;:&quot;613-771-2945&quot;, &quot;address2&quot;:null, &quot;locationimageurl&quot;:null, &quot;_distance&quot;:&quot;1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076483867091&quot;, &quot;url&quot;:null, &quot;postalcode&quot;:&quot;K8N 4Z5&quot;, &quot;province&quot;:&quot;ON&quot;, &quot;sustainabilityurl&quot;:null, &quot;hoursmon&quot;:&quot;Please Call&quot;, &quot;longitude&quot;:&quot;-77.3954193747183&quot;, &quot;uid&quot;:1502209940, &quot;retailerlinkurl&quot;:null, &quot;hourssat&quot;:&quot;Please Call&quot;, &quot;clientkey&quot;:&quot;148151&quot;, &quot;name&quot;:&quot;Foxboro Fasteners&quot;, &quot;locationlinkurl&quot;:null, &quot;address1&quot;:&quot;407 Farnham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elleville&quot;, &quot;singleuse&quot;:&quot;Y&quot;, &quot;fax&quot;:null, &quot;country&quot;:&quot;CA&quot;, &quot;logourl&quot;:&quot;http://www.call2recycle.org/notpress/where2getit/call2recycle.png&quot;, &quot;phone&quot;:&quot;613-969-1933&quot;, &quot;address2&quot;:null, &quot;locationimageurl&quot;:null, &quot;_distance&quot;:&quot;14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0993125&quot;, &quot;url&quot;:null, &quot;postalcode&quot;:&quot;K7L 2N7&quot;, &quot;province&quot;:&quot;ON&quot;, &quot;sustainabilityurl&quot;:null, &quot;hoursmon&quot;:&quot;Please Call&quot;, &quot;longitude&quot;:&quot;-76.485105&quot;, &quot;uid&quot;:400726485, &quot;retailerlinkurl&quot;:null, &quot;hourssat&quot;:&quot;Please Call&quot;, &quot;clientkey&quot;:&quot;158017&quot;, &quot;name&quot;:&quot;ListenUp! Canada&quot;, &quot;locationlinkurl&quot;:null, &quot;address1&quot;:&quot;149 Broc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546-2250&quot;, &quot;address2&quot;:null, &quot;locationimageurl&quot;:null, &quot;_distance&quot;:&quot;1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259&quot;, &quot;url&quot;:null, &quot;postalcode&quot;:&quot;K7K 1A5&quot;, &quot;province&quot;:&quot;ON&quot;, &quot;sustainabilityurl&quot;:null, &quot;hoursmon&quot;:&quot;Please Call&quot;, &quot;longitude&quot;:&quot;-76.4832707142857&quot;, &quot;uid&quot;:1620024613, &quot;retailerlinkurl&quot;:null, &quot;hourssat&quot;:&quot;Please Call&quot;, &quot;clientkey&quot;:&quot;68067&quot;, &quot;name&quot;:&quot;Staples&quot;, &quot;locationlinkurl&quot;:null, &quot;address1&quot;:&quot;105 Quee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staples.png&quot;, &quot;phone&quot;:&quot;613-542-3585&quot;, &quot;address2&quot;:null, &quot;locationimageurl&quot;:null, &quot;_distance&quot;:&quot;1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3799&quot;, &quot;url&quot;:null, &quot;postalcode&quot;:&quot;K7M 4X4&quot;, &quot;province&quot;:&quot;ON&quot;, &quot;sustainabilityurl&quot;:null, &quot;hoursmon&quot;:&quot;Please Call&quot;, &quot;longitude&quot;:&quot;-76.54389&quot;, &quot;uid&quot;:-328628634, &quot;retailerlinkurl&quot;:null, &quot;hourssat&quot;:&quot;Please Call&quot;, &quot;clientkey&quot;:&quot;164253&quot;, &quot;name&quot;:&quot;Hock Shop Canada&quot;, &quot;locationlinkurl&quot;:null, &quot;address1&quot;:&quot;1300 Bath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766-1577&quot;, &quot;address2&quot;:null, &quot;locationimageurl&quot;:null, &quot;_distance&quot;:&quot;14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091&quot;, &quot;url&quot;:null, &quot;postalcode&quot;:&quot;K7R 3V3&quot;, &quot;province&quot;:&quot;ON&quot;, &quot;sustainabilityurl&quot;:null, &quot;hoursmon&quot;:&quot;Please Call&quot;, &quot;longitude&quot;:&quot;-76.96616&quot;, &quot;uid&quot;:400726488, &quot;retailerlinkurl&quot;:null, &quot;hourssat&quot;:&quot;Please Call&quot;, &quot;clientkey&quot;:&quot;158019&quot;, &quot;name&quot;:&quot;ListenUp! Canada&quot;, &quot;locationlinkurl&quot;:null, &quot;address1&quot;:&quot;307A Bridge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call2recycle.png&quot;, &quot;phone&quot;:&quot;613-354-7000&quot;, &quot;address2&quot;:null, &quot;locationimageurl&quot;:null, &quot;_distance&quot;:&quot;46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091&quot;, &quot;url&quot;:null, &quot;postalcode&quot;:&quot;K7R 3V3&quot;, &quot;province&quot;:&quot;ON&quot;, &quot;sustainabilityurl&quot;:null, &quot;hoursmon&quot;:&quot;Please Call&quot;, &quot;longitude&quot;:&quot;-76.96616&quot;, &quot;uid&quot;:400726488, &quot;retailerlinkurl&quot;:null, &quot;hourssat&quot;:&quot;Please Call&quot;, &quot;clientkey&quot;:&quot;158019&quot;, &quot;name&quot;:&quot;ListenUp! Canada&quot;, &quot;locationlinkurl&quot;:null, &quot;address1&quot;:&quot;307A Bridge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apanee&quot;, &quot;singleuse&quot;:&quot;Y&quot;, &quot;fax&quot;:null, &quot;country&quot;:&quot;CA&quot;, &quot;logourl&quot;:&quot;http://www.call2recycle.org/notpress/where2getit/call2recycle.png&quot;, &quot;phone&quot;:&quot;613-354-7000&quot;, &quot;address2&quot;:null, &quot;locationimageurl&quot;:null, &quot;_distance&quot;:&quot;7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16552182819&quot;, &quot;url&quot;:null, &quot;postalcode&quot;:&quot;K7M 4W7&quot;, &quot;province&quot;:&quot;ON&quot;, &quot;sustainabilityurl&quot;:null, &quot;hoursmon&quot;:&quot;Please Call&quot;, &quot;longitude&quot;:&quot;-76.5713681266807&quot;, &quot;uid&quot;:557016331, &quot;retailerlinkurl&quot;:null, &quot;hourssat&quot;:&quot;Please Call&quot;, &quot;clientkey&quot;:&quot;140322&quot;, &quot;name&quot;:&quot;United Rentals&quot;, &quot;locationlinkurl&quot;:null, &quot;address1&quot;:&quot;710 Development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5211&quot;, &quot;address2&quot;:null, &quot;locationimageurl&quot;:null, &quot;_distance&quot;:&quot;14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21917434511&quot;, &quot;url&quot;:null, &quot;postalcode&quot;:&quot;K7M 3X9&quot;, &quot;province&quot;:&quot;ON&quot;, &quot;sustainabilityurl&quot;:null, &quot;hoursmon&quot;:&quot;Please Call&quot;, &quot;longitude&quot;:&quot;-76.5677826218341&quot;, &quot;uid&quot;:1182199389, &quot;retailerlinkurl&quot;:null, &quot;hourssat&quot;:&quot;Please Call&quot;, &quot;clientkey&quot;:&quot;43542&quot;, &quot;name&quot;:&quot;Home Depot&quot;, &quot;locationlinkurl&quot;:null, &quot;address1&quot;:&quot;606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homedepot.png&quot;, &quot;phone&quot;:&quot;613-384-3511&quot;, &quot;address2&quot;:null, &quot;locationimageurl&quot;:null, &quot;_distance&quot;:&quot;14.6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426689227649&quot;, &quot;url&quot;:null, &quot;postalcode&quot;:&quot;K7M 9B8&quot;, &quot;province&quot;:&quot;ON&quot;, &quot;sustainabilityurl&quot;:null, &quot;hoursmon&quot;:&quot;Please Call&quot;, &quot;longitude&quot;:&quot;-76.5678108991268&quot;, &quot;uid&quot;:1641920065, &quot;retailerlinkurl&quot;:null, &quot;hourssat&quot;:&quot;Please Call&quot;, &quot;clientkey&quot;:&quot;68068&quot;, &quot;name&quot;:&quot;Staples&quot;, &quot;locationlinkurl&quot;:null, &quot;address1&quot;:&quot;616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staples.png&quot;, &quot;phone&quot;:&quot;613-634-2112&quot;, &quot;address2&quot;:null, &quot;locationimageurl&quot;:null, &quot;_distance&quot;:&quot;1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09278198464&quot;, &quot;url&quot;:null, &quot;postalcode&quot;:&quot;K7P 2N7&quot;, &quot;province&quot;:&quot;ON&quot;, &quot;sustainabilityurl&quot;:null, &quot;hoursmon&quot;:&quot;Please Call&quot;, &quot;longitude&quot;:&quot;-76.5710049038168&quot;, &quot;uid&quot;:400726487, &quot;retailerlinkurl&quot;:null, &quot;hourssat&quot;:&quot;Please Call&quot;, &quot;clientkey&quot;:&quot;158018&quot;, &quot;name&quot;:&quot;ListenUp! Canada&quot;, &quot;locationlinkurl&quot;:null, &quot;address1&quot;:&quot;770 Blackburn Mew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0304&quot;, &quot;address2&quot;:null, &quot;locationimageurl&quot;:null, &quot;_distance&quot;:&quot;14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09278198464&quot;, &quot;url&quot;:null, &quot;postalcode&quot;:&quot;K7P 2N7&quot;, &quot;province&quot;:&quot;ON&quot;, &quot;sustainabilityurl&quot;:null, &quot;hoursmon&quot;:&quot;Please Call&quot;, &quot;longitude&quot;:&quot;-76.5710049038168&quot;, &quot;uid&quot;:400726487, &quot;retailerlinkurl&quot;:null, &quot;hourssat&quot;:&quot;Please Call&quot;, &quot;clientkey&quot;:&quot;158018&quot;, &quot;name&quot;:&quot;ListenUp! Canada&quot;, &quot;locationlinkurl&quot;:null, &quot;address1&quot;:&quot;770 Blackburn Mew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0304&quot;, &quot;address2&quot;:null, &quot;locationimageurl&quot;:null, &quot;_distance&quot;:&quot;49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836&quot;, &quot;url&quot;:null, &quot;postalcode&quot;:&quot;K7P 0G3&quot;, &quot;province&quot;:&quot;ON&quot;, &quot;sustainabilityurl&quot;:null, &quot;hoursmon&quot;:&quot;Please Call&quot;, &quot;longitude&quot;:&quot;-76.56869&quot;, &quot;uid&quot;:540400462, &quot;retailerlinkurl&quot;:null, &quot;hourssat&quot;:&quot;Please Call&quot;, &quot;clientkey&quot;:&quot;161202&quot;, &quot;name&quot;:&quot;Fastenal&quot;, &quot;locationlinkurl&quot;:null, &quot;address1&quot;:&quot;101-1225 Gardiner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3968&quot;, &quot;address2&quot;:null, &quot;locationimageurl&quot;:null, &quot;_distance&quot;:&quot;13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5836&quot;, &quot;url&quot;:null, &quot;postalcode&quot;:&quot;K7P 0G3&quot;, &quot;province&quot;:&quot;ON&quot;, &quot;sustainabilityurl&quot;:null, &quot;hoursmon&quot;:&quot;Please Call&quot;, &quot;longitude&quot;:&quot;-76.56869&quot;, &quot;uid&quot;:540400462, &quot;retailerlinkurl&quot;:null, &quot;hourssat&quot;:&quot;Please Call&quot;, &quot;clientkey&quot;:&quot;161202&quot;, &quot;name&quot;:&quot;Fastenal&quot;, &quot;locationlinkurl&quot;:null, &quot;address1&quot;:&quot;101-1225 Gardiners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389-3968&quot;, &quot;address2&quot;:null, &quot;locationimageurl&quot;:null, &quot;_distance&quot;:&quot;49.4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456779661&quot;, &quot;url&quot;:null, &quot;postalcode&quot;:&quot;K7P 0G1&quot;, &quot;province&quot;:&quot;ON&quot;, &quot;sustainabilityurl&quot;:null, &quot;hoursmon&quot;:&quot;Please Call&quot;, &quot;longitude&quot;:&quot;-76.5688013559322&quot;, &quot;uid&quot;:1182177926, &quot;retailerlinkurl&quot;:null, &quot;hourssat&quot;:&quot;Please Call&quot;, &quot;clientkey&quot;:&quot;135460&quot;, &quot;name&quot;:&quot;Lowes&quot;, &quot;locationlinkurl&quot;:null, &quot;address1&quot;:&quot;1035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lowes.png&quot;, &quot;phone&quot;:&quot;613-634-5410&quot;, &quot;address2&quot;:null, &quot;locationimageurl&quot;:null, &quot;_distance&quot;:&quot;13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456779661&quot;, &quot;url&quot;:null, &quot;postalcode&quot;:&quot;K7P 0G1&quot;, &quot;province&quot;:&quot;ON&quot;, &quot;sustainabilityurl&quot;:null, &quot;hoursmon&quot;:&quot;Please Call&quot;, &quot;longitude&quot;:&quot;-76.5688013559322&quot;, &quot;uid&quot;:1182177926, &quot;retailerlinkurl&quot;:null, &quot;hourssat&quot;:&quot;Please Call&quot;, &quot;clientkey&quot;:&quot;135460&quot;, &quot;name&quot;:&quot;Lowes&quot;, &quot;locationlinkurl&quot;:null, &quot;address1&quot;:&quot;1035 Gardiners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lowes.png&quot;, &quot;phone&quot;:&quot;613-634-5410&quot;, &quot;address2&quot;:null, &quot;locationimageurl&quot;:null, &quot;_distance&quot;:&quot;49.2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7269559147&quot;, &quot;url&quot;:null, &quot;postalcode&quot;:&quot;K7P 2S5&quot;, &quot;province&quot;:&quot;ON&quot;, &quot;sustainabilityurl&quot;:null, &quot;hoursmon&quot;:&quot;Please Call&quot;, &quot;longitude&quot;:&quot;-76.559581905584&quot;, &quot;uid&quot;:677051369, &quot;retailerlinkurl&quot;:null, &quot;hourssat&quot;:&quot;Please Call&quot;, &quot;clientkey&quot;:&quot;169739&quot;, &quot;name&quot;:&quot;Princess Auto&quot;, &quot;locationlinkurl&quot;:null, &quot;address1&quot;:&quot;1016 Centennial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PrincessAuto_150x150.png&quot;, &quot;phone&quot;:&quot;613-530-3790&quot;, &quot;address2&quot;:null, &quot;locationimageurl&quot;:null, &quot;_distance&quot;:&quot;13.3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17269559147&quot;, &quot;url&quot;:null, &quot;postalcode&quot;:&quot;K7P 2S5&quot;, &quot;province&quot;:&quot;ON&quot;, &quot;sustainabilityurl&quot;:null, &quot;hoursmon&quot;:&quot;Please Call&quot;, &quot;longitude&quot;:&quot;-76.559581905584&quot;, &quot;uid&quot;:677051369, &quot;retailerlinkurl&quot;:null, &quot;hourssat&quot;:&quot;Please Call&quot;, &quot;clientkey&quot;:&quot;169739&quot;, &quot;name&quot;:&quot;Princess Auto&quot;, &quot;locationlinkurl&quot;:null, &quot;address1&quot;:&quot;1016 Centennial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PrincessAuto_150x150.png&quot;, &quot;phone&quot;:&quot;613-530-3790&quot;, &quot;address2&quot;:null, &quot;locationimageurl&quot;:null, &quot;_distance&quot;:&quot;49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641926530612&quot;, &quot;url&quot;:null, &quot;postalcode&quot;:&quot;K7K 6Z4&quot;, &quot;province&quot;:&quot;ON&quot;, &quot;sustainabilityurl&quot;:null, &quot;hoursmon&quot;:&quot;Please Call&quot;, &quot;longitude&quot;:&quot;-76.5095706122449&quot;, &quot;uid&quot;:-885553436, &quot;retailerlinkurl&quot;:null, &quot;hourssat&quot;:&quot;Please Call&quot;, &quot;clientkey&quot;:&quot;161388&quot;, &quot;name&quot;:&quot;Kingston Area Recycling Centre&quot;, &quot;locationlinkurl&quot;:null, &quot;address1&quot;:&quot;196 Lappans La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546-4291&quot;, &quot;address2&quot;:null, &quot;locationimageurl&quot;:null, &quot;_distance&quot;:&quot;11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742812222652&quot;, &quot;url&quot;:null, &quot;postalcode&quot;:&quot;K7P 2T4&quot;, &quot;province&quot;:&quot;ON&quot;, &quot;sustainabilityurl&quot;:null, &quot;hoursmon&quot;:&quot;Please Call&quot;, &quot;longitude&quot;:&quot;-76.5654773740755&quot;, &quot;uid&quot;:717072692, &quot;retailerlinkurl&quot;:null, &quot;hourssat&quot;:&quot;Please Call&quot;, &quot;clientkey&quot;:&quot;75426&quot;, &quot;name&quot;:&quot;Christie and Walther&quot;, &quot;locationlinkurl&quot;:null, &quot;address1&quot;:&quot;719 Fortune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3636&quot;, &quot;address2&quot;:null, &quot;locationimageurl&quot;:null, &quot;_distance&quot;:&quot;12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742812222652&quot;, &quot;url&quot;:null, &quot;postalcode&quot;:&quot;K7P 2T4&quot;, &quot;province&quot;:&quot;ON&quot;, &quot;sustainabilityurl&quot;:null, &quot;hoursmon&quot;:&quot;Please Call&quot;, &quot;longitude&quot;:&quot;-76.5654773740755&quot;, &quot;uid&quot;:717072692, &quot;retailerlinkurl&quot;:null, &quot;hourssat&quot;:&quot;Please Call&quot;, &quot;clientkey&quot;:&quot;75426&quot;, &quot;name&quot;:&quot;Christie and Walther&quot;, &quot;locationlinkurl&quot;:null, &quot;address1&quot;:&quot;719 Fortune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Kingston&quot;, &quot;singleuse&quot;:&quot;Y&quot;, &quot;fax&quot;:null, &quot;country&quot;:&quot;CA&quot;, &quot;logourl&quot;:&quot;http://www.call2recycle.org/notpress/where2getit/call2recycle.png&quot;, &quot;phone&quot;:&quot;613-634-3636&quot;, &quot;address2&quot;:null, &quot;locationimageurl&quot;:null, &quot;_distance&quot;:&quot;48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143&quot;, &quot;url&quot;:null, &quot;postalcode&quot;:&quot;K9J 7M2&quot;, &quot;province&quot;:&quot;ON&quot;, &quot;sustainabilityurl&quot;:null, &quot;hoursmon&quot;:&quot;Please Call&quot;, &quot;longitude&quot;:&quot;-78.34724&quot;, &quot;uid&quot;:1522037484, &quot;retailerlinkurl&quot;:null, &quot;hourssat&quot;:&quot;Please Call&quot;, &quot;clientkey&quot;:&quot;132810&quot;, &quot;name&quot;:&quot;Best Buy Canada&quot;, &quot;locationlinkurl&quot;:null, &quot;address1&quot;:&quot;1101 Lansdowne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bestbuy.png&quot;, &quot;phone&quot;:&quot;705-741-2081&quot;, &quot;address2&quot;:null, &quot;locationimageurl&quot;:null, &quot;_distance&quot;:&quot;6.5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4434&quot;, &quot;url&quot;:null, &quot;postalcode&quot;:&quot;K9J 5Y3&quot;, &quot;province&quot;:&quot;ON&quot;, &quot;sustainabilityurl&quot;:null, &quot;hoursmon&quot;:&quot;Please Call&quot;, &quot;longitude&quot;:&quot;-78.350731&quot;, &quot;uid&quot;:502592289, &quot;retailerlinkurl&quot;:null, &quot;hourssat&quot;:&quot;Please Call&quot;, &quot;clientkey&quot;:&quot;138344&quot;, &quot;name&quot;:&quot;ListenUp! Canada&quot;, &quot;locationlinkurl&quot;:null, &quot;address1&quot;:&quot;824 Clonsilla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9-9180&quot;, &quot;address2&quot;:null, &quot;locationimageurl&quot;:null, &quot;_distance&quot;:&quot;6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65753416109&quot;, &quot;url&quot;:null, &quot;postalcode&quot;:&quot;K9J 8J7&quot;, &quot;province&quot;:&quot;ON&quot;, &quot;sustainabilityurl&quot;:null, &quot;hoursmon&quot;:&quot;Please Call&quot;, &quot;longitude&quot;:&quot;-78.3271086335564&quot;, &quot;uid&quot;:1182192340, &quot;retailerlinkurl&quot;:null, &quot;hourssat&quot;:&quot;Please Call&quot;, &quot;clientkey&quot;:&quot;43518&quot;, &quot;name&quot;:&quot;Home Depot&quot;, &quot;locationlinkurl&quot;:null, &quot;address1&quot;:&quot;500 Lansdowne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homedepot.png&quot;, &quot;phone&quot;:&quot;705-876-4560&quot;, &quot;address2&quot;:null, &quot;locationimageurl&quot;:null, &quot;_distance&quot;:&quot;6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2896633333333&quot;, &quot;url&quot;:null, &quot;postalcode&quot;:&quot;K9J 3R8&quot;, &quot;province&quot;:&quot;ON&quot;, &quot;sustainabilityurl&quot;:null, &quot;hoursmon&quot;:&quot;Please Call&quot;, &quot;longitude&quot;:&quot;-78.3234533333333&quot;, &quot;uid&quot;:1805064245, &quot;retailerlinkurl&quot;:null, &quot;hourssat&quot;:&quot;Please Call&quot;, &quot;clientkey&quot;:&quot;67984&quot;, &quot;name&quot;:&quot;Staples&quot;, &quot;locationlinkurl&quot;:null, &quot;address1&quot;:&quot;109 Park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staples.png&quot;, &quot;phone&quot;:&quot;705-741-1130&quot;, &quot;address2&quot;:null, &quot;locationimageurl&quot;:null, &quot;_distance&quot;:&quot;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08138095238&quot;, &quot;url&quot;:null, &quot;postalcode&quot;:&quot;K9J 2N3&quot;, &quot;province&quot;:&quot;ON&quot;, &quot;sustainabilityurl&quot;:null, &quot;hoursmon&quot;:&quot;Please Call&quot;, &quot;longitude&quot;:&quot;-78.3198766666667&quot;, &quot;uid&quot;:1679417608, &quot;retailerlinkurl&quot;:null, &quot;hourssat&quot;:&quot;Please Call&quot;, &quot;clientkey&quot;:&quot;152404&quot;, &quot;name&quot;:&quot;Larry Electric Motor Service Ltd&quot;, &quot;locationlinkurl&quot;:null, &quot;address1&quot;:&quot;164 Sherbrooke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3-3167&quot;, &quot;address2&quot;:null, &quot;locationimageurl&quot;:null, &quot;_distance&quot;:&quot;4.9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25876914989&quot;, &quot;url&quot;:null, &quot;postalcode&quot;:&quot;K9J 3C7&quot;, &quot;province&quot;:&quot;ON&quot;, &quot;sustainabilityurl&quot;:null, &quot;hoursmon&quot;:&quot;Please Call&quot;, &quot;longitude&quot;:&quot;-78.3189538463336&quot;, &quot;uid&quot;:-725079434, &quot;retailerlinkurl&quot;:null, &quot;hourssat&quot;:&quot;Please Call&quot;, &quot;clientkey&quot;:&quot;162170&quot;, &quot;name&quot;:&quot;MNRF&quot;, &quot;locationlinkurl&quot;:null, &quot;address1&quot;:&quot;300 Wat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55-1740&quot;, &quot;address2&quot;:null, &quot;locationimageurl&quot;:null, &quot;_distance&quot;:&quot;4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0466&quot;, &quot;url&quot;:null, &quot;postalcode&quot;:&quot;K9H 3R2&quot;, &quot;province&quot;:&quot;ON&quot;, &quot;sustainabilityurl&quot;:null, &quot;hoursmon&quot;:&quot;Please Call&quot;, &quot;longitude&quot;:&quot;-78.31997&quot;, &quot;uid&quot;:400726469, &quot;retailerlinkurl&quot;:null, &quot;hourssat&quot;:&quot;Please Call&quot;, &quot;clientkey&quot;:&quot;158006&quot;, &quot;name&quot;:&quot;ListenUp! Canada&quot;, &quot;locationlinkurl&quot;:null, &quot;address1&quot;:&quot;361 Georg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terborough&quot;, &quot;singleuse&quot;:&quot;Y&quot;, &quot;fax&quot;:null, &quot;country&quot;:&quot;CA&quot;, &quot;logourl&quot;:&quot;http://www.call2recycle.org/notpress/where2getit/call2recycle.png&quot;, &quot;phone&quot;:&quot;705-741-2947&quot;, &quot;address2&quot;:null, &quot;locationimageurl&quot;:null, &quot;_distance&quot;:&quot;4.7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55679294061&quot;, &quot;url&quot;:null, &quot;postalcode&quot;:&quot;L4N 8Z9&quot;, &quot;province&quot;:&quot;ON&quot;, &quot;sustainabilityurl&quot;:null, &quot;hoursmon&quot;:&quot;Please Call&quot;, &quot;longitude&quot;:&quot;-79.6738948305988&quot;, &quot;uid&quot;:1182182110, &quot;retailerlinkurl&quot;:null, &quot;hourssat&quot;:&quot;Please Call&quot;, &quot;clientkey&quot;:&quot;66542&quot;, &quot;name&quot;:&quot;Point to Point Communications&quot;, &quot;locationlinkurl&quot;:null, &quot;address1&quot;:&quot;38 Hooper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21-9877&quot;, &quot;address2&quot;:null, &quot;locationimageurl&quot;:null, &quot;_distance&quot;:&quot;4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68537264172&quot;, &quot;url&quot;:null, &quot;postalcode&quot;:&quot;L4N 6P1&quot;, &quot;province&quot;:&quot;ON&quot;, &quot;sustainabilityurl&quot;:null, &quot;hoursmon&quot;:&quot;Please Call&quot;, &quot;longitude&quot;:&quot;-79.6809685624446&quot;, &quot;uid&quot;:-70786744, &quot;retailerlinkurl&quot;:null, &quot;hourssat&quot;:&quot;Please Call&quot;, &quot;clientkey&quot;:&quot;102657&quot;, &quot;name&quot;:&quot;Henrys&quot;, &quot;locationlinkurl&quot;:null, &quot;address1&quot;:&quot;110 Park Plac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20-2300&quot;, &quot;address2&quot;:null, &quot;locationimageurl&quot;:null, &quot;_distance&quot;:&quot;4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78780769231&quot;, &quot;url&quot;:null, &quot;postalcode&quot;:&quot;L4N 8V4&quot;, &quot;province&quot;:&quot;ON&quot;, &quot;sustainabilityurl&quot;:null, &quot;hoursmon&quot;:&quot;Please Call&quot;, &quot;longitude&quot;:&quot;-79.68763&quot;, &quot;uid&quot;:1525169919, &quot;retailerlinkurl&quot;:null, &quot;hourssat&quot;:&quot;Please Call&quot;, &quot;clientkey&quot;:&quot;68041&quot;, &quot;name&quot;:&quot;Staples&quot;, &quot;locationlinkurl&quot;:null, &quot;address1&quot;:&quot;36 Barrie View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taples.png&quot;, &quot;phone&quot;:&quot;705-733-3329&quot;, &quot;address2&quot;:null, &quot;locationimageurl&quot;:null, &quot;_distance&quot;:&quot;3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83230769231&quot;, &quot;url&quot;:null, &quot;postalcode&quot;:&quot;L4N 8V4&quot;, &quot;province&quot;:&quot;ON&quot;, &quot;sustainabilityurl&quot;:null, &quot;hoursmon&quot;:&quot;Please Call&quot;, &quot;longitude&quot;:&quot;-79.6875&quot;, &quot;uid&quot;:1182185288, &quot;retailerlinkurl&quot;:null, &quot;hourssat&quot;:&quot;Please Call&quot;, &quot;clientkey&quot;:&quot;39393&quot;, &quot;name&quot;:&quot;Home Depot&quot;, &quot;locationlinkurl&quot;:null, &quot;address1&quot;:&quot;10 Barrie View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homedepot.png&quot;, &quot;phone&quot;:&quot;705-733-2800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394913947389&quot;, &quot;url&quot;:null, &quot;postalcode&quot;:&quot;L4N 8V4&quot;, &quot;province&quot;:&quot;ON&quot;, &quot;sustainabilityurl&quot;:null, &quot;hoursmon&quot;:&quot;Please Call&quot;, &quot;longitude&quot;:&quot;-79.6907598235247&quot;, &quot;uid&quot;:677051364, &quot;retailerlinkurl&quot;:null, &quot;hourssat&quot;:&quot;Please Call&quot;, &quot;clientkey&quot;:&quot;169717&quot;, &quot;name&quot;:&quot;Princess Auto&quot;, &quot;locationlinkurl&quot;:null, &quot;address1&quot;:&quot;356 Bryn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PrincessAuto_150x150.png&quot;, &quot;phone&quot;:&quot;705-739-0575&quot;, &quot;address2&quot;:null, &quot;locationimageurl&quot;:null, &quot;_distance&quot;:&quot;3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4109&quot;, &quot;url&quot;:null, &quot;postalcode&quot;:&quot;K9V 2N3&quot;, &quot;province&quot;:&quot;ON&quot;, &quot;sustainabilityurl&quot;:null, &quot;hoursmon&quot;:&quot;Please Call&quot;, &quot;longitude&quot;:&quot;-78.72824&quot;, &quot;uid&quot;:642399714, &quot;retailerlinkurl&quot;:null, &quot;hourssat&quot;:&quot;Please Call&quot;, &quot;clientkey&quot;:&quot;167490&quot;, &quot;name&quot;:&quot;Home Building Center&quot;, &quot;locationlinkurl&quot;:null, &quot;address1&quot;:&quot;220 Lindsay St S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4-3516&quot;, &quot;address2&quot;:null, &quot;locationimageurl&quot;:null, &quot;_distance&quot;:&quot;12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4876&quot;, &quot;url&quot;:null, &quot;postalcode&quot;:&quot;K9V 2Z7&quot;, &quot;province&quot;:&quot;ON&quot;, &quot;sustainabilityurl&quot;:null, &quot;hoursmon&quot;:&quot;Please Call&quot;, &quot;longitude&quot;:&quot;-78.76655&quot;, &quot;uid&quot;:1625581566, &quot;retailerlinkurl&quot;:null, &quot;hourssat&quot;:&quot;Please Call&quot;, &quot;clientkey&quot;:&quot;102515&quot;, &quot;name&quot;:&quot;Staples&quot;, &quot;locationlinkurl&quot;:null, &quot;address1&quot;:&quot;600-363 Kent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staples.png&quot;, &quot;phone&quot;:&quot;705-328-3427&quot;, &quot;address2&quot;:null, &quot;locationimageurl&quot;:null, &quot;_distance&quot;:&quot;10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33542857143&quot;, &quot;url&quot;:null, &quot;postalcode&quot;:&quot;K9V 6A4&quot;, &quot;province&quot;:&quot;ON&quot;, &quot;sustainabilityurl&quot;:null, &quot;hoursmon&quot;:&quot;Please Call&quot;, &quot;longitude&quot;:&quot;-78.7440314285714&quot;, &quot;uid&quot;:502592001, &quot;retailerlinkurl&quot;:null, &quot;hourssat&quot;:&quot;Please Call&quot;, &quot;clientkey&quot;:&quot;157943&quot;, &quot;name&quot;:&quot;ListenUp! Canada&quot;, &quot;locationlinkurl&quot;:null, &quot;address1&quot;:&quot;232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8-9181&quot;, &quot;address2&quot;:null, &quot;locationimageurl&quot;:null, &quot;_distance&quot;:&quot;12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381&quot;, &quot;url&quot;:null, &quot;postalcode&quot;:&quot;K9V 2Y9&quot;, &quot;province&quot;:&quot;ON&quot;, &quot;sustainabilityurl&quot;:null, &quot;hoursmon&quot;:&quot;Please Call&quot;, &quot;longitude&quot;:&quot;-78.74207&quot;, &quot;uid&quot;:642399701, &quot;retailerlinkurl&quot;:null, &quot;hourssat&quot;:&quot;Please Call&quot;, &quot;clientkey&quot;:&quot;166330&quot;, &quot;name&quot;:&quot;Home Hardware&quot;, &quot;locationlinkurl&quot;:null, &quot;address1&quot;:&quot;207 Kent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Lindsay&quot;, &quot;singleuse&quot;:&quot;Y&quot;, &quot;fax&quot;:null, &quot;country&quot;:&quot;CA&quot;, &quot;logourl&quot;:&quot;http://www.call2recycle.org/notpress/where2getit/call2recycle.png&quot;, &quot;phone&quot;:&quot;705-324-4611&quot;, &quot;address2&quot;:null, &quot;locationimageurl&quot;:null, &quot;_distance&quot;:&quot;12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3555056096924&quot;, &quot;url&quot;:null, &quot;postalcode&quot;:&quot;L4N 8V8&quot;, &quot;province&quot;:&quot;ON&quot;, &quot;sustainabilityurl&quot;:null, &quot;hoursmon&quot;:&quot;Please Call&quot;, &quot;longitude&quot;:&quot;-79.6950121487654&quot;, &quot;uid&quot;:1062266055, &quot;retailerlinkurl&quot;:null, &quot;hourssat&quot;:&quot;Please Call&quot;, &quot;clientkey&quot;:&quot;162302&quot;, &quot;name&quot;:&quot;Mountain Equipment Co-op&quot;, &quot;locationlinkurl&quot;:null, &quot;address1&quot;:&quot;61 Bryn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92-4675&quot;, &quot;address2&quot;:null, &quot;locationimageurl&quot;:null, &quot;_distance&quot;:&quot;3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46266666667&quot;, &quot;url&quot;:null, &quot;postalcode&quot;:&quot;L4M 4Z9&quot;, &quot;province&quot;:&quot;ON&quot;, &quot;sustainabilityurl&quot;:null, &quot;hoursmon&quot;:&quot;Please Call&quot;, &quot;longitude&quot;:&quot;-79.7121866666667&quot;, &quot;uid&quot;:502592131, &quot;retailerlinkurl&quot;:null, &quot;hourssat&quot;:&quot;Please Call&quot;, &quot;clientkey&quot;:&quot;41337&quot;, &quot;name&quot;:&quot;Sears (Canada)&quot;, &quot;locationlinkurl&quot;:null, &quot;address1&quot;:&quot;521 Bayfiel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ears.png&quot;, &quot;phone&quot;:&quot;705-726-4451&quot;, &quot;address2&quot;:null, &quot;locationimageurl&quot;:null, &quot;_distance&quot;:&quot;6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2877777778&quot;, &quot;url&quot;:null, &quot;postalcode&quot;:&quot;L4M 4Z9&quot;, &quot;province&quot;:&quot;ON&quot;, &quot;sustainabilityurl&quot;:null, &quot;hoursmon&quot;:&quot;Please Call&quot;, &quot;longitude&quot;:&quot;-79.7127644444444&quot;, &quot;uid&quot;:642399732, &quot;retailerlinkurl&quot;:null, &quot;hourssat&quot;:&quot;Please Call&quot;, &quot;clientkey&quot;:&quot;168314&quot;, &quot;name&quot;:&quot;Dashvapes Inc&quot;, &quot;locationlinkurl&quot;:null, &quot;address1&quot;:&quot;531 Bayfield St 110A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915-3274&quot;, &quot;address2&quot;:null, &quot;locationimageurl&quot;:null, &quot;_distance&quot;:&quot;6.4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14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22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52&quot;, &quot;url&quot;:null, &quot;postalcode&quot;:&quot;K0K 2S0&quot;, &quot;province&quot;:&quot;ON&quot;, &quot;sustainabilityurl&quot;:null, &quot;hoursmon&quot;:&quot;Please Call&quot;, &quot;longitude&quot;:&quot;-76.98359&quot;, &quot;uid&quot;:873151558, &quot;retailerlinkurl&quot;:null, &quot;hourssat&quot;:&quot;Please Call&quot;, &quot;clientkey&quot;:&quot;164032&quot;, &quot;name&quot;:&quot;Newburgh Pharmacy&quot;, &quot;locationlinkurl&quot;:null, &quot;address1&quot;:&quot;2608 County Rd 1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wburgh&quot;, &quot;singleuse&quot;:&quot;Y&quot;, &quot;fax&quot;:null, &quot;country&quot;:&quot;CA&quot;, &quot;logourl&quot;:&quot;http://www.call2recycle.org/notpress/where2getit/call2recycle.png&quot;, &quot;phone&quot;:&quot;613-378-2220&quot;, &quot;address2&quot;:null, &quot;locationimageurl&quot;:null, &quot;_distance&quot;:&quot;34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5656122449&quot;, &quot;url&quot;:null, &quot;postalcode&quot;:&quot;L4M 7G1&quot;, &quot;province&quot;:&quot;ON&quot;, &quot;sustainabilityurl&quot;:null, &quot;hoursmon&quot;:&quot;Please Call&quot;, &quot;longitude&quot;:&quot;-79.6589920408163&quot;, &quot;uid&quot;:1090067584, &quot;retailerlinkurl&quot;:null, &quot;hourssat&quot;:&quot;Please Call&quot;, &quot;clientkey&quot;:&quot;158010&quot;, &quot;name&quot;:&quot;ListenUp! Canada&quot;, &quot;locationlinkurl&quot;:null, &quot;address1&quot;:&quot;5 Quarry Ridge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call2recycle.png&quot;, &quot;phone&quot;:&quot;705-719-7009&quot;, &quot;address2&quot;:null, &quot;locationimageurl&quot;:null, &quot;_distance&quot;:&quot;7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170117391304&quot;, &quot;url&quot;:null, &quot;postalcode&quot;:&quot;L4M 4Z9&quot;, &quot;province&quot;:&quot;ON&quot;, &quot;sustainabilityurl&quot;:null, &quot;hoursmon&quot;:&quot;Please Call&quot;, &quot;longitude&quot;:&quot;-79.7142417391304&quot;, &quot;uid&quot;:1667018895, &quot;retailerlinkurl&quot;:null, &quot;hourssat&quot;:&quot;Please Call&quot;, &quot;clientkey&quot;:&quot;95081&quot;, &quot;name&quot;:&quot;Staples&quot;, &quot;locationlinkurl&quot;:null, &quot;address1&quot;:&quot;561 Bayfield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rrie&quot;, &quot;singleuse&quot;:&quot;Y&quot;, &quot;fax&quot;:null, &quot;country&quot;:&quot;CA&quot;, &quot;logourl&quot;:&quot;http://www.call2recycle.org/notpress/where2getit/staples.png&quot;, &quot;phone&quot;:&quot;705-735-4058&quot;, &quot;address2&quot;:null, &quot;locationimageurl&quot;:null, &quot;_distance&quot;:&quot;6.5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2319&quot;, &quot;url&quot;:null, &quot;postalcode&quot;:&quot;K0L 2H0&quot;, &quot;province&quot;:&quot;ON&quot;, &quot;sustainabilityurl&quot;:null, &quot;hoursmon&quot;:&quot;Please Call&quot;, &quot;longitude&quot;:&quot;-78.2721875&quot;, &quot;uid&quot;:1182192096, &quot;retailerlinkurl&quot;:null, &quot;hourssat&quot;:&quot;Please Call&quot;, &quot;clientkey&quot;:&quot;29297&quot;, &quot;name&quot;:&quot;Kawartha Hardware Limited&quot;, &quot;locationlinkurl&quot;:null, &quot;address1&quot;:&quot;24 Queen St. (Box 149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Lakefield&quot;, &quot;singleuse&quot;:&quot;Y&quot;, &quot;fax&quot;:null, &quot;country&quot;:&quot;CA&quot;, &quot;logourl&quot;:&quot;http://www.call2recycle.org/notpress/where2getit/call2recycle.png&quot;, &quot;phone&quot;:&quot;705-652-3171&quot;, &quot;address2&quot;:null, &quot;locationimageurl&quot;:null, &quot;_distance&quot;:&quot;3.9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2824&quot;, &quot;url&quot;:null, &quot;postalcode&quot;:&quot;K0L 3A0&quot;, &quot;province&quot;:&quot;ON&quot;, &quot;sustainabilityurl&quot;:null, &quot;hoursmon&quot;:&quot;Please Call&quot;, &quot;longitude&quot;:&quot;-78.13654&quot;, &quot;uid&quot;:1957194846, &quot;retailerlinkurl&quot;:null, &quot;hourssat&quot;:&quot;Please Call&quot;, &quot;clientkey&quot;:&quot;119236&quot;, &quot;name&quot;:&quot;Township of Douro-Dummer&quot;, &quot;locationlinkurl&quot;:null, &quot;address1&quot;:&quot;894 South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Warsaw&quot;, &quot;singleuse&quot;:&quot;Y&quot;, &quot;fax&quot;:null, &quot;country&quot;:&quot;CA&quot;, &quot;logourl&quot;:&quot;http://www.call2recycle.org/notpress/where2getit/call2recycle.png&quot;, &quot;phone&quot;:&quot;705-652-8392&quot;, &quot;address2&quot;:null, &quot;locationimageurl&quot;:null, &quot;_distance&quot;:&quot;9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2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23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47863&quot;, &quot;url&quot;:null, &quot;postalcode&quot;:&quot;K0K 2M0&quot;, &quot;province&quot;:&quot;ON&quot;, &quot;sustainabilityurl&quot;:null, &quot;hoursmon&quot;:&quot;Please Call&quot;, &quot;longitude&quot;:&quot;-77.6922&quot;, &quot;uid&quot;:2004517776, &quot;retailerlinkurl&quot;:null, &quot;hourssat&quot;:&quot;Please Call&quot;, &quot;clientkey&quot;:&quot;155742&quot;, &quot;name&quot;:&quot;Drummond Bldg Supplies&quot;, &quot;locationlinkurl&quot;:null, &quot;address1&quot;:&quot;2-90 Matthew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rmora&quot;, &quot;singleuse&quot;:&quot;Y&quot;, &quot;fax&quot;:null, &quot;country&quot;:&quot;CA&quot;, &quot;logourl&quot;:&quot;http://www.call2recycle.org/notpress/where2getit/call2recycle.png&quot;, &quot;phone&quot;:&quot;613-472-2628&quot;, &quot;address2&quot;:null, &quot;locationimageurl&quot;:null, &quot;_distance&quot;:&quot;46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018&quot;, &quot;url&quot;:null, &quot;postalcode&quot;:&quot;N4K 5S2&quot;, &quot;province&quot;:&quot;ON&quot;, &quot;sustainabilityurl&quot;:null, &quot;hoursmon&quot;:&quot;Please Call&quot;, &quot;longitude&quot;:&quot;-80.92203&quot;, &quot;uid&quot;:1561147173, &quot;retailerlinkurl&quot;:null, &quot;hourssat&quot;:&quot;Please Call&quot;, &quot;clientkey&quot;:&quot;67975&quot;, &quot;name&quot;:&quot;Staples&quot;, &quot;locationlinkurl&quot;:null, &quot;address1&quot;:&quot;1077 10th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taples.png&quot;, &quot;phone&quot;:&quot;519-372-2228&quot;, &quot;address2&quot;:null, &quot;locationimageurl&quot;:null, &quot;_distance&quot;:&quot;17.1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018&quot;, &quot;url&quot;:null, &quot;postalcode&quot;:&quot;N4K 5S2&quot;, &quot;province&quot;:&quot;ON&quot;, &quot;sustainabilityurl&quot;:null, &quot;hoursmon&quot;:&quot;Please Call&quot;, &quot;longitude&quot;:&quot;-80.92203&quot;, &quot;uid&quot;:1561147173, &quot;retailerlinkurl&quot;:null, &quot;hourssat&quot;:&quot;Please Call&quot;, &quot;clientkey&quot;:&quot;67975&quot;, &quot;name&quot;:&quot;Staples&quot;, &quot;locationlinkurl&quot;:null, &quot;address1&quot;:&quot;1077 10th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taples.png&quot;, &quot;phone&quot;:&quot;519-372-2228&quot;, &quot;address2&quot;:null, &quot;locationimageurl&quot;:null, &quot;_distance&quot;:&quot;24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17094&quot;, &quot;url&quot;:null, &quot;postalcode&quot;:&quot;N4K 2H9&quot;, &quot;province&quot;:&quot;ON&quot;, &quot;sustainabilityurl&quot;:null, &quot;hoursmon&quot;:&quot;Please Call&quot;, &quot;longitude&quot;:&quot;-80.9408688&quot;, &quot;uid&quot;:1182195832, &quot;retailerlinkurl&quot;:null, &quot;hourssat&quot;:&quot;Please Call&quot;, &quot;clientkey&quot;:&quot;116156&quot;, &quot;name&quot;:&quot;Murrays Sharpening &amp; Tool Repair&quot;, &quot;locationlinkurl&quot;:null, &quot;address1&quot;:&quot;1190 2n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2495&quot;, &quot;address2&quot;:null, &quot;locationimageurl&quot;:null, &quot;_distance&quot;:&quot;16.3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17094&quot;, &quot;url&quot;:null, &quot;postalcode&quot;:&quot;N4K 2H9&quot;, &quot;province&quot;:&quot;ON&quot;, &quot;sustainabilityurl&quot;:null, &quot;hoursmon&quot;:&quot;Please Call&quot;, &quot;longitude&quot;:&quot;-80.9408688&quot;, &quot;uid&quot;:1182195832, &quot;retailerlinkurl&quot;:null, &quot;hourssat&quot;:&quot;Please Call&quot;, &quot;clientkey&quot;:&quot;116156&quot;, &quot;name&quot;:&quot;Murrays Sharpening &amp; Tool Repair&quot;, &quot;locationlinkurl&quot;:null, &quot;address1&quot;:&quot;1190 2nd Av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2495&quot;, &quot;address2&quot;:null, &quot;locationimageurl&quot;:null, &quot;_distance&quot;:&quot;24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41628282828&quot;, &quot;url&quot;:null, &quot;postalcode&quot;:&quot;N4K 6N7&quot;, &quot;province&quot;:&quot;ON&quot;, &quot;sustainabilityurl&quot;:null, &quot;hoursmon&quot;:&quot;Please Call&quot;, &quot;longitude&quot;:&quot;-80.9216897979798&quot;, &quot;uid&quot;:533723933, &quot;retailerlinkurl&quot;:null, &quot;hourssat&quot;:&quot;Please Call&quot;, &quot;clientkey&quot;:&quot;41339&quot;, &quot;name&quot;:&quot;Sears (Canada)&quot;, &quot;locationlinkurl&quot;:null, &quot;address1&quot;:&quot;1350 16th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ears.png&quot;, &quot;phone&quot;:&quot;519-376-8080&quot;, &quot;address2&quot;:null, &quot;locationimageurl&quot;:null, &quot;_distance&quot;:&quot;16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41628282828&quot;, &quot;url&quot;:null, &quot;postalcode&quot;:&quot;N4K 6N7&quot;, &quot;province&quot;:&quot;ON&quot;, &quot;sustainabilityurl&quot;:null, &quot;hoursmon&quot;:&quot;Please Call&quot;, &quot;longitude&quot;:&quot;-80.9216897979798&quot;, &quot;uid&quot;:533723933, &quot;retailerlinkurl&quot;:null, &quot;hourssat&quot;:&quot;Please Call&quot;, &quot;clientkey&quot;:&quot;41339&quot;, &quot;name&quot;:&quot;Sears (Canada)&quot;, &quot;locationlinkurl&quot;:null, &quot;address1&quot;:&quot;1350 16th St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sears.png&quot;, &quot;phone&quot;:&quot;519-376-8080&quot;, &quot;address2&quot;:null, &quot;locationimageurl&quot;:null, &quot;_distance&quot;:&quot;2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66641395434&quot;, &quot;url&quot;:null, &quot;postalcode&quot;:&quot;N4K 0E2&quot;, &quot;province&quot;:&quot;ON&quot;, &quot;sustainabilityurl&quot;:null, &quot;hoursmon&quot;:&quot;Please Call&quot;, &quot;longitude&quot;:&quot;-80.8997548332625&quot;, &quot;uid&quot;:677051381, &quot;retailerlinkurl&quot;:null, &quot;hourssat&quot;:&quot;Please Call&quot;, &quot;clientkey&quot;:&quot;169752&quot;, &quot;name&quot;:&quot;Princess Auto&quot;, &quot;locationlinkurl&quot;:null, &quot;address1&quot;:&quot;2125 16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PrincessAuto_150x150.png&quot;, &quot;phone&quot;:&quot;226-256-8260&quot;, &quot;address2&quot;:null, &quot;locationimageurl&quot;:null, &quot;_distance&quot;:&quot;17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766641395434&quot;, &quot;url&quot;:null, &quot;postalcode&quot;:&quot;N4K 0E2&quot;, &quot;province&quot;:&quot;ON&quot;, &quot;sustainabilityurl&quot;:null, &quot;hoursmon&quot;:&quot;Please Call&quot;, &quot;longitude&quot;:&quot;-80.8997548332625&quot;, &quot;uid&quot;:677051381, &quot;retailerlinkurl&quot;:null, &quot;hourssat&quot;:&quot;Please Call&quot;, &quot;clientkey&quot;:&quot;169752&quot;, &quot;name&quot;:&quot;Princess Auto&quot;, &quot;locationlinkurl&quot;:null, &quot;address1&quot;:&quot;2125 16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PrincessAuto_150x150.png&quot;, &quot;phone&quot;:&quot;226-256-8260&quot;, &quot;address2&quot;:null, &quot;locationimageurl&quot;:null, &quot;_distance&quot;:&quot;23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2195483447&quot;, &quot;url&quot;:null, &quot;postalcode&quot;:&quot;N4K 2B5&quot;, &quot;province&quot;:&quot;ON&quot;, &quot;sustainabilityurl&quot;:null, &quot;hoursmon&quot;:&quot;Please Call&quot;, &quot;longitude&quot;:&quot;-80.9055115611075&quot;, &quot;uid&quot;:45496997, &quot;retailerlinkurl&quot;:null, &quot;hourssat&quot;:&quot;Please Call&quot;, &quot;clientkey&quot;:&quot;78240&quot;, &quot;name&quot;:&quot;Home Depot&quot;, &quot;locationlinkurl&quot;:null, &quot;address1&quot;:&quot;1590 20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homedepot.png&quot;, &quot;phone&quot;:&quot;519-372-3970&quot;, &quot;address2&quot;:null, &quot;locationimageurl&quot;:null, &quot;_distance&quot;:&quot;17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2195483447&quot;, &quot;url&quot;:null, &quot;postalcode&quot;:&quot;N4K 2B5&quot;, &quot;province&quot;:&quot;ON&quot;, &quot;sustainabilityurl&quot;:null, &quot;hoursmon&quot;:&quot;Please Call&quot;, &quot;longitude&quot;:&quot;-80.9055115611075&quot;, &quot;uid&quot;:45496997, &quot;retailerlinkurl&quot;:null, &quot;hourssat&quot;:&quot;Please Call&quot;, &quot;clientkey&quot;:&quot;78240&quot;, &quot;name&quot;:&quot;Home Depot&quot;, &quot;locationlinkurl&quot;:null, &quot;address1&quot;:&quot;1590 20th St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homedepot.png&quot;, &quot;phone&quot;:&quot;519-372-3970&quot;, &quot;address2&quot;:null, &quot;locationimageurl&quot;:null, &quot;_distance&quot;:&quot;2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8226929319&quot;, &quot;url&quot;:null, &quot;postalcode&quot;:&quot;N4K 5N3&quot;, &quot;province&quot;:&quot;ON&quot;, &quot;sustainabilityurl&quot;:null, &quot;hoursmon&quot;:&quot;Please Call&quot;, &quot;longitude&quot;:&quot;-80.9002807372817&quot;, &quot;uid&quot;:1182174606, &quot;retailerlinkurl&quot;:null, &quot;hourssat&quot;:&quot;Please Call&quot;, &quot;clientkey&quot;:&quot;39449&quot;, &quot;name&quot;:&quot;City of Owen Sound&quot;, &quot;locationlinkurl&quot;:null, &quot;address1&quot;:&quot;1900 20th St Ea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4274&quot;, &quot;address2&quot;:null, &quot;locationimageurl&quot;:null, &quot;_distance&quot;:&quot;17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838226929319&quot;, &quot;url&quot;:null, &quot;postalcode&quot;:&quot;N4K 5N3&quot;, &quot;province&quot;:&quot;ON&quot;, &quot;sustainabilityurl&quot;:null, &quot;hoursmon&quot;:&quot;Please Call&quot;, &quot;longitude&quot;:&quot;-80.9002807372817&quot;, &quot;uid&quot;:1182174606, &quot;retailerlinkurl&quot;:null, &quot;hourssat&quot;:&quot;Please Call&quot;, &quot;clientkey&quot;:&quot;39449&quot;, &quot;name&quot;:&quot;City of Owen Sound&quot;, &quot;locationlinkurl&quot;:null, &quot;address1&quot;:&quot;1900 20th St Ea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wen Sound&quot;, &quot;singleuse&quot;:&quot;Y&quot;, &quot;fax&quot;:null, &quot;country&quot;:&quot;CA&quot;, &quot;logourl&quot;:&quot;http://www.call2recycle.org/notpress/where2getit/call2recycle.png&quot;, &quot;phone&quot;:&quot;519-376-4274&quot;, &quot;address2&quot;:null, &quot;locationimageurl&quot;:null, &quot;_distance&quot;:&quot;24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032&quot;, &quot;url&quot;:null, &quot;postalcode&quot;:&quot;L3V 6Z9&quot;, &quot;province&quot;:&quot;ON&quot;, &quot;sustainabilityurl&quot;:null, &quot;hoursmon&quot;:&quot;Please Call&quot;, &quot;longitude&quot;:&quot;-79.41173&quot;, &quot;uid&quot;:1182190474, &quot;retailerlinkurl&quot;:null, &quot;hourssat&quot;:&quot;Please Call&quot;, &quot;clientkey&quot;:&quot;37781&quot;, &quot;name&quot;:&quot;City of Orillia&quot;, &quot;locationlinkurl&quot;:null, &quot;address1&quot;:&quot;100 Kitchen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call2recycle.png&quot;, &quot;phone&quot;:&quot;705-325-2325&quot;, &quot;address2&quot;:null, &quot;locationimageurl&quot;:null, &quot;_distance&quot;:&quot;7.3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284&quot;, &quot;url&quot;:null, &quot;postalcode&quot;:&quot;K6V 4V5&quot;, &quot;province&quot;:&quot;ON&quot;, &quot;sustainabilityurl&quot;:null, &quot;hoursmon&quot;:&quot;Please Call&quot;, &quot;longitude&quot;:&quot;-75.68881&quot;, &quot;uid&quot;:502592046, &quot;retailerlinkurl&quot;:null, &quot;hourssat&quot;:&quot;Please Call&quot;, &quot;clientkey&quot;:&quot;158012&quot;, &quot;name&quot;:&quot;ListenUp! Canada&quot;, &quot;locationlinkurl&quot;:null, &quot;address1&quot;:&quot;68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call2recycle.png&quot;, &quot;phone&quot;:&quot;613-342-7821&quot;, &quot;address2&quot;:null, &quot;locationimageurl&quot;:null, &quot;_distance&quot;:&quot;13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5996096201182&quot;, &quot;url&quot;:null, &quot;postalcode&quot;:&quot;L3V 7M9&quot;, &quot;province&quot;:&quot;ON&quot;, &quot;sustainabilityurl&quot;:null, &quot;hoursmon&quot;:&quot;Please Call&quot;, &quot;longitude&quot;:&quot;-79.4249081117356&quot;, &quot;uid&quot;:400726414, &quot;retailerlinkurl&quot;:null, &quot;hourssat&quot;:&quot;Please Call&quot;, &quot;clientkey&quot;:&quot;157953&quot;, &quot;name&quot;:&quot;ListenUp! Canada&quot;, &quot;locationlinkurl&quot;:null, &quot;address1&quot;:&quot;170 Memorial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call2recycle.png&quot;, &quot;phone&quot;:&quot;705-326-9421&quot;, &quot;address2&quot;:null, &quot;locationimageurl&quot;:null, &quot;_distance&quot;:&quot;6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040935&quot;, &quot;url&quot;:null, &quot;postalcode&quot;:&quot;K6V 3G9&quot;, &quot;province&quot;:&quot;ON&quot;, &quot;sustainabilityurl&quot;:null, &quot;hoursmon&quot;:&quot;Please Call&quot;, &quot;longitude&quot;:&quot;-75.6989553&quot;, &quot;uid&quot;:1617757542, &quot;retailerlinkurl&quot;:null, &quot;hourssat&quot;:&quot;Please Call&quot;, &quot;clientkey&quot;:&quot;95084&quot;, &quot;name&quot;:&quot;Staples&quot;, &quot;locationlinkurl&quot;:null, &quot;address1&quot;:&quot;1000 Island Mall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staples.png&quot;, &quot;phone&quot;:&quot;613-498-2616&quot;, &quot;address2&quot;:null, &quot;locationimageurl&quot;:null, &quot;_distance&quot;:&quot;12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089418374835&quot;, &quot;url&quot;:null, &quot;postalcode&quot;:&quot;L3V 7Z4&quot;, &quot;province&quot;:&quot;ON&quot;, &quot;sustainabilityurl&quot;:null, &quot;hoursmon&quot;:&quot;Please Call&quot;, &quot;longitude&quot;:&quot;-79.4537873782666&quot;, &quot;uid&quot;:1182195889, &quot;retailerlinkurl&quot;:null, &quot;hourssat&quot;:&quot;Please Call&quot;, &quot;clientkey&quot;:&quot;43534&quot;, &quot;name&quot;:&quot;Home Depot&quot;, &quot;locationlinkurl&quot;:null, &quot;address1&quot;:&quot;3225 Monarch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homedepot.png&quot;, &quot;phone&quot;:&quot;705-327-6500&quot;, &quot;address2&quot;:null, &quot;locationimageurl&quot;:null, &quot;_distance&quot;:&quot;6.6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107622222222&quot;, &quot;url&quot;:null, &quot;postalcode&quot;:&quot;K6V 5T2&quot;, &quot;province&quot;:&quot;ON&quot;, &quot;sustainabilityurl&quot;:null, &quot;hoursmon&quot;:&quot;Please Call&quot;, &quot;longitude&quot;:&quot;-75.690042962963&quot;, &quot;uid&quot;:-511708424, &quot;retailerlinkurl&quot;:null, &quot;hourssat&quot;:&quot;Please Call&quot;, &quot;clientkey&quot;:&quot;94840&quot;, &quot;name&quot;:&quot;Home Depot&quot;, &quot;locationlinkurl&quot;:null, &quot;address1&quot;:&quot;2120 Parkdal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ockville&quot;, &quot;singleuse&quot;:&quot;Y&quot;, &quot;fax&quot;:null, &quot;country&quot;:&quot;CA&quot;, &quot;logourl&quot;:&quot;http://www.call2recycle.org/notpress/where2getit/homedepot.png&quot;, &quot;phone&quot;:&quot;613-498-9600&quot;, &quot;address2&quot;:null, &quot;locationimageurl&quot;:null, &quot;_distance&quot;:&quot;13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166&quot;, &quot;url&quot;:null, &quot;postalcode&quot;:&quot;L3V 0B5&quot;, &quot;province&quot;:&quot;ON&quot;, &quot;sustainabilityurl&quot;:null, &quot;hoursmon&quot;:&quot;Please Call&quot;, &quot;longitude&quot;:&quot;-79.44411&quot;, &quot;uid&quot;:1540842573, &quot;retailerlinkurl&quot;:null, &quot;hourssat&quot;:&quot;Please Call&quot;, &quot;clientkey&quot;:&quot;150334&quot;, &quot;name&quot;:&quot;Staples Canada&quot;, &quot;locationlinkurl&quot;:null, &quot;address1&quot;:&quot;135 Murphy Roa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rillia&quot;, &quot;singleuse&quot;:&quot;Y&quot;, &quot;fax&quot;:null, &quot;country&quot;:&quot;CA&quot;, &quot;logourl&quot;:&quot;http://www.call2recycle.org/notpress/where2getit/staples.png&quot;, &quot;phone&quot;:&quot;705-329-3074&quot;, &quot;address2&quot;:null, &quot;locationimageurl&quot;:null, &quot;_distance&quot;:&quot;5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6217044&quot;, &quot;url&quot;:null, &quot;postalcode&quot;:&quot;K6T 1A8&quot;, &quot;province&quot;:&quot;ON&quot;, &quot;sustainabilityurl&quot;:null, &quot;hoursmon&quot;:&quot;Please Call&quot;, &quot;longitude&quot;:&quot;-75.7652559&quot;, &quot;uid&quot;:823804128, &quot;retailerlinkurl&quot;:null, &quot;hourssat&quot;:&quot;Please Call&quot;, &quot;clientkey&quot;:&quot;23803&quot;, &quot;name&quot;:&quot;Christie and Walther&quot;, &quot;locationlinkurl&quot;:null, &quot;address1&quot;:&quot;4504 South Ave Unit 17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lizabethtown&quot;, &quot;singleuse&quot;:&quot;Y&quot;, &quot;fax&quot;:null, &quot;country&quot;:&quot;CA&quot;, &quot;logourl&quot;:&quot;http://www.call2recycle.org/notpress/where2getit/call2recycle.png&quot;, &quot;phone&quot;:&quot;613-342-6005&quot;, &quot;address2&quot;:null, &quot;locationimageurl&quot;:null, &quot;_distance&quot;:&quot;9.2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8894447890205&quot;, &quot;url&quot;:null, &quot;postalcode&quot;:&quot;K7H 3C7&quot;, &quot;province&quot;:&quot;ON&quot;, &quot;sustainabilityurl&quot;:null, &quot;hoursmon&quot;:&quot;Please Call&quot;, &quot;longitude&quot;:&quot;-76.1313426391912&quot;, &quot;uid&quot;:341261022, &quot;retailerlinkurl&quot;:null, &quot;hourssat&quot;:&quot;Please Call&quot;, &quot;clientkey&quot;:&quot;164985&quot;, &quot;name&quot;:&quot;Drummond North Elmsley Twnsp&quot;, &quot;locationlinkurl&quot;:null, &quot;address1&quot;:&quot;310 Port Elmsley Rd RR 5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6565&quot;, &quot;address2&quot;:null, &quot;locationimageurl&quot;:null, &quot;_distance&quot;:&quot;40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048185713514&quot;, &quot;url&quot;:null, &quot;postalcode&quot;:&quot;K7H 2Y4&quot;, &quot;province&quot;:&quot;ON&quot;, &quot;sustainabilityurl&quot;:null, &quot;hoursmon&quot;:&quot;Please Call&quot;, &quot;longitude&quot;:&quot;-76.2661892542424&quot;, &quot;uid&quot;:400726468, &quot;retailerlinkurl&quot;:null, &quot;hourssat&quot;:&quot;Please Call&quot;, &quot;clientkey&quot;:&quot;158005&quot;, &quot;name&quot;:&quot;ListenUp! Canada&quot;, &quot;locationlinkurl&quot;:null, &quot;address1&quot;:&quot;40 Sunset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4877&quot;, &quot;address2&quot;:null, &quot;locationimageurl&quot;:null, &quot;_distance&quot;:&quot;34.1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065194367056&quot;, &quot;url&quot;:null, &quot;postalcode&quot;:&quot;K7A 5L3&quot;, &quot;province&quot;:&quot;ON&quot;, &quot;sustainabilityurl&quot;:null, &quot;hoursmon&quot;:&quot;Please Call&quot;, &quot;longitude&quot;:&quot;-76.0257185705578&quot;, &quot;uid&quot;:400726482, &quot;retailerlinkurl&quot;:null, &quot;hourssat&quot;:&quot;Please Call&quot;, &quot;clientkey&quot;:&quot;158016&quot;, &quot;name&quot;:&quot;ListenUp! Canada&quot;, &quot;locationlinkurl&quot;:null, &quot;address1&quot;:&quot;91 Cornelia St W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miths Falls&quot;, &quot;singleuse&quot;:&quot;Y&quot;, &quot;fax&quot;:null, &quot;country&quot;:&quot;CA&quot;, &quot;logourl&quot;:&quot;http://www.call2recycle.org/notpress/where2getit/call2recycle.png&quot;, &quot;phone&quot;:&quot;613-284-0877&quot;, &quot;address2&quot;:null, &quot;locationimageurl&quot;:null, &quot;_distance&quot;:&quot;45.8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4.9122139448057&quot;, &quot;url&quot;:null, &quot;postalcode&quot;:&quot;K7H 2K8&quot;, &quot;province&quot;:&quot;ON&quot;, &quot;sustainabilityurl&quot;:null, &quot;hoursmon&quot;:&quot;Please Call&quot;, &quot;longitude&quot;:&quot;-76.2617478896113&quot;, &quot;uid&quot;:1041439704, &quot;retailerlinkurl&quot;:null, &quot;hourssat&quot;:&quot;Please Call&quot;, &quot;clientkey&quot;:&quot;29382&quot;, &quot;name&quot;:&quot;Perth Home Hardware&quot;, &quot;locationlinkurl&quot;:null, &quot;address1&quot;:&quot;115 Drummond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erth&quot;, &quot;singleuse&quot;:&quot;Y&quot;, &quot;fax&quot;:null, &quot;country&quot;:&quot;CA&quot;, &quot;logourl&quot;:&quot;http://www.call2recycle.org/notpress/where2getit/call2recycle.png&quot;, &quot;phone&quot;:&quot;613-267-4501&quot;, &quot;address2&quot;:null, &quot;locationimageurl&quot;:null, &quot;_distance&quot;:&quot;34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301839&quot;, &quot;url&quot;:null, &quot;postalcode&quot;:&quot;K0G 1J0&quot;, &quot;province&quot;:&quot;ON&quot;, &quot;sustainabilityurl&quot;:null, &quot;hoursmon&quot;:&quot;Please Call&quot;, &quot;longitude&quot;:&quot;-75.6314132&quot;, &quot;uid&quot;:1618865795, &quot;retailerlinkurl&quot;:null, &quot;hourssat&quot;:&quot;Please Call&quot;, &quot;clientkey&quot;:&quot;134401&quot;, &quot;name&quot;:&quot;Staples&quot;, &quot;locationlinkurl&quot;:null, &quot;address1&quot;:&quot;302 Colonna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emptville&quot;, &quot;singleuse&quot;:&quot;Y&quot;, &quot;fax&quot;:null, &quot;country&quot;:&quot;CA&quot;, &quot;logourl&quot;:&quot;http://www.call2recycle.org/notpress/where2getit/staples.png&quot;, &quot;phone&quot;:&quot;613-258-5900&quot;, &quot;address2&quot;:null, &quot;locationimageurl&quot;:null, &quot;_distance&quot;:&quot;13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35187961326&quot;, &quot;url&quot;:null, &quot;postalcode&quot;:&quot;P1L 1X3&quot;, &quot;province&quot;:&quot;ON&quot;, &quot;sustainabilityurl&quot;:null, &quot;hoursmon&quot;:&quot;Please Call&quot;, &quot;longitude&quot;:&quot;-79.3305916592164&quot;, &quot;uid&quot;:1806422161, &quot;retailerlinkurl&quot;:null, &quot;hourssat&quot;:&quot;Please Call&quot;, &quot;clientkey&quot;:&quot;138618&quot;, &quot;name&quot;:&quot;Staples&quot;, &quot;locationlinkurl&quot;:null, &quot;address1&quot;:&quot;500 Highway 118 W Unit 10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staples.png&quot;, &quot;phone&quot;:&quot;705-646-2775&quot;, &quot;address2&quot;:null, &quot;locationimageurl&quot;:null, &quot;_distance&quot;:&quot;12.6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35187961326&quot;, &quot;url&quot;:null, &quot;postalcode&quot;:&quot;P1L 1X3&quot;, &quot;province&quot;:&quot;ON&quot;, &quot;sustainabilityurl&quot;:null, &quot;hoursmon&quot;:&quot;Please Call&quot;, &quot;longitude&quot;:&quot;-79.3305916592164&quot;, &quot;uid&quot;:1806422161, &quot;retailerlinkurl&quot;:null, &quot;hourssat&quot;:&quot;Please Call&quot;, &quot;clientkey&quot;:&quot;138618&quot;, &quot;name&quot;:&quot;Staples&quot;, &quot;locationlinkurl&quot;:null, &quot;address1&quot;:&quot;500 Highway 118 W Unit 102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staples.png&quot;, &quot;phone&quot;:&quot;705-646-2775&quot;, &quot;address2&quot;:null, &quot;locationimageurl&quot;:null, &quot;_distance&quot;:&quot;24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498275&quot;, &quot;url&quot;:null, &quot;postalcode&quot;:&quot;P1L 0A1&quot;, &quot;province&quot;:&quot;ON&quot;, &quot;sustainabilityurl&quot;:null, &quot;hoursmon&quot;:&quot;Please Call&quot;, &quot;longitude&quot;:&quot;-79.292494375&quot;, &quot;uid&quot;:1182182013, &quot;retailerlinkurl&quot;:null, &quot;hourssat&quot;:&quot;Please Call&quot;, &quot;clientkey&quot;:&quot;68145&quot;, &quot;name&quot;:&quot;Home Depot&quot;, &quot;locationlinkurl&quot;:null, &quot;address1&quot;:&quot;20 Depo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racebridge&quot;, &quot;singleuse&quot;:&quot;Y&quot;, &quot;fax&quot;:null, &quot;country&quot;:&quot;CA&quot;, &quot;logourl&quot;:&quot;http://www.call2recycle.org/notpress/where2getit/homedepot.png&quot;, &quot;phone&quot;:&quot;705-646-5600&quot;, &quot;address2&quot;:null, &quot;locationimageurl&quot;:null, &quot;_distance&quot;:&quot;14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0730625726286&quot;, &quot;url&quot;:null, &quot;postalcode&quot;:&quot;K0L 1C0&quot;, &quot;province&quot;:&quot;ON&quot;, &quot;sustainabilityurl&quot;:null, &quot;hoursmon&quot;:&quot;Please Call&quot;, &quot;longitude&quot;:&quot;-77.8625030411204&quot;, &quot;uid&quot;:1182192082, &quot;retailerlinkurl&quot;:null, &quot;hourssat&quot;:&quot;Please Call&quot;, &quot;clientkey&quot;:&quot;29156&quot;, &quot;name&quot;:&quot;Bancroft Home Hardware&quot;, &quot;locationlinkurl&quot;:null, &quot;address1&quot;:&quot;248 Hastings St N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Bancroft&quot;, &quot;singleuse&quot;:&quot;Y&quot;, &quot;fax&quot;:null, &quot;country&quot;:&quot;CA&quot;, &quot;logourl&quot;:&quot;http://www.call2recycle.org/notpress/where2getit/call2recycle.png&quot;, &quot;phone&quot;:&quot;613-332-2060&quot;, &quot;address2&quot;:null, &quot;locationimageurl&quot;:null, &quot;_distance&quot;:&quot;45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045758467051&quot;, &quot;url&quot;:null, &quot;postalcode&quot;:&quot;K0C 2K0&quot;, &quot;province&quot;:&quot;ON&quot;, &quot;sustainabilityurl&quot;:null, &quot;hoursmon&quot;:&quot;Please Call&quot;, &quot;longitude&quot;:&quot;-75.3214423553231&quot;, &quot;uid&quot;:1414108904, &quot;retailerlinkurl&quot;:null, &quot;hourssat&quot;:&quot;Please Call&quot;, &quot;clientkey&quot;:&quot;147082&quot;, &quot;name&quot;:&quot;Township of North Dundas&quot;, &quot;locationlinkurl&quot;:null, &quot;address1&quot;:&quot;12620 Boy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inchester&quot;, &quot;singleuse&quot;:&quot;Y&quot;, &quot;fax&quot;:null, &quot;country&quot;:&quot;CA&quot;, &quot;logourl&quot;:&quot;http://www.call2recycle.org/notpress/where2getit/call2recycle.png&quot;, &quot;phone&quot;:&quot;613-774-5157&quot;, &quot;address2&quot;:null, &quot;locationimageurl&quot;:null, &quot;_distance&quot;:&quot;10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223&quot;, &quot;url&quot;:null, &quot;postalcode&quot;:&quot;K7C 0A7&quot;, &quot;province&quot;:&quot;ON&quot;, &quot;sustainabilityurl&quot;:null, &quot;hoursmon&quot;:&quot;Please Call&quot;, &quot;longitude&quot;:&quot;-76.12007&quot;, &quot;uid&quot;:1601453852, &quot;retailerlinkurl&quot;:null, &quot;hourssat&quot;:&quot;Please Call&quot;, &quot;clientkey&quot;:&quot;110739&quot;, &quot;name&quot;:&quot;Home Depot&quot;, &quot;locationlinkurl&quot;:null, &quot;address1&quot;:&quot;570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homedepot.png&quot;, &quot;phone&quot;:&quot;613-253-3870&quot;, &quot;address2&quot;:null, &quot;locationimageurl&quot;:null, &quot;_distance&quot;:&quot;43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27560185777&quot;, &quot;url&quot;:null, &quot;postalcode&quot;:&quot;K7C 0A8&quot;, &quot;province&quot;:&quot;ON&quot;, &quot;sustainabilityurl&quot;:null, &quot;hoursmon&quot;:&quot;Please Call&quot;, &quot;longitude&quot;:&quot;-76.1207543897624&quot;, &quot;uid&quot;:1567781750, &quot;retailerlinkurl&quot;:null, &quot;hourssat&quot;:&quot;Please Call&quot;, &quot;clientkey&quot;:&quot;106093&quot;, &quot;name&quot;:&quot;Staples&quot;, &quot;locationlinkurl&quot;:null, &quot;address1&quot;:&quot;555 McNeely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staples.png&quot;, &quot;phone&quot;:&quot;613-253-2400&quot;, &quot;address2&quot;:null, &quot;locationimageurl&quot;:null, &quot;_distance&quot;:&quot;43.7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13467&quot;, &quot;url&quot;:null, &quot;postalcode&quot;:&quot;K7C 2T7&quot;, &quot;province&quot;:&quot;ON&quot;, &quot;sustainabilityurl&quot;:null, &quot;hoursmon&quot;:&quot;Please Call&quot;, &quot;longitude&quot;:&quot;-76.1395070588235&quot;, &quot;uid&quot;:400726407, &quot;retailerlinkurl&quot;:null, &quot;hourssat&quot;:&quot;Please Call&quot;, &quot;clientkey&quot;:&quot;157948&quot;, &quot;name&quot;:&quot;ListenUp! Canada&quot;, &quot;locationlinkurl&quot;:null, &quot;address1&quot;:&quot;130 Lansdowne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arleton Place&quot;, &quot;singleuse&quot;:&quot;Y&quot;, &quot;fax&quot;:null, &quot;country&quot;:&quot;CA&quot;, &quot;logourl&quot;:&quot;http://www.call2recycle.org/notpress/where2getit/call2recycle.png&quot;, &quot;phone&quot;:&quot;613-253-0877&quot;, &quot;address2&quot;:null, &quot;locationimageurl&quot;:null, &quot;_distance&quot;:&quot;42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240975&quot;, &quot;url&quot;:null, &quot;postalcode&quot;:&quot;K4M 1A8&quot;, &quot;province&quot;:&quot;ON&quot;, &quot;sustainabilityurl&quot;:null, &quot;hoursmon&quot;:&quot;Please Call&quot;, &quot;longitude&quot;:&quot;-75.68488125&quot;, &quot;uid&quot;:159003776, &quot;retailerlinkurl&quot;:null, &quot;hourssat&quot;:&quot;Please Call&quot;, &quot;clientkey&quot;:&quot;29318&quot;, &quot;name&quot;:&quot;Manotick Home Hardware&quot;, &quot;locationlinkurl&quot;:null, &quot;address1&quot;:&quot;1166 Beaverwood Rd (PO Box 970)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Manotick&quot;, &quot;singleuse&quot;:&quot;Y&quot;, &quot;fax&quot;:null, &quot;country&quot;:&quot;CA&quot;, &quot;logourl&quot;:&quot;http://www.call2recycle.org/notpress/where2getit/call2recycle.png&quot;, &quot;phone&quot;:&quot;613-692-3591&quot;, &quot;address2&quot;:null, &quot;locationimageurl&quot;:null, &quot;_distance&quot;:&quot;10.0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1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72597504255&quot;, &quot;url&quot;:null, &quot;postalcode&quot;:&quot;K0A 1W1&quot;, &quot;province&quot;:&quot;ON&quot;, &quot;sustainabilityurl&quot;:null, &quot;hoursmon&quot;:&quot;Please Call&quot;, &quot;longitude&quot;:&quot;-75.3059172717022&quot;, &quot;uid&quot;:1182189720, &quot;retailerlinkurl&quot;:null, &quot;hourssat&quot;:&quot;Please Call&quot;, &quot;clientkey&quot;:&quot;87156&quot;, &quot;name&quot;:&quot;Township of Russell&quot;, &quot;locationlinkurl&quot;:null, &quot;address1&quot;:&quot;717 Rue Notre Dam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Embrun&quot;, &quot;singleuse&quot;:&quot;Y&quot;, &quot;fax&quot;:null, &quot;country&quot;:&quot;CA&quot;, &quot;logourl&quot;:&quot;http://www.call2recycle.org/notpress/where2getit/call2recycle.png&quot;, &quot;phone&quot;:&quot;613-443-3066&quot;, &quot;address2&quot;:null, &quot;locationimageurl&quot;:null, &quot;_distance&quot;:&quot;9.7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323504802&quot;, &quot;url&quot;:null, &quot;postalcode&quot;:&quot;K2J 5M4&quot;, &quot;province&quot;:&quot;ON&quot;, &quot;sustainabilityurl&quot;:null, &quot;hoursmon&quot;:&quot;Please Call&quot;, &quot;longitude&quot;:&quot;-75.7511639463902&quot;, &quot;uid&quot;:-1675423248, &quot;retailerlinkurl&quot;:null, &quot;hourssat&quot;:&quot;Please Call&quot;, &quot;clientkey&quot;:&quot;75909&quot;, &quot;name&quot;:&quot;Home Depot&quot;, &quot;locationlinkurl&quot;:null, &quot;address1&quot;:&quot;3779 Strandherd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homedepot.png&quot;, &quot;phone&quot;:&quot;613-843-7900&quot;, &quot;address2&quot;:null, &quot;locationimageurl&quot;:null, &quot;_distance&quot;:&quot;13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686415669868&quot;, &quot;url&quot;:null, &quot;postalcode&quot;:&quot;K2J 4B1&quot;, &quot;province&quot;:&quot;ON&quot;, &quot;sustainabilityurl&quot;:null, &quot;hoursmon&quot;:&quot;Please Call&quot;, &quot;longitude&quot;:&quot;-75.7511392975935&quot;, &quot;uid&quot;:602206728, &quot;retailerlinkurl&quot;:null, &quot;hourssat&quot;:&quot;Please Call&quot;, &quot;clientkey&quot;:&quot;150388&quot;, &quot;name&quot;:&quot;Best Buy Canada&quot;, &quot;locationlinkurl&quot;:null, &quot;address1&quot;:&quot;3777 Strandher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bestbuy.png&quot;, &quot;phone&quot;:&quot;613-843-5625&quot;, &quot;address2&quot;:null, &quot;locationimageurl&quot;:null, &quot;_distance&quot;:&quot;13.9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27069125&quot;, &quot;url&quot;:null, &quot;postalcode&quot;:&quot;K2J 5G5&quot;, &quot;province&quot;:&quot;ON&quot;, &quot;sustainabilityurl&quot;:null, &quot;hoursmon&quot;:&quot;Please Call&quot;, &quot;longitude&quot;:&quot;-75.7408525&quot;, &quot;uid&quot;:-2116053867, &quot;retailerlinkurl&quot;:null, &quot;hourssat&quot;:&quot;Please Call&quot;, &quot;clientkey&quot;:&quot;68079&quot;, &quot;name&quot;:&quot;Staples&quot;, &quot;locationlinkurl&quot;:null, &quot;address1&quot;:&quot;101 Marketplace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staples.png&quot;, &quot;phone&quot;:&quot;613-825-0457&quot;, &quot;address2&quot;:null, &quot;locationimageurl&quot;:null, &quot;_distance&quot;:&quot;13.5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8&quot;, &quot;url&quot;:null, &quot;postalcode&quot;:&quot;P1H 1Z9&quot;, &quot;province&quot;:&quot;ON&quot;, &quot;sustainabilityurl&quot;:null, &quot;hoursmon&quot;:&quot;Please Call&quot;, &quot;longitude&quot;:&quot;-79.24049&quot;, &quot;uid&quot;:533724651, &quot;retailerlinkurl&quot;:null, &quot;hourssat&quot;:&quot;Please Call&quot;, &quot;clientkey&quot;:&quot;149395&quot;, &quot;name&quot;:&quot;MTO&quot;, &quot;locationlinkurl&quot;:null, &quot;address1&quot;:&quot;Min. of Transportation - Huntsville Area Offic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2392&quot;, &quot;address2&quot;:null, &quot;locationimageurl&quot;:null, &quot;_distance&quot;:&quot;19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1568&quot;, &quot;url&quot;:null, &quot;postalcode&quot;:&quot;P1H 1Z9&quot;, &quot;province&quot;:&quot;ON&quot;, &quot;sustainabilityurl&quot;:null, &quot;hoursmon&quot;:&quot;Please Call&quot;, &quot;longitude&quot;:&quot;-79.24049&quot;, &quot;uid&quot;:533724651, &quot;retailerlinkurl&quot;:null, &quot;hourssat&quot;:&quot;Please Call&quot;, &quot;clientkey&quot;:&quot;149395&quot;, &quot;name&quot;:&quot;MTO&quot;, &quot;locationlinkurl&quot;:null, &quot;address1&quot;:&quot;Min. of Transportation - Huntsville Area Offic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2392&quot;, &quot;address2&quot;:null, &quot;locationimageurl&quot;:null, &quot;_distance&quot;:&quot;35.5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247075&quot;, &quot;url&quot;:null, &quot;postalcode&quot;:&quot;K2E 6V4&quot;, &quot;province&quot;:&quot;ON&quot;, &quot;sustainabilityurl&quot;:null, &quot;hoursmon&quot;:&quot;Please Call&quot;, &quot;longitude&quot;:&quot;-75.71596875&quot;, &quot;uid&quot;:475473366, &quot;retailerlinkurl&quot;:null, &quot;hourssat&quot;:&quot;Please Call&quot;, &quot;clientkey&quot;:&quot;145389&quot;, &quot;name&quot;:&quot;Interstate Batteries of Ont&quot;, &quot;locationlinkurl&quot;:null, &quot;address1&quot;:&quot;171 MacFarlan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epean&quot;, &quot;singleuse&quot;:&quot;Y&quot;, &quot;fax&quot;:null, &quot;country&quot;:&quot;CA&quot;, &quot;logourl&quot;:&quot;http://www.call2recycle.org/notpress/where2getit/call2recycle.png&quot;, &quot;phone&quot;:&quot;613-798-9700&quot;, &quot;address2&quot;:null, &quot;locationimageurl&quot;:null, &quot;_distance&quot;:&quot;14.2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19224506029&quot;, &quot;url&quot;:null, &quot;postalcode&quot;:&quot;P1H 1G3&quot;, &quot;province&quot;:&quot;ON&quot;, &quot;sustainabilityurl&quot;:null, &quot;hoursmon&quot;:&quot;Please Call&quot;, &quot;longitude&quot;:&quot;-79.2084770905076&quot;, &quot;uid&quot;:400726418, &quot;retailerlinkurl&quot;:null, &quot;hourssat&quot;:&quot;Please Call&quot;, &quot;clientkey&quot;:&quot;157957&quot;, &quot;name&quot;:&quot;ListenUp! Canada&quot;, &quot;locationlinkurl&quot;:null, &quot;address1&quot;:&quot;48 King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9293&quot;, &quot;address2&quot;:null, &quot;locationimageurl&quot;:null, &quot;_distance&quot;:&quot;20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19224506029&quot;, &quot;url&quot;:null, &quot;postalcode&quot;:&quot;P1H 1G3&quot;, &quot;province&quot;:&quot;ON&quot;, &quot;sustainabilityurl&quot;:null, &quot;hoursmon&quot;:&quot;Please Call&quot;, &quot;longitude&quot;:&quot;-79.2084770905076&quot;, &quot;uid&quot;:400726418, &quot;retailerlinkurl&quot;:null, &quot;hourssat&quot;:&quot;Please Call&quot;, &quot;clientkey&quot;:&quot;157957&quot;, &quot;name&quot;:&quot;ListenUp! Canada&quot;, &quot;locationlinkurl&quot;:null, &quot;address1&quot;:&quot;48 King William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call2recycle.png&quot;, &quot;phone&quot;:&quot;705-789-9293&quot;, &quot;address2&quot;:null, &quot;locationimageurl&quot;:null, &quot;_distance&quot;:&quot;34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458&quot;, &quot;url&quot;:null, &quot;postalcode&quot;:&quot;P1H 1G6&quot;, &quot;province&quot;:&quot;ON&quot;, &quot;sustainabilityurl&quot;:null, &quot;hoursmon&quot;:&quot;Please Call&quot;, &quot;longitude&quot;:&quot;-79.20537&quot;, &quot;uid&quot;:1668155495, &quot;retailerlinkurl&quot;:null, &quot;hourssat&quot;:&quot;Please Call&quot;, &quot;clientkey&quot;:&quot;106098&quot;, &quot;name&quot;:&quot;Staples&quot;, &quot;locationlinkurl&quot;:null, &quot;address1&quot;:&quot;King William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staples.png&quot;, &quot;phone&quot;:&quot;705-789-5817&quot;, &quot;address2&quot;:null, &quot;locationimageurl&quot;:null, &quot;_distance&quot;:&quot;21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458&quot;, &quot;url&quot;:null, &quot;postalcode&quot;:&quot;P1H 1G6&quot;, &quot;province&quot;:&quot;ON&quot;, &quot;sustainabilityurl&quot;:null, &quot;hoursmon&quot;:&quot;Please Call&quot;, &quot;longitude&quot;:&quot;-79.20537&quot;, &quot;uid&quot;:1668155495, &quot;retailerlinkurl&quot;:null, &quot;hourssat&quot;:&quot;Please Call&quot;, &quot;clientkey&quot;:&quot;106098&quot;, &quot;name&quot;:&quot;Staples&quot;, &quot;locationlinkurl&quot;:null, &quot;address1&quot;:&quot;King William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staples.png&quot;, &quot;phone&quot;:&quot;705-789-5817&quot;, &quot;address2&quot;:null, &quot;locationimageurl&quot;:null, &quot;_distance&quot;:&quot;3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947143545&quot;, &quot;url&quot;:null, &quot;postalcode&quot;:&quot;P1H 0A2&quot;, &quot;province&quot;:&quot;ON&quot;, &quot;sustainabilityurl&quot;:null, &quot;hoursmon&quot;:&quot;Please Call&quot;, &quot;longitude&quot;:&quot;-79.2202006280094&quot;, &quot;uid&quot;:1182200201, &quot;retailerlinkurl&quot;:null, &quot;hourssat&quot;:&quot;Please Call&quot;, &quot;clientkey&quot;:&quot;94845&quot;, &quot;name&quot;:&quot;Home Depot&quot;, &quot;locationlinkurl&quot;:null, &quot;address1&quot;:&quot;9 Ot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homedepot.png&quot;, &quot;phone&quot;:&quot;705-788-5000&quot;, &quot;address2&quot;:null, &quot;locationimageurl&quot;:null, &quot;_distance&quot;:&quot;20.3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3947143545&quot;, &quot;url&quot;:null, &quot;postalcode&quot;:&quot;P1H 0A2&quot;, &quot;province&quot;:&quot;ON&quot;, &quot;sustainabilityurl&quot;:null, &quot;hoursmon&quot;:&quot;Please Call&quot;, &quot;longitude&quot;:&quot;-79.2202006280094&quot;, &quot;uid&quot;:1182200201, &quot;retailerlinkurl&quot;:null, &quot;hourssat&quot;:&quot;Please Call&quot;, &quot;clientkey&quot;:&quot;94845&quot;, &quot;name&quot;:&quot;Home Depot&quot;, &quot;locationlinkurl&quot;:null, &quot;address1&quot;:&quot;9 Ott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untsville&quot;, &quot;singleuse&quot;:&quot;Y&quot;, &quot;fax&quot;:null, &quot;country&quot;:&quot;CA&quot;, &quot;logourl&quot;:&quot;http://www.call2recycle.org/notpress/where2getit/homedepot.png&quot;, &quot;phone&quot;:&quot;705-788-5000&quot;, &quot;address2&quot;:null, &quot;locationimageurl&quot;:null, &quot;_distance&quot;:&quot;33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13.6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18.2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34048134126&quot;, &quot;url&quot;:null, &quot;postalcode&quot;:&quot;P2A 2L7&quot;, &quot;province&quot;:&quot;ON&quot;, &quot;sustainabilityurl&quot;:null, &quot;hoursmon&quot;:&quot;Please Call&quot;, &quot;longitude&quot;:&quot;-80.0129387664976&quot;, &quot;uid&quot;:1182187194, &quot;retailerlinkurl&quot;:null, &quot;hourssat&quot;:&quot;Please Call&quot;, &quot;clientkey&quot;:&quot;123685&quot;, &quot;name&quot;:&quot;Home Depot&quot;, &quot;locationlinkurl&quot;:null, &quot;address1&quot;:&quot;100 Bowes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homedepot.png&quot;, &quot;phone&quot;:&quot;705-774-7000&quot;, &quot;address2&quot;:null, &quot;locationimageurl&quot;:null, &quot;_distance&quot;:&quot;42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13.2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1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44422&quot;, &quot;url&quot;:null, &quot;postalcode&quot;:&quot;P2A 1W9&quot;, &quot;province&quot;:&quot;ON&quot;, &quot;sustainabilityurl&quot;:null, &quot;hoursmon&quot;:&quot;Please Call&quot;, &quot;longitude&quot;:&quot;-80.035152&quot;, &quot;uid&quot;:1697151317, &quot;retailerlinkurl&quot;:null, &quot;hourssat&quot;:&quot;Please Call&quot;, &quot;clientkey&quot;:&quot;151434&quot;, &quot;name&quot;:&quot;Georgian Bay Software&quot;, &quot;locationlinkurl&quot;:null, &quot;address1&quot;:&quot;42 Gibso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arry Sound&quot;, &quot;singleuse&quot;:&quot;Y&quot;, &quot;fax&quot;:null, &quot;country&quot;:&quot;CA&quot;, &quot;logourl&quot;:&quot;http://www.call2recycle.org/notpress/where2getit/call2recycle.png&quot;, &quot;phone&quot;:&quot;705-746-6943&quot;, &quot;address2&quot;:null, &quot;locationimageurl&quot;:null, &quot;_distance&quot;:&quot;41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39&quot;, &quot;url&quot;:null, &quot;postalcode&quot;:&quot;K1V 0T7&quot;, &quot;province&quot;:&quot;ON&quot;, &quot;sustainabilityurl&quot;:null, &quot;hoursmon&quot;:&quot;Please Call&quot;, &quot;longitude&quot;:&quot;-75.64844&quot;, &quot;uid&quot;:400726452, &quot;retailerlinkurl&quot;:null, &quot;hourssat&quot;:&quot;Please Call&quot;, &quot;clientkey&quot;:&quot;157984&quot;, &quot;name&quot;:&quot;ListenUp! Canada&quot;, &quot;locationlinkurl&quot;:null, &quot;address1&quot;:&quot;Shopping Plaza 2430 Bank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call2recycle.png&quot;, &quot;phone&quot;:&quot;613-521-0904&quot;, &quot;address2&quot;:null, &quot;locationimageurl&quot;:null, &quot;_distance&quot;:&quot;13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573151020408&quot;, &quot;url&quot;:null, &quot;postalcode&quot;:&quot;K1V 1J5&quot;, &quot;province&quot;:&quot;ON&quot;, &quot;sustainabilityurl&quot;:null, &quot;hoursmon&quot;:&quot;Please Call&quot;, &quot;longitude&quot;:&quot;-75.6538102040816&quot;, &quot;uid&quot;:1935457474, &quot;retailerlinkurl&quot;:null, &quot;hourssat&quot;:&quot;Please Call&quot;, &quot;clientkey&quot;:&quot;139850&quot;, &quot;name&quot;:&quot;Staples&quot;, &quot;locationlinkurl&quot;:null, &quot;address1&quot;:&quot;2210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staples.png&quot;, &quot;phone&quot;:&quot;613-521-3030&quot;, &quot;address2&quot;:null, &quot;locationimageurl&quot;:null, &quot;_distance&quot;:&quot;13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633490771332&quot;, &quot;url&quot;:null, &quot;postalcode&quot;:&quot;K1V 7Z8&quot;, &quot;province&quot;:&quot;ON&quot;, &quot;sustainabilityurl&quot;:null, &quot;hoursmon&quot;:&quot;Please Call&quot;, &quot;longitude&quot;:&quot;-75.658896395124&quot;, &quot;uid&quot;:1182189487, &quot;retailerlinkurl&quot;:null, &quot;hourssat&quot;:&quot;Please Call&quot;, &quot;clientkey&quot;:&quot;78239&quot;, &quot;name&quot;:&quot;Home Depot&quot;, &quot;locationlinkurl&quot;:null, &quot;address1&quot;:&quot;2056 Bank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homedepot.png&quot;, &quot;phone&quot;:&quot;613-739-5300&quot;, &quot;address2&quot;:null, &quot;locationimageurl&quot;:null, &quot;_distance&quot;:&quot;14.1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3843547110849&quot;, &quot;url&quot;:null, &quot;postalcode&quot;:&quot;K1G 6L3&quot;, &quot;province&quot;:&quot;ON&quot;, &quot;sustainabilityurl&quot;:null, &quot;hoursmon&quot;:&quot;Please Call&quot;, &quot;longitude&quot;:&quot;-75.6101776002356&quot;, &quot;uid&quot;:677051361, &quot;retailerlinkurl&quot;:null, &quot;hourssat&quot;:&quot;Please Call&quot;, &quot;clientkey&quot;:&quot;169704&quot;, &quot;name&quot;:&quot;Princess Auto&quot;, &quot;locationlinkurl&quot;:null, &quot;address1&quot;:&quot;1111 Age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Ottawa&quot;, &quot;singleuse&quot;:&quot;Y&quot;, &quot;fax&quot;:null, &quot;country&quot;:&quot;CA&quot;, &quot;logourl&quot;:&quot;http://www.call2recycle.org/notpress/where2getit/PrincessAuto_150x150.png&quot;, &quot;phone&quot;:&quot;613-247-1657&quot;, &quot;address2&quot;:null, &quot;locationimageurl&quot;:null, &quot;_distance&quot;:&quot;14.1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347&quot;, &quot;url&quot;:null, &quot;postalcode&quot;:&quot;K7S 0A8&quot;, &quot;province&quot;:&quot;ON&quot;, &quot;sustainabilityurl&quot;:null, &quot;hoursmon&quot;:&quot;Please Call&quot;, &quot;longitude&quot;:&quot;-76.3568&quot;, &quot;uid&quot;:-1861677544, &quot;retailerlinkurl&quot;:null, &quot;hourssat&quot;:&quot;Please Call&quot;, &quot;clientkey&quot;:&quot;57447&quot;, &quot;name&quot;:&quot;Town of Arnprior&quot;, &quot;locationlinkurl&quot;:null, &quot;address1&quot;:&quot;105 Elgin St W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Arnprior&quot;, &quot;singleuse&quot;:&quot;Y&quot;, &quot;fax&quot;:null, &quot;country&quot;:&quot;CA&quot;, &quot;logourl&quot;:&quot;http://www.call2recycle.org/notpress/where2getit/call2recycle.png&quot;, &quot;phone&quot;:&quot;613-623-4231&quot;, &quot;address2&quot;:null, &quot;locationimageurl&quot;:null, &quot;_distance&quot;:&quot;46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304&quot;, &quot;url&quot;:null, &quot;postalcode&quot;:&quot;K0J 2C0&quot;, &quot;province&quot;:&quot;ON&quot;, &quot;sustainabilityurl&quot;:null, &quot;hoursmon&quot;:&quot;Please Call&quot;, &quot;longitude&quot;:&quot;-77.9388&quot;, &quot;uid&quot;:523023624, &quot;retailerlinkurl&quot;:null, &quot;hourssat&quot;:&quot;Please Call&quot;, &quot;clientkey&quot;:&quot;169095&quot;, &quot;name&quot;:&quot;Lyell Landfill Site&quot;, &quot;locationlinkurl&quot;:null, &quot;address1&quot;:&quot;6319 Hyw 523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dawask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17.8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860755&quot;, &quot;url&quot;:null, &quot;postalcode&quot;:&quot;K0J 2M0&quot;, &quot;province&quot;:&quot;ON&quot;, &quot;sustainabilityurl&quot;:null, &quot;hoursmon&quot;:&quot;Please Call&quot;, &quot;longitude&quot;:&quot;-78.2406405&quot;, &quot;uid&quot;:642399747, &quot;retailerlinkurl&quot;:null, &quot;hourssat&quot;:&quot;Please Call&quot;, &quot;clientkey&quot;:&quot;168778&quot;, &quot;name&quot;:&quot;Township of South Algonquin&quot;, &quot;locationlinkurl&quot;:null, &quot;address1&quot;:&quot;7 Third Avenu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613-637-2650&quot;, &quot;address2&quot;:null, &quot;locationimageurl&quot;:null, &quot;_distance&quot;:&quot;43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5.49942&quot;, &quot;url&quot;:null, &quot;postalcode&quot;:&quot;K0J 2M0&quot;, &quot;province&quot;:&quot;ON&quot;, &quot;sustainabilityurl&quot;:null, &quot;hoursmon&quot;:&quot;Please Call&quot;, &quot;longitude&quot;:&quot;-78.23153&quot;, &quot;uid&quot;:523023623, &quot;retailerlinkurl&quot;:null, &quot;hourssat&quot;:&quot;Please Call&quot;, &quot;clientkey&quot;:&quot;169094&quot;, &quot;name&quot;:&quot;Airy Landfill Site&quot;, &quot;locationlinkurl&quot;:null, &quot;address1&quot;:&quot;462 Nipissing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Whitney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3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13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25.4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0814266666667&quot;, &quot;url&quot;:null, &quot;postalcode&quot;:&quot;P0H 1Z0&quot;, &quot;province&quot;:&quot;ON&quot;, &quot;sustainabilityurl&quot;:null, &quot;hoursmon&quot;:&quot;Please Call&quot;, &quot;longitude&quot;:&quot;-79.3612022222222&quot;, &quot;uid&quot;:-80584972, &quot;retailerlinkurl&quot;:null, &quot;hourssat&quot;:&quot;Please Call&quot;, &quot;clientkey&quot;:&quot;165425&quot;, &quot;name&quot;:&quot;Powassan Home Hardware&quot;, &quot;locationlinkurl&quot;:null, &quot;address1&quot;:&quot;489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owassan&quot;, &quot;singleuse&quot;:&quot;Y&quot;, &quot;fax&quot;:null, &quot;country&quot;:&quot;CA&quot;, &quot;logourl&quot;:&quot;http://www.call2recycle.org/notpress/where2getit/call2recycle.png&quot;, &quot;phone&quot;:&quot;705-724-2810&quot;, &quot;address2&quot;:null, &quot;locationimageurl&quot;:null, &quot;_distance&quot;:&quot;49.0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18657&quot;, &quot;url&quot;:null, &quot;postalcode&quot;:&quot;P0R 1B0&quot;, &quot;province&quot;:&quot;ON&quot;, &quot;sustainabilityurl&quot;:null, &quot;hoursmon&quot;:&quot;Please Call&quot;, &quot;longitude&quot;:&quot;-82.95392&quot;, &quot;uid&quot;:1182185843, &quot;retailerlinkurl&quot;:null, &quot;hourssat&quot;:&quot;Please Call&quot;, &quot;clientkey&quot;:&quot;72018&quot;, &quot;name&quot;:&quot;Unicorn Stationery &amp; Gifts&quot;, &quot;locationlinkurl&quot;:null, &quot;address1&quot;:&quot;23 Woodward Av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Blind River&quot;, &quot;singleuse&quot;:&quot;Y&quot;, &quot;fax&quot;:null, &quot;country&quot;:&quot;CA&quot;, &quot;logourl&quot;:&quot;http://www.call2recycle.org/notpress/where2getit/call2recycle.png&quot;, &quot;phone&quot;:&quot;705-356-7424&quot;, &quot;address2&quot;:null, &quot;locationimageurl&quot;:null, &quot;_distance&quot;:&quot;9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1335&quot;, &quot;url&quot;:null, &quot;postalcode&quot;:&quot;P0P 1P0&quot;, &quot;province&quot;:&quot;ON&quot;, &quot;sustainabilityurl&quot;:null, &quot;hoursmon&quot;:&quot;Please Call&quot;, &quot;longitude&quot;:&quot;-82.06609&quot;, &quot;uid&quot;:1182177947, &quot;retailerlinkurl&quot;:null, &quot;hourssat&quot;:&quot;Please Call&quot;, &quot;clientkey&quot;:&quot;135556&quot;, &quot;name&quot;:&quot;Township of Sables-Spanish Rivers&quot;, &quot;locationlinkurl&quot;:null, &quot;address1&quot;:&quot;1-11 Birch Lake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Massey&quot;, &quot;singleuse&quot;:&quot;Y&quot;, &quot;fax&quot;:null, &quot;country&quot;:&quot;CA&quot;, &quot;logourl&quot;:&quot;http://www.call2recycle.org/notpress/where2getit/call2recycle.png&quot;, &quot;phone&quot;:&quot;705-865-2646&quot;, &quot;address2&quot;:null, &quot;locationimageurl&quot;:null, &quot;_distance&quot;:&quot;11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559011111111&quot;, &quot;url&quot;:null, &quot;postalcode&quot;:&quot;P0R 1L0&quot;, &quot;province&quot;:&quot;ON&quot;, &quot;sustainabilityurl&quot;:null, &quot;hoursmon&quot;:&quot;Please Call&quot;, &quot;longitude&quot;:&quot;-83.5571277777778&quot;, &quot;uid&quot;:-123812016, &quot;retailerlinkurl&quot;:null, &quot;hourssat&quot;:&quot;Please Call&quot;, &quot;clientkey&quot;:&quot;83053&quot;, &quot;name&quot;:&quot;Ritchie Electronics&quot;, &quot;locationlinkurl&quot;:null, &quot;address1&quot;:&quot;158 Main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essalon&quot;, &quot;singleuse&quot;:&quot;Y&quot;, &quot;fax&quot;:null, &quot;country&quot;:&quot;CA&quot;, &quot;logourl&quot;:&quot;http://www.call2recycle.org/notpress/where2getit/call2recycle.png&quot;, &quot;phone&quot;:&quot;705-842-2060&quot;, &quot;address2&quot;:null, &quot;locationimageurl&quot;:null, &quot;_distance&quot;:&quot;19.1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708855102041&quot;, &quot;url&quot;:null, &quot;postalcode&quot;:&quot;P1A 4M5&quot;, &quot;province&quot;:&quot;ON&quot;, &quot;sustainabilityurl&quot;:null, &quot;hoursmon&quot;:&quot;Please Call&quot;, &quot;longitude&quot;:&quot;-79.4103093877551&quot;, &quot;uid&quot;:1182177981, &quot;retailerlinkurl&quot;:null, &quot;hourssat&quot;:&quot;Please Call&quot;, &quot;clientkey&quot;:&quot;36769&quot;, &quot;name&quot;:&quot;Spectrum Telecom Group Ltd&quot;, &quot;locationlinkurl&quot;:null, &quot;address1&quot;:&quot;132 Imperi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6368&quot;, &quot;address2&quot;:null, &quot;locationimageurl&quot;:null, &quot;_distance&quot;:&quot;36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2708855102041&quot;, &quot;url&quot;:null, &quot;postalcode&quot;:&quot;P1A 4M5&quot;, &quot;province&quot;:&quot;ON&quot;, &quot;sustainabilityurl&quot;:null, &quot;hoursmon&quot;:&quot;Please Call&quot;, &quot;longitude&quot;:&quot;-79.4103093877551&quot;, &quot;uid&quot;:1182177981, &quot;retailerlinkurl&quot;:null, &quot;hourssat&quot;:&quot;Please Call&quot;, &quot;clientkey&quot;:&quot;36769&quot;, &quot;name&quot;:&quot;Spectrum Telecom Group Ltd&quot;, &quot;locationlinkurl&quot;:null, &quot;address1&quot;:&quot;132 Imperial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6368&quot;, &quot;address2&quot;:null, &quot;locationimageurl&quot;:null, &quot;_distance&quot;:&quot;37.4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072931080718&quot;, &quot;url&quot;:null, &quot;postalcode&quot;:&quot;P1B 9V6&quot;, &quot;province&quot;:&quot;ON&quot;, &quot;sustainabilityurl&quot;:null, &quot;hoursmon&quot;:&quot;Please Call&quot;, &quot;longitude&quot;:&quot;-79.4389821007338&quot;, &quot;uid&quot;:1329764656, &quot;retailerlinkurl&quot;:null, &quot;hourssat&quot;:&quot;Please Call&quot;, &quot;clientkey&quot;:&quot;94850&quot;, &quot;name&quot;:&quot;Home Depot&quot;, &quot;locationlinkurl&quot;:null, &quot;address1&quot;:&quot;1275 Seymou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homedepot.png&quot;, &quot;phone&quot;:&quot;705-845-2300&quot;, &quot;address2&quot;:null, &quot;locationimageurl&quot;:null, &quot;_distance&quot;:&quot;33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072931080718&quot;, &quot;url&quot;:null, &quot;postalcode&quot;:&quot;P1B 9V6&quot;, &quot;province&quot;:&quot;ON&quot;, &quot;sustainabilityurl&quot;:null, &quot;hoursmon&quot;:&quot;Please Call&quot;, &quot;longitude&quot;:&quot;-79.4389821007338&quot;, &quot;uid&quot;:1329764656, &quot;retailerlinkurl&quot;:null, &quot;hourssat&quot;:&quot;Please Call&quot;, &quot;clientkey&quot;:&quot;94850&quot;, &quot;name&quot;:&quot;Home Depot&quot;, &quot;locationlinkurl&quot;:null, &quot;address1&quot;:&quot;1275 Seymou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homedepot.png&quot;, &quot;phone&quot;:&quot;705-845-2300&quot;, &quot;address2&quot;:null, &quot;locationimageurl&quot;:null, &quot;_distance&quot;:&quot;40.3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02&quot;, &quot;url&quot;:null, &quot;postalcode&quot;:&quot;P1B 8G4&quot;, &quot;province&quot;:&quot;ON&quot;, &quot;sustainabilityurl&quot;:null, &quot;hoursmon&quot;:&quot;Please Call&quot;, &quot;longitude&quot;:&quot;-79.43825&quot;, &quot;uid&quot;:1182188922, &quot;retailerlinkurl&quot;:null, &quot;hourssat&quot;:&quot;Please Call&quot;, &quot;clientkey&quot;:&quot;58701&quot;, &quot;name&quot;:&quot;City of North Bay&quot;, &quot;locationlinkurl&quot;:null, &quot;address1&quot;:&quot;112 Patton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0400&quot;, &quot;address2&quot;:null, &quot;locationimageurl&quot;:null, &quot;_distance&quot;:&quot;33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02&quot;, &quot;url&quot;:null, &quot;postalcode&quot;:&quot;P1B 8G4&quot;, &quot;province&quot;:&quot;ON&quot;, &quot;sustainabilityurl&quot;:null, &quot;hoursmon&quot;:&quot;Please Call&quot;, &quot;longitude&quot;:&quot;-79.43825&quot;, &quot;uid&quot;:1182188922, &quot;retailerlinkurl&quot;:null, &quot;hourssat&quot;:&quot;Please Call&quot;, &quot;clientkey&quot;:&quot;58701&quot;, &quot;name&quot;:&quot;City of North Bay&quot;, &quot;locationlinkurl&quot;:null, &quot;address1&quot;:&quot;112 Patton St.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0400&quot;, &quot;address2&quot;:null, &quot;locationimageurl&quot;:null, &quot;_distance&quot;:&quot;40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-1088922483, &quot;retailerlinkurl&quot;:null, &quot;hourssat&quot;:&quot;Please Call&quot;, &quot;clientkey&quot;:&quot;72015&quot;, &quot;name&quot;:&quot;Sears (Canada)&quot;, &quot;locationlinkurl&quot;:null, &quot;address1&quot;:&quot;1500 Fisher St Unit 1045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ears.png&quot;, &quot;phone&quot;:&quot;705-476-2119&quot;, &quot;address2&quot;:null, &quot;locationimageurl&quot;:null, &quot;_distance&quot;:&quot;3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-1088922483, &quot;retailerlinkurl&quot;:null, &quot;hourssat&quot;:&quot;Please Call&quot;, &quot;clientkey&quot;:&quot;72015&quot;, &quot;name&quot;:&quot;Sears (Canada)&quot;, &quot;locationlinkurl&quot;:null, &quot;address1&quot;:&quot;1500 Fisher St Unit 1045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ears.png&quot;, &quot;phone&quot;:&quot;705-476-2119&quot;, &quot;address2&quot;:null, &quot;locationimageurl&quot;:null, &quot;_distance&quot;:&quot;40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568957825, &quot;retailerlinkurl&quot;:null, &quot;hourssat&quot;:&quot;Please Call&quot;, &quot;clientkey&quot;:&quot;132838&quot;, &quot;name&quot;:&quot;Best Buy Canada&quot;, &quot;locationlinkurl&quot;:null, &quot;address1&quot;:&quot;Northgate Plaza 1500 Fishe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bestbuy.png&quot;, &quot;phone&quot;:&quot;705-472-2126&quot;, &quot;address2&quot;:null, &quot;locationimageurl&quot;:null, &quot;_distance&quot;:&quot;33.4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296&quot;, &quot;url&quot;:null, &quot;postalcode&quot;:&quot;P1B 2H3&quot;, &quot;province&quot;:&quot;ON&quot;, &quot;sustainabilityurl&quot;:null, &quot;hoursmon&quot;:&quot;Please Call&quot;, &quot;longitude&quot;:&quot;-79.44285&quot;, &quot;uid&quot;:568957825, &quot;retailerlinkurl&quot;:null, &quot;hourssat&quot;:&quot;Please Call&quot;, &quot;clientkey&quot;:&quot;132838&quot;, &quot;name&quot;:&quot;Best Buy Canada&quot;, &quot;locationlinkurl&quot;:null, &quot;address1&quot;:&quot;Northgate Plaza 1500 Fisher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bestbuy.png&quot;, &quot;phone&quot;:&quot;705-472-2126&quot;, &quot;address2&quot;:null, &quot;locationimageurl&quot;:null, &quot;_distance&quot;:&quot;40.7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57196161105&quot;, &quot;url&quot;:null, &quot;postalcode&quot;:&quot;P1B 4A4&quot;, &quot;province&quot;:&quot;ON&quot;, &quot;sustainabilityurl&quot;:null, &quot;hoursmon&quot;:&quot;Please Call&quot;, &quot;longitude&quot;:&quot;-79.461210087138&quot;, &quot;uid&quot;:1182179717, &quot;retailerlinkurl&quot;:null, &quot;hourssat&quot;:&quot;Please Call&quot;, &quot;clientkey&quot;:&quot;115195&quot;, &quot;name&quot;:&quot;Gateway Professional Tools&quot;, &quot;locationlinkurl&quot;:null, &quot;address1&quot;:&quot;790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95-4906&quot;, &quot;address2&quot;:null, &quot;locationimageurl&quot;:null, &quot;_distance&quot;:&quot;32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57196161105&quot;, &quot;url&quot;:null, &quot;postalcode&quot;:&quot;P1B 4A4&quot;, &quot;province&quot;:&quot;ON&quot;, &quot;sustainabilityurl&quot;:null, &quot;hoursmon&quot;:&quot;Please Call&quot;, &quot;longitude&quot;:&quot;-79.461210087138&quot;, &quot;uid&quot;:1182179717, &quot;retailerlinkurl&quot;:null, &quot;hourssat&quot;:&quot;Please Call&quot;, &quot;clientkey&quot;:&quot;115195&quot;, &quot;name&quot;:&quot;Gateway Professional Tools&quot;, &quot;locationlinkurl&quot;:null, &quot;address1&quot;:&quot;790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95-4906&quot;, &quot;address2&quot;:null, &quot;locationimageurl&quot;:null, &quot;_distance&quot;:&quot;41.3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79816161616&quot;, &quot;url&quot;:null, &quot;postalcode&quot;:&quot;P1B 4C8&quot;, &quot;province&quot;:&quot;ON&quot;, &quot;sustainabilityurl&quot;:null, &quot;hoursmon&quot;:&quot;Please Call&quot;, &quot;longitude&quot;:&quot;-79.4468766666667&quot;, &quot;uid&quot;:400726526, &quot;retailerlinkurl&quot;:null, &quot;hourssat&quot;:&quot;Please Call&quot;, &quot;clientkey&quot;:&quot;157937&quot;, &quot;name&quot;:&quot;ListenUp! Canada&quot;, &quot;locationlinkurl&quot;:null, &quot;address1&quot;:&quot;1833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3896&quot;, &quot;address2&quot;:null, &quot;locationimageurl&quot;:null, &quot;_distance&quot;:&quot;33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179816161616&quot;, &quot;url&quot;:null, &quot;postalcode&quot;:&quot;P1B 4C8&quot;, &quot;province&quot;:&quot;ON&quot;, &quot;sustainabilityurl&quot;:null, &quot;hoursmon&quot;:&quot;Please Call&quot;, &quot;longitude&quot;:&quot;-79.4468766666667&quot;, &quot;uid&quot;:400726526, &quot;retailerlinkurl&quot;:null, &quot;hourssat&quot;:&quot;Please Call&quot;, &quot;clientkey&quot;:&quot;157937&quot;, &quot;name&quot;:&quot;ListenUp! Canada&quot;, &quot;locationlinkurl&quot;:null, &quot;address1&quot;:&quot;1833 Cassells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call2recycle.png&quot;, &quot;phone&quot;:&quot;705-474-3896&quot;, &quot;address2&quot;:null, &quot;locationimageurl&quot;:null, &quot;_distance&quot;:&quot;41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3246&quot;, &quot;url&quot;:null, &quot;postalcode&quot;:&quot;P1B 4Y8&quot;, &quot;province&quot;:&quot;ON&quot;, &quot;sustainabilityurl&quot;:null, &quot;hoursmon&quot;:&quot;Please Call&quot;, &quot;longitude&quot;:&quot;-79.46608&quot;, &quot;uid&quot;:1662011100, &quot;retailerlinkurl&quot;:null, &quot;hourssat&quot;:&quot;Please Call&quot;, &quot;clientkey&quot;:&quot;67957&quot;, &quot;name&quot;:&quot;Staples&quot;, &quot;locationlinkurl&quot;:null, &quot;address1&quot;:&quot;1899 Algonqui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taples.png&quot;, &quot;phone&quot;:&quot;705-472-7223&quot;, &quot;address2&quot;:null, &quot;locationimageurl&quot;:null, &quot;_distance&quot;:&quot;31.7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33246&quot;, &quot;url&quot;:null, &quot;postalcode&quot;:&quot;P1B 4Y8&quot;, &quot;province&quot;:&quot;ON&quot;, &quot;sustainabilityurl&quot;:null, &quot;hoursmon&quot;:&quot;Please Call&quot;, &quot;longitude&quot;:&quot;-79.46608&quot;, &quot;uid&quot;:1662011100, &quot;retailerlinkurl&quot;:null, &quot;hourssat&quot;:&quot;Please Call&quot;, &quot;clientkey&quot;:&quot;67957&quot;, &quot;name&quot;:&quot;Staples&quot;, &quot;locationlinkurl&quot;:null, &quot;address1&quot;:&quot;1899 Algonquin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North Bay&quot;, &quot;singleuse&quot;:&quot;Y&quot;, &quot;fax&quot;:null, &quot;country&quot;:&quot;CA&quot;, &quot;logourl&quot;:&quot;http://www.call2recycle.org/notpress/where2getit/staples.png&quot;, &quot;phone&quot;:&quot;705-472-7223&quot;, &quot;address2&quot;:null, &quot;locationimageurl&quot;:null, &quot;_distance&quot;:&quot;42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719496466368&quot;, &quot;url&quot;:null, &quot;postalcode&quot;:&quot;P3C 3B6&quot;, &quot;province&quot;:&quot;ON&quot;, &quot;sustainabilityurl&quot;:null, &quot;hoursmon&quot;:&quot;Please Call&quot;, &quot;longitude&quot;:&quot;-81.0280557295891&quot;, &quot;uid&quot;:341261700, &quot;retailerlinkurl&quot;:null, &quot;hourssat&quot;:&quot;Please Call&quot;, &quot;clientkey&quot;:&quot;161199&quot;, &quot;name&quot;:&quot;Fastenal&quot;, &quot;locationlinkurl&quot;:null, &quot;address1&quot;:&quot;1113 Webbwoo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5-6888&quot;, &quot;address2&quot;:null, &quot;locationimageurl&quot;:null, &quot;_distance&quot;:&quot;41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719496466368&quot;, &quot;url&quot;:null, &quot;postalcode&quot;:&quot;P3C 3B6&quot;, &quot;province&quot;:&quot;ON&quot;, &quot;sustainabilityurl&quot;:null, &quot;hoursmon&quot;:&quot;Please Call&quot;, &quot;longitude&quot;:&quot;-81.0280557295891&quot;, &quot;uid&quot;:341261700, &quot;retailerlinkurl&quot;:null, &quot;hourssat&quot;:&quot;Please Call&quot;, &quot;clientkey&quot;:&quot;161199&quot;, &quot;name&quot;:&quot;Fastenal&quot;, &quot;locationlinkurl&quot;:null, &quot;address1&quot;:&quot;1113 Webbwood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5-6888&quot;, &quot;address2&quot;:null, &quot;locationimageurl&quot;:null, &quot;_distance&quot;:&quot;49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4913295833333&quot;, &quot;url&quot;:null, &quot;postalcode&quot;:&quot;P3E 1C1&quot;, &quot;province&quot;:&quot;ON&quot;, &quot;sustainabilityurl&quot;:null, &quot;hoursmon&quot;:&quot;Please Call&quot;, &quot;longitude&quot;:&quot;-80.9930954166667&quot;, &quot;uid&quot;:400726433, &quot;retailerlinkurl&quot;:null, &quot;hourssat&quot;:&quot;Please Call&quot;, &quot;clientkey&quot;:&quot;157971&quot;, &quot;name&quot;:&quot;ListenUp! Canada&quot;, &quot;locationlinkurl&quot;:null, &quot;address1&quot;:&quot;96 Larch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0-8250&quot;, &quot;address2&quot;:null, &quot;locationimageurl&quot;:null, &quot;_distance&quot;:&quot;39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16862172095&quot;, &quot;url&quot;:null, &quot;postalcode&quot;:&quot;P3B 4K6&quot;, &quot;province&quot;:&quot;ON&quot;, &quot;sustainabilityurl&quot;:null, &quot;hoursmon&quot;:&quot;Please Call&quot;, &quot;longitude&quot;:&quot;-80.945430510575&quot;, &quot;uid&quot;:1182194475, &quot;retailerlinkurl&quot;:null, &quot;hourssat&quot;:&quot;Please Call&quot;, &quot;clientkey&quot;:&quot;127652&quot;, &quot;name&quot;:&quot;Lowes&quot;, &quot;locationlinkurl&quot;:null, &quot;address1&quot;:&quot;1199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lowes.png&quot;, &quot;phone&quot;:&quot;705-521-7200&quot;, &quot;address2&quot;:null, &quot;locationimageurl&quot;:null, &quot;_distance&quot;:&quot;39.0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16862172095&quot;, &quot;url&quot;:null, &quot;postalcode&quot;:&quot;P3B 4K6&quot;, &quot;province&quot;:&quot;ON&quot;, &quot;sustainabilityurl&quot;:null, &quot;hoursmon&quot;:&quot;Please Call&quot;, &quot;longitude&quot;:&quot;-80.945430510575&quot;, &quot;uid&quot;:1182194475, &quot;retailerlinkurl&quot;:null, &quot;hourssat&quot;:&quot;Please Call&quot;, &quot;clientkey&quot;:&quot;127652&quot;, &quot;name&quot;:&quot;Lowes&quot;, &quot;locationlinkurl&quot;:null, &quot;address1&quot;:&quot;1199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lowes.png&quot;, &quot;phone&quot;:&quot;705-521-7200&quot;, &quot;address2&quot;:null, &quot;locationimageurl&quot;:null, &quot;_distance&quot;:&quot;49.9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216&quot;, &quot;url&quot;:null, &quot;postalcode&quot;:&quot;P3B 4K5&quot;, &quot;province&quot;:&quot;ON&quot;, &quot;sustainabilityurl&quot;:null, &quot;hoursmon&quot;:&quot;Please Call&quot;, &quot;longitude&quot;:&quot;-80.9413717053339&quot;, &quot;uid&quot;:1659485470, &quot;retailerlinkurl&quot;:null, &quot;hourssat&quot;:&quot;Please Call&quot;, &quot;clientkey&quot;:&quot;43590&quot;, &quot;name&quot;:&quot;Home Depot&quot;, &quot;locationlinkurl&quot;:null, &quot;address1&quot;:&quot;1500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homedepot.png&quot;, &quot;phone&quot;:&quot;705-525-2960&quot;, &quot;address2&quot;:null, &quot;locationimageurl&quot;:null, &quot;_distance&quot;:&quot;39.0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216&quot;, &quot;url&quot;:null, &quot;postalcode&quot;:&quot;P3B 4K5&quot;, &quot;province&quot;:&quot;ON&quot;, &quot;sustainabilityurl&quot;:null, &quot;hoursmon&quot;:&quot;Please Call&quot;, &quot;longitude&quot;:&quot;-80.9413717053339&quot;, &quot;uid&quot;:1659485470, &quot;retailerlinkurl&quot;:null, &quot;hourssat&quot;:&quot;Please Call&quot;, &quot;clientkey&quot;:&quot;43590&quot;, &quot;name&quot;:&quot;Home Depot&quot;, &quot;locationlinkurl&quot;:null, &quot;address1&quot;:&quot;1500 Marcus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homedepot.png&quot;, &quot;phone&quot;:&quot;705-525-2960&quot;, &quot;address2&quot;:null, &quot;locationimageurl&quot;:null, &quot;_distance&quot;:&quot;49.8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0268639053&quot;, &quot;url&quot;:null, &quot;postalcode&quot;:&quot;P3B 0A2&quot;, &quot;province&quot;:&quot;ON&quot;, &quot;sustainabilityurl&quot;:null, &quot;hoursmon&quot;:&quot;Please Call&quot;, &quot;longitude&quot;:&quot;-80.9460298816568&quot;, &quot;uid&quot;:1612939193, &quot;retailerlinkurl&quot;:null, &quot;hourssat&quot;:&quot;Please Call&quot;, &quot;clientkey&quot;:&quot;68020&quot;, &quot;name&quot;:&quot;Staples&quot;, &quot;locationlinkurl&quot;:null, &quot;address1&quot;:&quot;1425 Kingsway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staples.png&quot;, &quot;phone&quot;:&quot;705-524-6227&quot;, &quot;address2&quot;:null, &quot;locationimageurl&quot;:null, &quot;_distance&quot;:&quot;38.8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7506247064&quot;, &quot;url&quot;:null, &quot;postalcode&quot;:&quot;P3A 6C8&quot;, &quot;province&quot;:&quot;ON&quot;, &quot;sustainabilityurl&quot;:null, &quot;hoursmon&quot;:&quot;Please Call&quot;, &quot;longitude&quot;:&quot;-80.9304913530085&quot;, &quot;uid&quot;:1182192794, &quot;retailerlinkurl&quot;:null, &quot;hourssat&quot;:&quot;Please Call&quot;, &quot;clientkey&quot;:&quot;71497&quot;, &quot;name&quot;:&quot;City of Greater Sudbury&quot;, &quot;locationlinkurl&quot;:null, &quot;address1&quot;:&quot;1853 Frobish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1-2489&quot;, &quot;address2&quot;:null, &quot;locationimageurl&quot;:null, &quot;_distance&quot;:&quot;38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7506247064&quot;, &quot;url&quot;:null, &quot;postalcode&quot;:&quot;P3A 6C8&quot;, &quot;province&quot;:&quot;ON&quot;, &quot;sustainabilityurl&quot;:null, &quot;hoursmon&quot;:&quot;Please Call&quot;, &quot;longitude&quot;:&quot;-80.9304913530085&quot;, &quot;uid&quot;:1182192794, &quot;retailerlinkurl&quot;:null, &quot;hourssat&quot;:&quot;Please Call&quot;, &quot;clientkey&quot;:&quot;71497&quot;, &quot;name&quot;:&quot;City of Greater Sudbury&quot;, &quot;locationlinkurl&quot;:null, &quot;address1&quot;:&quot;1853 Frobisher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1-2489&quot;, &quot;address2&quot;:null, &quot;locationimageurl&quot;:null, &quot;_distance&quot;:&quot;4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0585&quot;, &quot;url&quot;:null, &quot;postalcode&quot;:&quot;P3C 5A2&quot;, &quot;province&quot;:&quot;ON&quot;, &quot;sustainabilityurl&quot;:null, &quot;hoursmon&quot;:&quot;Please Call&quot;, &quot;longitude&quot;:&quot;-81.00675&quot;, &quot;uid&quot;:446933298, &quot;retailerlinkurl&quot;:null, &quot;hourssat&quot;:&quot;Please Call&quot;, &quot;clientkey&quot;:&quot;52799&quot;, &quot;name&quot;:&quot;Spectrum Telecom Group Ltd&quot;, &quot;locationlinkurl&quot;:null, &quot;address1&quot;:&quot;505 Frood Roa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673-6661&quot;, &quot;address2&quot;:null, &quot;locationimageurl&quot;:null, &quot;_distance&quot;:&quot;38.8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184&quot;, &quot;url&quot;:null, &quot;postalcode&quot;:&quot;P6B 1Y5&quot;, &quot;province&quot;:&quot;ON&quot;, &quot;sustainabilityurl&quot;:null, &quot;hoursmon&quot;:&quot;Please Call&quot;, &quot;longitude&quot;:&quot;-84.31535&quot;, &quot;uid&quot;:502591973, &quot;retailerlinkurl&quot;:null, &quot;hourssat&quot;:&quot;Please Call&quot;, &quot;clientkey&quot;:&quot;157938&quot;, &quot;name&quot;:&quot;ListenUp! Canada&quot;, &quot;locationlinkurl&quot;:null, &quot;address1&quot;:&quot;240 McNabb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7453&quot;, &quot;address2&quot;:null, &quot;locationimageurl&quot;:null, &quot;_distance&quot;:&quot;24.0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184&quot;, &quot;url&quot;:null, &quot;postalcode&quot;:&quot;P6B 1Y5&quot;, &quot;province&quot;:&quot;ON&quot;, &quot;sustainabilityurl&quot;:null, &quot;hoursmon&quot;:&quot;Please Call&quot;, &quot;longitude&quot;:&quot;-84.31535&quot;, &quot;uid&quot;:502591973, &quot;retailerlinkurl&quot;:null, &quot;hourssat&quot;:&quot;Please Call&quot;, &quot;clientkey&quot;:&quot;157938&quot;, &quot;name&quot;:&quot;ListenUp! Canada&quot;, &quot;locationlinkurl&quot;:null, &quot;address1&quot;:&quot;240 McNabb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7453&quot;, &quot;address2&quot;:null, &quot;locationimageurl&quot;:null, &quot;_distance&quot;:&quot;40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20916317554&quot;, &quot;url&quot;:null, &quot;postalcode&quot;:&quot;P3A 1X7&quot;, &quot;province&quot;:&quot;ON&quot;, &quot;sustainabilityurl&quot;:null, &quot;hoursmon&quot;:&quot;Please Call&quot;, &quot;longitude&quot;:&quot;-80.960964597829&quot;, &quot;uid&quot;:677051373, &quot;retailerlinkurl&quot;:null, &quot;hourssat&quot;:&quot;Please Call&quot;, &quot;clientkey&quot;:&quot;169747&quot;, &quot;name&quot;:&quot;Princess Auto&quot;, &quot;locationlinkurl&quot;:null, &quot;address1&quot;:&quot;891 LaSalle Blv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PrincessAuto_150x150.png&quot;, &quot;phone&quot;:&quot;705-524-6500&quot;, &quot;address2&quot;:null, &quot;locationimageurl&quot;:null, &quot;_distance&quot;:&quot;37.6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99991676132&quot;, &quot;url&quot;:null, &quot;postalcode&quot;:&quot;P6B 4Z1&quot;, &quot;province&quot;:&quot;ON&quot;, &quot;sustainabilityurl&quot;:null, &quot;hoursmon&quot;:&quot;Please Call&quot;, &quot;longitude&quot;:&quot;-84.3195214583807&quot;, &quot;uid&quot;:502592008, &quot;retailerlinkurl&quot;:null, &quot;hourssat&quot;:&quot;Please Call&quot;, &quot;clientkey&quot;:&quot;157954&quot;, &quot;name&quot;:&quot;ListenUp! Canada&quot;, &quot;locationlinkurl&quot;:null, &quot;address1&quot;:&quot;154 Great Ner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 Marie&quot;, &quot;singleuse&quot;:&quot;Y&quot;, &quot;fax&quot;:null, &quot;country&quot;:&quot;CA&quot;, &quot;logourl&quot;:&quot;http://www.call2recycle.org/notpress/where2getit/call2recycle.png&quot;, &quot;phone&quot;:&quot;705-942-6077&quot;, &quot;address2&quot;:null, &quot;locationimageurl&quot;:null, &quot;_distance&quot;:&quot;24.3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299991676132&quot;, &quot;url&quot;:null, &quot;postalcode&quot;:&quot;P6B 4Z1&quot;, &quot;province&quot;:&quot;ON&quot;, &quot;sustainabilityurl&quot;:null, &quot;hoursmon&quot;:&quot;Please Call&quot;, &quot;longitude&quot;:&quot;-84.3195214583807&quot;, &quot;uid&quot;:502592008, &quot;retailerlinkurl&quot;:null, &quot;hourssat&quot;:&quot;Please Call&quot;, &quot;clientkey&quot;:&quot;157954&quot;, &quot;name&quot;:&quot;ListenUp! Canada&quot;, &quot;locationlinkurl&quot;:null, &quot;address1&quot;:&quot;154 Great Nern Rd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 Marie&quot;, &quot;singleuse&quot;:&quot;Y&quot;, &quot;fax&quot;:null, &quot;country&quot;:&quot;CA&quot;, &quot;logourl&quot;:&quot;http://www.call2recycle.org/notpress/where2getit/call2recycle.png&quot;, &quot;phone&quot;:&quot;705-942-6077&quot;, &quot;address2&quot;:null, &quot;locationimageurl&quot;:null, &quot;_distance&quot;:&quot;40.1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61208793104&quot;, &quot;url&quot;:null, &quot;postalcode&quot;:&quot;P6B 4Z8&quot;, &quot;province&quot;:&quot;ON&quot;, &quot;sustainabilityurl&quot;:null, &quot;hoursmon&quot;:&quot;Please Call&quot;, &quot;longitude&quot;:&quot;-84.3188181318782&quot;, &quot;uid&quot;:341261432, &quot;retailerlinkurl&quot;:null, &quot;hourssat&quot;:&quot;Please Call&quot;, &quot;clientkey&quot;:&quot;68012&quot;, &quot;name&quot;:&quot;Staples&quot;, &quot;locationlinkurl&quot;:null, &quot;address1&quot;:&quot;345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staples.png&quot;, &quot;phone&quot;:&quot;705-256-1466&quot;, &quot;address2&quot;:null, &quot;locationimageurl&quot;:null, &quot;_distance&quot;:&quot;24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61208793104&quot;, &quot;url&quot;:null, &quot;postalcode&quot;:&quot;P6B 4Z8&quot;, &quot;province&quot;:&quot;ON&quot;, &quot;sustainabilityurl&quot;:null, &quot;hoursmon&quot;:&quot;Please Call&quot;, &quot;longitude&quot;:&quot;-84.3188181318782&quot;, &quot;uid&quot;:341261432, &quot;retailerlinkurl&quot;:null, &quot;hourssat&quot;:&quot;Please Call&quot;, &quot;clientkey&quot;:&quot;68012&quot;, &quot;name&quot;:&quot;Staples&quot;, &quot;locationlinkurl&quot;:null, &quot;address1&quot;:&quot;345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staples.png&quot;, &quot;phone&quot;:&quot;705-256-1466&quot;, &quot;address2&quot;:null, &quot;locationimageurl&quot;:null, &quot;_distance&quot;:&quot;39.7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725&quot;, &quot;url&quot;:null, &quot;postalcode&quot;:&quot;P3A 4R7&quot;, &quot;province&quot;:&quot;ON&quot;, &quot;sustainabilityurl&quot;:null, &quot;hoursmon&quot;:&quot;Please Call&quot;, &quot;longitude&quot;:&quot;-80.93738&quot;, &quot;uid&quot;:1182192200, &quot;retailerlinkurl&quot;:null, &quot;hourssat&quot;:&quot;Please Call&quot;, &quot;clientkey&quot;:&quot;35694&quot;, &quot;name&quot;:&quot;Jannatec Radio Technologies&quot;, &quot;locationlinkurl&quot;:null, &quot;address1&quot;:&quot;1545 Maley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udbury&quot;, &quot;singleuse&quot;:&quot;Y&quot;, &quot;fax&quot;:null, &quot;country&quot;:&quot;CA&quot;, &quot;logourl&quot;:&quot;http://www.call2recycle.org/notpress/where2getit/call2recycle.png&quot;, &quot;phone&quot;:&quot;705-566-3939&quot;, &quot;address2&quot;:null, &quot;locationimageurl&quot;:null, &quot;_distance&quot;:&quot;36.6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73870562711&quot;, &quot;url&quot;:null, &quot;postalcode&quot;:&quot;P6B 4J7&quot;, &quot;province&quot;:&quot;ON&quot;, &quot;sustainabilityurl&quot;:null, &quot;hoursmon&quot;:&quot;Please Call&quot;, &quot;longitude&quot;:&quot;-84.3332230964698&quot;, &quot;uid&quot;:1182174826, &quot;retailerlinkurl&quot;:null, &quot;hourssat&quot;:&quot;Please Call&quot;, &quot;clientkey&quot;:&quot;44659&quot;, &quot;name&quot;:&quot;Spectrum Telecom Group Ltd&quot;, &quot;locationlinkurl&quot;:null, &quot;address1&quot;:&quot;73 White Oak Dr 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759-0075&quot;, &quot;address2&quot;:null, &quot;locationimageurl&quot;:null, &quot;_distance&quot;:&quot;39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381441&quot;, &quot;url&quot;:null, &quot;postalcode&quot;:&quot;P6B 4J9&quot;, &quot;province&quot;:&quot;ON&quot;, &quot;sustainabilityurl&quot;:null, &quot;hoursmon&quot;:&quot;Please Call&quot;, &quot;longitude&quot;:&quot;-84.3321697&quot;, &quot;uid&quot;:1182192567, &quot;retailerlinkurl&quot;:null, &quot;hourssat&quot;:&quot;Please Call&quot;, &quot;clientkey&quot;:&quot;67478&quot;, &quot;name&quot;:&quot;Nor Bear Ltd&quot;, &quot;locationlinkurl&quot;:null, &quot;address1&quot;:&quot;360 Second Line 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254-3241&quot;, &quot;address2&quot;:null, &quot;locationimageurl&quot;:null, &quot;_distance&quot;:&quot;39.4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03&quot;, &quot;url&quot;:null, &quot;postalcode&quot;:&quot;P6B 4Z9&quot;, &quot;province&quot;:&quot;ON&quot;, &quot;sustainabilityurl&quot;:null, &quot;hoursmon&quot;:&quot;Please Call&quot;, &quot;longitude&quot;:&quot;-84.31917&quot;, &quot;uid&quot;:1522037486, &quot;retailerlinkurl&quot;:null, &quot;hourssat&quot;:&quot;Please Call&quot;, &quot;clientkey&quot;:&quot;132821&quot;, &quot;name&quot;:&quot;Best Buy Canada&quot;, &quot;locationlinkurl&quot;:null, &quot;address1&quot;:&quot;548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bestbuy.png&quot;, &quot;phone&quot;:&quot;705-942-0722&quot;, &quot;address2&quot;:null, &quot;locationimageurl&quot;:null, &quot;_distance&quot;:&quot;2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03&quot;, &quot;url&quot;:null, &quot;postalcode&quot;:&quot;P6B 4Z9&quot;, &quot;province&quot;:&quot;ON&quot;, &quot;sustainabilityurl&quot;:null, &quot;hoursmon&quot;:&quot;Please Call&quot;, &quot;longitude&quot;:&quot;-84.31917&quot;, &quot;uid&quot;:1522037486, &quot;retailerlinkurl&quot;:null, &quot;hourssat&quot;:&quot;Please Call&quot;, &quot;clientkey&quot;:&quot;132821&quot;, &quot;name&quot;:&quot;Best Buy Canada&quot;, &quot;locationlinkurl&quot;:null, &quot;address1&quot;:&quot;548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bestbuy.png&quot;, &quot;phone&quot;:&quot;705-942-0722&quot;, &quot;address2&quot;:null, &quot;locationimageurl&quot;:null, &quot;_distance&quot;:&quot;39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7726873648&quot;, &quot;url&quot;:null, &quot;postalcode&quot;:&quot;P6B 4Z9&quot;, &quot;province&quot;:&quot;ON&quot;, &quot;sustainabilityurl&quot;:null, &quot;hoursmon&quot;:&quot;Please Call&quot;, &quot;longitude&quot;:&quot;-84.31709&quot;, &quot;uid&quot;:-1665997042, &quot;retailerlinkurl&quot;:null, &quot;hourssat&quot;:&quot;Please Call&quot;, &quot;clientkey&quot;:&quot;78242&quot;, &quot;name&quot;:&quot;Home Depot&quot;, &quot;locationlinkurl&quot;:null, &quot;address1&quot;:&quot;530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homedepot.png&quot;, &quot;phone&quot;:&quot;705-254-1150&quot;, &quot;address2&quot;:null, &quot;locationimageurl&quot;:null, &quot;_distance&quot;:&quot;24.4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437726873648&quot;, &quot;url&quot;:null, &quot;postalcode&quot;:&quot;P6B 4Z9&quot;, &quot;province&quot;:&quot;ON&quot;, &quot;sustainabilityurl&quot;:null, &quot;hoursmon&quot;:&quot;Please Call&quot;, &quot;longitude&quot;:&quot;-84.31709&quot;, &quot;uid&quot;:-1665997042, &quot;retailerlinkurl&quot;:null, &quot;hourssat&quot;:&quot;Please Call&quot;, &quot;clientkey&quot;:&quot;78242&quot;, &quot;name&quot;:&quot;Home Depot&quot;, &quot;locationlinkurl&quot;:null, &quot;address1&quot;:&quot;530 Great Northern Rd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homedepot.png&quot;, &quot;phone&quot;:&quot;705-254-1150&quot;, &quot;address2&quot;:null, &quot;locationimageurl&quot;:null, &quot;_distance&quot;:&quot;39.2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6.5509722592981&quot;, &quot;url&quot;:null, &quot;postalcode&quot;:&quot;P6B 5P3&quot;, &quot;province&quot;:&quot;ON&quot;, &quot;sustainabilityurl&quot;:null, &quot;hoursmon&quot;:&quot;Please Call&quot;, &quot;longitude&quot;:&quot;-84.3273139340878&quot;, &quot;uid&quot;:1182178374, &quot;retailerlinkurl&quot;:null, &quot;hourssat&quot;:&quot;Please Call&quot;, &quot;clientkey&quot;:&quot;56662&quot;, &quot;name&quot;:&quot;City of Sault Ste. Marie&quot;, &quot;locationlinkurl&quot;:null, &quot;address1&quot;:&quot;115 Industrial Pk Cre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ault Ste. Marie&quot;, &quot;singleuse&quot;:&quot;Y&quot;, &quot;fax&quot;:null, &quot;country&quot;:&quot;CA&quot;, &quot;logourl&quot;:&quot;http://www.call2recycle.org/notpress/where2getit/call2recycle.png&quot;, &quot;phone&quot;:&quot;705-541-7049&quot;, &quot;address2&quot;:null, &quot;locationimageurl&quot;:null, &quot;_distance&quot;:&quot;3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511856670082&quot;, &quot;url&quot;:null, &quot;postalcode&quot;:&quot;P0S 1B0&quot;, &quot;province&quot;:&quot;ON&quot;, &quot;sustainabilityurl&quot;:null, &quot;hoursmon&quot;:&quot;Please Call&quot;, &quot;longitude&quot;:&quot;-84.5473311099727&quot;, &quot;uid&quot;:407530957, &quot;retailerlinkurl&quot;:null, &quot;hourssat&quot;:&quot;Please Call&quot;, &quot;clientkey&quot;:&quot;160799&quot;, &quot;name&quot;:&quot;Corporation du Canton de Dubreuilville&quot;, &quot;locationlinkurl&quot;:null, &quot;address1&quot;:&quot;23 rue des Pin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breuilville&quot;, &quot;singleuse&quot;:&quot;Y&quot;, &quot;fax&quot;:null, &quot;country&quot;:&quot;CA&quot;, &quot;logourl&quot;:&quot;http://www.call2recycle.org/notpress/where2getit/call2recycle.png&quot;, &quot;phone&quot;:&quot;705-884-2340&quot;, &quot;address2&quot;:null, &quot;locationimageurl&quot;:null, &quot;_distance&quot;:&quot;234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511856670082&quot;, &quot;url&quot;:null, &quot;postalcode&quot;:&quot;P0S 1B0&quot;, &quot;province&quot;:&quot;ON&quot;, &quot;sustainabilityurl&quot;:null, &quot;hoursmon&quot;:&quot;Please Call&quot;, &quot;longitude&quot;:&quot;-84.5473311099727&quot;, &quot;uid&quot;:407530957, &quot;retailerlinkurl&quot;:null, &quot;hourssat&quot;:&quot;Please Call&quot;, &quot;clientkey&quot;:&quot;160799&quot;, &quot;name&quot;:&quot;Corporation du Canton de Dubreuilville&quot;, &quot;locationlinkurl&quot;:null, &quot;address1&quot;:&quot;23 rue des Pin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Dubreuilville&quot;, &quot;singleuse&quot;:&quot;Y&quot;, &quot;fax&quot;:null, &quot;country&quot;:&quot;CA&quot;, &quot;logourl&quot;:&quot;http://www.call2recycle.org/notpress/where2getit/call2recycle.png&quot;, &quot;phone&quot;:&quot;705-884-2340&quot;, &quot;address2&quot;:null, &quot;locationimageurl&quot;:null, &quot;_distance&quot;:&quot;56.8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36.8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38.2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3836955102041&quot;, &quot;url&quot;:null, &quot;postalcode&quot;:&quot;P7C 0A3&quot;, &quot;province&quot;:&quot;ON&quot;, &quot;sustainabilityurl&quot;:null, &quot;hoursmon&quot;:&quot;Please Call&quot;, &quot;longitude&quot;:&quot;-89.2466328571429&quot;, &quot;uid&quot;:-24087945, &quot;retailerlinkurl&quot;:null, &quot;hourssat&quot;:&quot;Please Call&quot;, &quot;clientkey&quot;:&quot;161424&quot;, &quot;name&quot;:&quot;MAG&quot;, &quot;locationlinkurl&quot;:null, &quot;address1&quot;:&quot;125 Brodie St N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6-7025&quot;, &quot;address2&quot;:null, &quot;locationimageurl&quot;:null, &quot;_distance&quot;:&quot;93.5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36.2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38.6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407&quot;, &quot;url&quot;:null, &quot;postalcode&quot;:&quot;P7B 6S1&quot;, &quot;province&quot;:&quot;ON&quot;, &quot;sustainabilityurl&quot;:null, &quot;hoursmon&quot;:&quot;Please Call&quot;, &quot;longitude&quot;:&quot;-89.24738&quot;, &quot;uid&quot;:1182199054, &quot;retailerlinkurl&quot;:null, &quot;hourssat&quot;:&quot;Please Call&quot;, &quot;clientkey&quot;:&quot;26131&quot;, &quot;name&quot;:&quot;CRC Communications&quot;, &quot;locationlinkurl&quot;:null, &quot;address1&quot;:&quot;555 Dunlop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2-3328&quot;, &quot;address2&quot;:null, &quot;locationimageurl&quot;:null, &quot;_distance&quot;:&quot;93.1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35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39.3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064211155068&quot;, &quot;url&quot;:null, &quot;postalcode&quot;:&quot;P7B 5L6&quot;, &quot;province&quot;:&quot;ON&quot;, &quot;sustainabilityurl&quot;:null, &quot;hoursmon&quot;:&quot;Please Call&quot;, &quot;longitude&quot;:&quot;-89.2319152214803&quot;, &quot;uid&quot;:1182186030, &quot;retailerlinkurl&quot;:null, &quot;hourssat&quot;:&quot;Please Call&quot;, &quot;clientkey&quot;:&quot;78350&quot;, &quot;name&quot;:&quot;Home Depot&quot;, &quot;locationlinkurl&quot;:null, &quot;address1&quot;:&quot;359 Main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homedepot.png&quot;, &quot;phone&quot;:&quot;807-624-1100&quot;, &quot;address2&quot;:null, &quot;locationimageurl&quot;:null, &quot;_distance&quot;:&quot;9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35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38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35605&quot;, &quot;url&quot;:null, &quot;postalcode&quot;:&quot;P7B 3Z7&quot;, &quot;province&quot;:&quot;ON&quot;, &quot;sustainabilityurl&quot;:null, &quot;hoursmon&quot;:&quot;Please Call&quot;, &quot;longitude&quot;:&quot;-89.243708&quot;, &quot;uid&quot;:1561147174, &quot;retailerlinkurl&quot;:null, &quot;hourssat&quot;:&quot;Please Call&quot;, &quot;clientkey&quot;:&quot;68021&quot;, &quot;name&quot;:&quot;Staples&quot;, &quot;locationlinkurl&quot;:null, &quot;address1&quot;:&quot;767 Memorial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staples.png&quot;, &quot;phone&quot;:&quot;807-343-2506&quot;, &quot;address2&quot;:null, &quot;locationimageurl&quot;:null, &quot;_distance&quot;:&quot;93.1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3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38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1074363203, &quot;retailerlinkurl&quot;:null, &quot;hourssat&quot;:&quot;Please Call&quot;, &quot;clientkey&quot;:&quot;81391&quot;, &quot;name&quot;:&quot;Lakehead Communications&quot;, &quot;locationlinkurl&quot;:null, &quot;address1&quot;:&quot;1080B Lithium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8-0198&quot;, &quot;address2&quot;:null, &quot;locationimageurl&quot;:null, &quot;_distance&quot;:&quot;9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36.1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38.5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1559&quot;, &quot;url&quot;:null, &quot;postalcode&quot;:&quot;P7B 6G3&quot;, &quot;province&quot;:&quot;ON&quot;, &quot;sustainabilityurl&quot;:null, &quot;hoursmon&quot;:&quot;Please Call&quot;, &quot;longitude&quot;:&quot;-89.25468&quot;, &quot;uid&quot;:621028888, &quot;retailerlinkurl&quot;:null, &quot;hourssat&quot;:&quot;Please Call&quot;, &quot;clientkey&quot;:&quot;23356&quot;, &quot;name&quot;:&quot;Thunder Bay Communications&quot;, &quot;locationlinkurl&quot;:null, &quot;address1&quot;:&quot;1080 Lithium Dr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623-1211&quot;, &quot;address2&quot;:null, &quot;locationimageurl&quot;:null, &quot;_distance&quot;:&quot;92.6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34.7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39.9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283174193548&quot;, &quot;url&quot;:null, &quot;postalcode&quot;:&quot;P7B 2X9&quot;, &quot;province&quot;:&quot;ON&quot;, &quot;sustainabilityurl&quot;:null, &quot;hoursmon&quot;:&quot;Please Call&quot;, &quot;longitude&quot;:&quot;-89.2296922580645&quot;, &quot;uid&quot;:777785220, &quot;retailerlinkurl&quot;:null, &quot;hourssat&quot;:&quot;Please Call&quot;, &quot;clientkey&quot;:&quot;164120&quot;, &quot;name&quot;:&quot;Matawa First Nations Management&quot;, &quot;locationlinkurl&quot;:null, &quot;address1&quot;:&quot;233 Court St S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Thunder Bay&quot;, &quot;singleuse&quot;:&quot;Y&quot;, &quot;fax&quot;:null, &quot;country&quot;:&quot;CA&quot;, &quot;logourl&quot;:&quot;http://www.call2recycle.org/notpress/where2getit/call2recycle.png&quot;, &quot;phone&quot;:&quot;807-346-6509&quot;, &quot;address2&quot;:null, &quot;locationimageurl&quot;:null, &quot;_distance&quot;:&quot;93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698689144691&quot;, &quot;url&quot;:null, &quot;postalcode&quot;:&quot;P4R 0A1&quot;, &quot;province&quot;:&quot;ON&quot;, &quot;sustainabilityurl&quot;:null, &quot;hoursmon&quot;:&quot;Please Call&quot;, &quot;longitude&quot;:&quot;-81.4223946969216&quot;, &quot;uid&quot;:2024034194, &quot;retailerlinkurl&quot;:null, &quot;hourssat&quot;:&quot;Please Call&quot;, &quot;clientkey&quot;:&quot;94852&quot;, &quot;name&quot;:&quot;Home Depot&quot;, &quot;locationlinkurl&quot;:null, &quot;address1&quot;:&quot;2143 Riv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homedepot.png&quot;, &quot;phone&quot;:&quot;705-360-8750&quot;, &quot;address2&quot;:null, &quot;locationimageurl&quot;:null, &quot;_distance&quot;:&quot;208.7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25115789474&quot;, &quot;url&quot;:null, &quot;postalcode&quot;:&quot;P4R 1A5&quot;, &quot;province&quot;:&quot;ON&quot;, &quot;sustainabilityurl&quot;:null, &quot;hoursmon&quot;:&quot;Please Call&quot;, &quot;longitude&quot;:&quot;-81.3782257894737&quot;, &quot;uid&quot;:1698465165, &quot;retailerlinkurl&quot;:null, &quot;hourssat&quot;:&quot;Please Call&quot;, &quot;clientkey&quot;:&quot;132844&quot;, &quot;name&quot;:&quot;Best Buy Canada&quot;, &quot;locationlinkurl&quot;:null, &quot;address1&quot;:&quot;1390 Riverside Dri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bestbuy.png&quot;, &quot;phone&quot;:&quot;705-268-9111&quot;, &quot;address2&quot;:null, &quot;locationimageurl&quot;:null, &quot;_distance&quot;:&quot;208.9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25132307692&quot;, &quot;url&quot;:null, &quot;postalcode&quot;:&quot;P4R 1M8&quot;, &quot;province&quot;:&quot;ON&quot;, &quot;sustainabilityurl&quot;:null, &quot;hoursmon&quot;:&quot;Please Call&quot;, &quot;longitude&quot;:&quot;-81.3808703076923&quot;, &quot;uid&quot;:361065524, &quot;retailerlinkurl&quot;:null, &quot;hourssat&quot;:&quot;Please Call&quot;, &quot;clientkey&quot;:&quot;68022&quot;, &quot;name&quot;:&quot;Staples&quot;, &quot;locationlinkurl&quot;:null, &quot;address1&quot;:&quot;1485 Riverside Dr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Timmins&quot;, &quot;singleuse&quot;:&quot;Y&quot;, &quot;fax&quot;:null, &quot;country&quot;:&quot;CA&quot;, &quot;logourl&quot;:&quot;http://www.call2recycle.org/notpress/where2getit/staples.png&quot;, &quot;phone&quot;:&quot;705-360-4200&quot;, &quot;address2&quot;:null, &quot;locationimageurl&quot;:null, &quot;_distance&quot;:&quot;208.94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4763985714286&quot;, &quot;url&quot;:null, &quot;postalcode&quot;:&quot;P0N 1G0&quot;, &quot;province&quot;:&quot;ON&quot;, &quot;sustainabilityurl&quot;:null, &quot;hoursmon&quot;:&quot;Please Call&quot;, &quot;longitude&quot;:&quot;-81.3026775510204&quot;, &quot;uid&quot;:-725079798, &quot;retailerlinkurl&quot;:null, &quot;hourssat&quot;:&quot;Please Call&quot;, &quot;clientkey&quot;:&quot;86618&quot;, &quot;name&quot;:&quot;Spectrum Telecom Group Ltd&quot;, &quot;locationlinkurl&quot;:null, &quot;address1&quot;:&quot;7 Hollinger Lane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Schumacher&quot;, &quot;singleuse&quot;:&quot;Y&quot;, &quot;fax&quot;:null, &quot;country&quot;:&quot;CA&quot;, &quot;logourl&quot;:&quot;http://www.call2recycle.org/notpress/where2getit/call2recycle.png&quot;, &quot;phone&quot;:&quot;705-268-9090&quot;, &quot;address2&quot;:null, &quot;locationimageurl&quot;:null, &quot;_distance&quot;:&quot;209.4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8035821227083&quot;, &quot;url&quot;:null, &quot;postalcode&quot;:&quot;P0T 2S0&quot;, &quot;province&quot;:&quot;ON&quot;, &quot;sustainabilityurl&quot;:null, &quot;hoursmon&quot;:&quot;Please Call&quot;, &quot;longitude&quot;:&quot;-87.2659121731958&quot;, &quot;uid&quot;:642399719, &quot;retailerlinkurl&quot;:null, &quot;hourssat&quot;:&quot;Please Call&quot;, &quot;clientkey&quot;:&quot;167752&quot;, &quot;name&quot;:&quot;Township of Schreiber&quot;, &quot;locationlinkurl&quot;:null, &quot;address1&quot;:&quot;204 Albert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hreiber&quot;, &quot;singleuse&quot;:&quot;Y&quot;, &quot;fax&quot;:null, &quot;country&quot;:&quot;CA&quot;, &quot;logourl&quot;:&quot;http://www.call2recycle.org/notpress/where2getit/call2recycle.png&quot;, &quot;phone&quot;:&quot;807-824-2711&quot;, &quot;address2&quot;:null, &quot;locationimageurl&quot;:null, &quot;_distance&quot;:&quot;1.3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8.8035821227083&quot;, &quot;url&quot;:null, &quot;postalcode&quot;:&quot;P0T 2S0&quot;, &quot;province&quot;:&quot;ON&quot;, &quot;sustainabilityurl&quot;:null, &quot;hoursmon&quot;:&quot;Please Call&quot;, &quot;longitude&quot;:&quot;-87.2659121731958&quot;, &quot;uid&quot;:642399719, &quot;retailerlinkurl&quot;:null, &quot;hourssat&quot;:&quot;Please Call&quot;, &quot;clientkey&quot;:&quot;167752&quot;, &quot;name&quot;:&quot;Township of Schreiber&quot;, &quot;locationlinkurl&quot;:null, &quot;address1&quot;:&quot;204 Alberta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Schreiber&quot;, &quot;singleuse&quot;:&quot;Y&quot;, &quot;fax&quot;:null, &quot;country&quot;:&quot;CA&quot;, &quot;logourl&quot;:&quot;http://www.call2recycle.org/notpress/where2getit/call2recycle.png&quot;, &quot;phone&quot;:&quot;807-824-2711&quot;, &quot;address2&quot;:null, &quot;locationimageurl&quot;:null, &quot;_distance&quot;:&quot;71.68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060500625&quot;, &quot;url&quot;:null, &quot;postalcode&quot;:&quot;P0L 1C0&quot;, &quot;province&quot;:&quot;ON&quot;, &quot;sustainabilityurl&quot;:null, &quot;hoursmon&quot;:&quot;Please Call&quot;, &quot;longitude&quot;:&quot;-81.029883125&quot;, &quot;uid&quot;:642399746, &quot;retailerlinkurl&quot;:null, &quot;hourssat&quot;:&quot;Please Call&quot;, &quot;clientkey&quot;:&quot;168752&quot;, &quot;name&quot;:&quot;Town of Cochrane&quot;, &quot;locationlinkurl&quot;:null, &quot;address1&quot;:&quot;92 2nd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Cochrane&quot;, &quot;singleuse&quot;:&quot;Y&quot;, &quot;fax&quot;:null, &quot;country&quot;:&quot;CA&quot;, &quot;logourl&quot;:&quot;http://www.call2recycle.org/notpress/where2getit/call2recycle.png&quot;, &quot;phone&quot;:&quot;705-272-5086&quot;, &quot;address2&quot;:null, &quot;locationimageurl&quot;:null, &quot;_distance&quot;:&quot;173.8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0632506818182&quot;, &quot;url&quot;:null, &quot;postalcode&quot;:&quot;P0L 1C0&quot;, &quot;province&quot;:&quot;ON&quot;, &quot;sustainabilityurl&quot;:null, &quot;hoursmon&quot;:&quot;Please Call&quot;, &quot;longitude&quot;:&quot;-81.0281920454545&quot;, &quot;uid&quot;:420530075, &quot;retailerlinkurl&quot;:null, &quot;hourssat&quot;:&quot;Please Call&quot;, &quot;clientkey&quot;:&quot;167856&quot;, &quot;name&quot;:&quot;Town of Cochrane&quot;, &quot;locationlinkurl&quot;:null, &quot;address1&quot;:&quot;171 4th Ave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Cochrane&quot;, &quot;singleuse&quot;:&quot;Y&quot;, &quot;fax&quot;:null, &quot;country&quot;:&quot;CA&quot;, &quot;logourl&quot;:&quot;http://www.call2recycle.org/notpress/where2getit/call2recycle.png&quot;, &quot;phone&quot;:&quot;705-272-4361&quot;, &quot;address2&quot;:null, &quot;locationimageurl&quot;:null, &quot;_distance&quot;:&quot;173.67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218&quot;, &quot;url&quot;:null, &quot;postalcode&quot;:&quot;P0M 1Z0&quot;, &quot;province&quot;:&quot;ON&quot;, &quot;sustainabilityurl&quot;:null, &quot;hoursmon&quot;:&quot;Please Call&quot;, &quot;longitude&quot;:&quot;-84.77496&quot;, &quot;uid&quot;:642399728, &quot;retailerlinkurl&quot;:null, &quot;hourssat&quot;:&quot;Please Call&quot;, &quot;clientkey&quot;:&quot;168133&quot;, &quot;name&quot;:&quot;Township of Hornepayne&quot;, &quot;locationlinkurl&quot;:null, &quot;address1&quot;:&quot;68 Fron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ornepayne&quot;, &quot;singleuse&quot;:&quot;Y&quot;, &quot;fax&quot;:null, &quot;country&quot;:&quot;CA&quot;, &quot;logourl&quot;:&quot;http://www.call2recycle.org/notpress/where2getit/call2recycle.png&quot;, &quot;phone&quot;:&quot;807-868-2020&quot;, &quot;address2&quot;:null, &quot;locationimageurl&quot;:null, &quot;_distance&quot;:&quot;187.0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218&quot;, &quot;url&quot;:null, &quot;postalcode&quot;:&quot;P0M 1Z0&quot;, &quot;province&quot;:&quot;ON&quot;, &quot;sustainabilityurl&quot;:null, &quot;hoursmon&quot;:&quot;Please Call&quot;, &quot;longitude&quot;:&quot;-84.77496&quot;, &quot;uid&quot;:642399728, &quot;retailerlinkurl&quot;:null, &quot;hourssat&quot;:&quot;Please Call&quot;, &quot;clientkey&quot;:&quot;168133&quot;, &quot;name&quot;:&quot;Township of Hornepayne&quot;, &quot;locationlinkurl&quot;:null, &quot;address1&quot;:&quot;68 Front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ornepayne&quot;, &quot;singleuse&quot;:&quot;Y&quot;, &quot;fax&quot;:null, &quot;country&quot;:&quot;CA&quot;, &quot;logourl&quot;:&quot;http://www.call2recycle.org/notpress/where2getit/call2recycle.png&quot;, &quot;phone&quot;:&quot;807-868-2020&quot;, &quot;address2&quot;:null, &quot;locationimageurl&quot;:null, &quot;_distance&quot;:&quot;67.50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6884745463573&quot;, &quot;url&quot;:null, &quot;postalcode&quot;:&quot;P0L 1N0&quot;, &quot;province&quot;:&quot;ON&quot;, &quot;sustainabilityurl&quot;:null, &quot;hoursmon&quot;:&quot;Please Call&quot;, &quot;longitude&quot;:&quot;-83.6604700049651&quot;, &quot;uid&quot;:1182183945, &quot;retailerlinkurl&quot;:null, &quot;hourssat&quot;:&quot;Please Call&quot;, &quot;clientkey&quot;:&quot;127334&quot;, &quot;name&quot;:&quot;Hearst Lumber Co.Ltd.&quot;, &quot;locationlinkurl&quot;:null, &quot;address1&quot;:&quot;720 George Stree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call2recycle.png&quot;, &quot;phone&quot;:&quot;705-362-4325&quot;, &quot;address2&quot;:null, &quot;locationimageurl&quot;:null, &quot;_distance&quot;:&quot;133.79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68876&quot;, &quot;url&quot;:null, &quot;postalcode&quot;:&quot;P0L 1N0&quot;, &quot;province&quot;:&quot;ON&quot;, &quot;sustainabilityurl&quot;:null, &quot;hoursmon&quot;:&quot;Please Call&quot;, &quot;longitude&quot;:&quot;-83.66251&quot;, &quot;uid&quot;:-853657775, &quot;retailerlinkurl&quot;:null, &quot;hourssat&quot;:&quot;Please Call&quot;, &quot;clientkey&quot;:&quot;119156&quot;, &quot;name&quot;:&quot;Hearst Public Library&quot;, &quot;locationlinkurl&quot;:null, &quot;address1&quot;:&quot;801 George Stree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Hearst&quot;, &quot;singleuse&quot;:&quot;Y&quot;, &quot;fax&quot;:null, &quot;country&quot;:&quot;CA&quot;, &quot;logourl&quot;:&quot;http://www.call2recycle.org/notpress/where2getit/call2recycle.png&quot;, &quot;phone&quot;:&quot;705-372-2843&quot;, &quot;address2&quot;:null, &quot;locationimageurl&quot;:null, &quot;_distance&quot;:&quot;133.81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7552345&quot;, &quot;url&quot;:null, &quot;postalcode&quot;:&quot;P0X 1C0&quot;, &quot;province&quot;:&quot;ON&quot;, &quot;sustainabilityurl&quot;:null, &quot;hoursmon&quot;:&quot;Please Call&quot;, &quot;longitude&quot;:&quot;-94.5633985&quot;, &quot;uid&quot;:1182184944, &quot;retailerlinkurl&quot;:null, &quot;hourssat&quot;:&quot;Please Call&quot;, &quot;clientkey&quot;:&quot;23303&quot;, &quot;name&quot;:&quot;Prairie Mobile Communications&quot;, &quot;locationlinkurl&quot;:null, &quot;address1&quot;:&quot;608 Fourth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Keewatin&quot;, &quot;singleuse&quot;:&quot;Y&quot;, &quot;fax&quot;:null, &quot;country&quot;:&quot;CA&quot;, &quot;logourl&quot;:&quot;http://www.call2recycle.org/notpress/where2getit/call2recycle.png&quot;, &quot;phone&quot;:&quot;807-547-2929&quot;, &quot;address2&quot;:null, &quot;locationimageurl&quot;:null, &quot;_distance&quot;:&quot;42.52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49.7862262006702&quot;, &quot;url&quot;:null, &quot;postalcode&quot;:&quot;P8N 2P4&quot;, &quot;province&quot;:&quot;ON&quot;, &quot;sustainabilityurl&quot;:null, &quot;hoursmon&quot;:&quot;Please Call&quot;, &quot;longitude&quot;:&quot;-92.8356896388725&quot;, &quot;uid&quot;:1182190160, &quot;retailerlinkurl&quot;:null, &quot;hourssat&quot;:&quot;Please Call&quot;, &quot;clientkey&quot;:&quot;106356&quot;, &quot;name&quot;:&quot;Timbermax Home &amp; Garden&quot;, &quot;locationlinkurl&quot;:null, &quot;address1&quot;:&quot;329 Government St&quot;, &quot;icon&quot;:&quot;preferred&quot;, &quot;bho&quot;:null, &quot;_distanceuom&quot;:&quot;mile&quot;, &quot;hourssun&quot;:&quot;Please Call&quot;, &quot;computers&quot;:&quot;N&quot;, &quot;cfl&quot;:&quot;N&quot;, &quot;regionalimageurl&quot;:null, &quot;city&quot;:&quot;Dryden&quot;, &quot;singleuse&quot;:&quot;Y&quot;, &quot;fax&quot;:null, &quot;country&quot;:&quot;CA&quot;, &quot;logourl&quot;:&quot;http://www.call2recycle.org/notpress/where2getit/call2recycle.png&quot;, &quot;phone&quot;:&quot;807-223-6699&quot;, &quot;address2&quot;:null, &quot;locationimageurl&quot;:null, &quot;_distance&quot;:&quot;98.25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1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14.4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62.96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Please Call&quot;, &quot;state&quot;:null, &quot;retailerimageurl&quot;:null, &quot;hoursfri&quot;:&quot;Please Call&quot;, &quot;acceptedmaterialsurl&quot;:null, &quot;latitude&quot;:&quot;51.46791&quot;, &quot;url&quot;:null, &quot;postalcode&quot;:&quot;P0V 3A0&quot;, &quot;province&quot;:&quot;ON&quot;, &quot;sustainabilityurl&quot;:null, &quot;hoursmon&quot;:&quot;Please Call&quot;, &quot;longitude&quot;:&quot;-90.19242&quot;, &quot;uid&quot;:420530078, &quot;retailerlinkurl&quot;:null, &quot;hourssat&quot;:&quot;Please Call&quot;, &quot;clientkey&quot;:&quot;168603&quot;, &quot;name&quot;:&quot;Township of Pickle Lake&quot;, &quot;locationlinkurl&quot;:null, &quot;address1&quot;:&quot;2 Anne St&quot;, &quot;icon&quot;:&quot;normal&quot;, &quot;bho&quot;:null, &quot;_distanceuom&quot;:&quot;mile&quot;, &quot;hourssun&quot;:&quot;Please Call&quot;, &quot;computers&quot;:&quot;N&quot;, &quot;cfl&quot;:&quot;N&quot;, &quot;regionalimageurl&quot;:null, &quot;city&quot;:&quot;Pickle Lake&quot;, &quot;singleuse&quot;:&quot;Y&quot;, &quot;fax&quot;:null, &quot;country&quot;:&quot;CA&quot;, &quot;logourl&quot;:&quot;http://www.call2recycle.org/notpress/where2getit/call2recycle.png&quot;, &quot;phone&quot;:&quot;807-928-2034&quot;, &quot;address2&quot;:null, &quot;locationimageurl&quot;:null, &quot;_distance&quot;:&quot;68.03&quot;, &quot;inktoner&quot;:&quot;N&quot;, &quot;nationalinkurl&quot;:null, &quot;regionallinkurl&quot;:null, &quot;cellphones&quot;:&quot;Y&quot;, &quot;hourstues&quot;:&quot;Please Call&quot;, &quot;consumerelectronics&quot;:&quot;N&quot;, &quot;hourswed&quot;:&quot;Please Call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8h à 20h&quot;, &quot;acceptedmaterialsurl&quot;:null, &quot;latitude&quot;:&quot;48.75642&quot;, &quot;url&quot;:null, &quot;postalcode&quot;:&quot;J0Z 2S0&quot;, &quot;province&quot;:&quot;QC&quot;, &quot;sustainabilityurl&quot;:null, &quot;hoursmon&quot;:&quot;8h à 17h30&quot;, &quot;longitude&quot;:&quot;-79.0066658333333&quot;, &quot;uid&quot;:721552151, &quot;retailerlinkurl&quot;:null, &quot;hourssat&quot;:&quot;8h à 16h&quot;, &quot;clientkey&quot;:&quot;155862&quot;, &quot;name&quot;:&quot;BMR Matériaux Abitibi ltée&quot;, &quot;locationlinkurl&quot;:null, &quot;address1&quot;:&quot;40 7e Avenue O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Macamic&quot;, &quot;singleuse&quot;:&quot;Y&quot;, &quot;fax&quot;:null, &quot;country&quot;:&quot;CA&quot;, &quot;logourl&quot;:&quot;http://www.call2recycle.org/notpress/where2getit/call2recycle.png&quot;, &quot;phone&quot;:&quot;819-782-4611&quot;, &quot;address2&quot;:null, &quot;locationimageurl&quot;:null, &quot;_distance&quot;:&quot;236.62&quot;, &quot;inktoner&quot;:&quot;N&quot;, &quot;nationalinkurl&quot;:null, &quot;regionallinkurl&quot;:null, &quot;cellphones&quot;:&quot;Y&quot;, &quot;hourstues&quot;:&quot;8h à 17h30&quot;, &quot;consumerelectronics&quot;:&quot;N&quot;, &quot;hourswed&quot;:&quot;8h à 17h30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9h à 21h&quot;, &quot;acceptedmaterialsurl&quot;:null, &quot;latitude&quot;:&quot;47.33723&quot;, &quot;url&quot;:null, &quot;postalcode&quot;:&quot;J9V 1J5&quot;, &quot;province&quot;:&quot;QC&quot;, &quot;sustainabilityurl&quot;:null, &quot;hoursmon&quot;:&quot;10h à 18h&quot;, &quot;longitude&quot;:&quot;-79.43704&quot;, &quot;uid&quot;:1182189493, &quot;retailerlinkurl&quot;:null, &quot;hourssat&quot;:&quot;9h à 17h&quot;, &quot;clientkey&quot;:&quot;77230&quot;, &quot;name&quot;:&quot;Bergeron Electronique&quot;, &quot;locationlinkurl&quot;:null, &quot;address1&quot;:&quot;Rue Des Oblats N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819-629-3444&quot;, &quot;address2&quot;:null, &quot;locationimageurl&quot;:null, &quot;_distance&quot;:&quot;48.67&quot;, &quot;inktoner&quot;:&quot;N&quot;, &quot;nationalinkurl&quot;:null, &quot;regionallinkurl&quot;:null, &quot;cellphones&quot;:&quot;Y&quot;, &quot;hourstues&quot;:&quot;10h à 18h&quot;, &quot;consumerelectronics&quot;:&quot;N&quot;, &quot;hourswed&quot;:&quot;10h à 18h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213752941176&quot;, &quot;url&quot;:null, &quot;postalcode&quot;:&quot;J0Z 3R0&quot;, &quot;province&quot;:&quot;QC&quot;, &quot;sustainabilityurl&quot;:null, &quot;hoursmon&quot;:&quot;Veuillez appeler le point de dépôt.&quot;, &quot;longitude&quot;:&quot;-79.0941994117647&quot;, &quot;uid&quot;:1986338911, &quot;retailerlinkurl&quot;:null, &quot;hourssat&quot;:&quot;Veuillez appeler le point de dépôt.&quot;, &quot;clientkey&quot;:&quot;155307&quot;, &quot;name&quot;:&quot;Dépôt Témiscaming&quot;, &quot;locationlinkurl&quot;:null, &quot;address1&quot;:&quot;23 Chemin Ruisseau-Gordon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Témiscaming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6.8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2788&quot;, &quot;url&quot;:null, &quot;postalcode&quot;:&quot;J0Z 3R0&quot;, &quot;province&quot;:&quot;QC&quot;, &quot;sustainabilityurl&quot;:null, &quot;hoursmon&quot;:&quot;10h à 18h&quot;, &quot;longitude&quot;:&quot;-79.08898&quot;, &quot;uid&quot;:245449662, &quot;retailerlinkurl&quot;:null, &quot;hourssat&quot;:&quot;Veuillez appeler le point de dépôt.&quot;, &quot;clientkey&quot;:&quot;154841&quot;, &quot;name&quot;:&quot;Uniprix&quot;, &quot;locationlinkurl&quot;:null, &quot;address1&quot;:&quot;Ch Kipawa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Temiscaming&quot;, &quot;singleuse&quot;:&quot;Y&quot;, &quot;fax&quot;:null, &quot;country&quot;:&quot;CA&quot;, &quot;logourl&quot;:&quot;http://www.call2recycle.org/notpress/where2getit/call2recycle.png&quot;, &quot;phone&quot;:&quot;819-627-3373&quot;, &quot;address2&quot;:null, &quot;locationimageurl&quot;:null, &quot;_distance&quot;:&quot;37.10&quot;, &quot;inktoner&quot;:&quot;N&quot;, &quot;nationalinkurl&quot;:null, &quot;regionallinkurl&quot;:null, &quot;cellphones&quot;:&quot;Y&quot;, &quot;hourstues&quot;:&quot;10h à 18h&quot;, &quot;consumerelectronics&quot;:&quot;N&quot;, &quot;hourswed&quot;:&quot;10h à 18h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6.7461252321182&quot;, &quot;url&quot;:null, &quot;postalcode&quot;:&quot;J0Z 2H0&quot;, &quot;province&quot;:&quot;QC&quot;, &quot;sustainabilityurl&quot;:null, &quot;hoursmon&quot;:&quot;Veuillez appeler le point de dépôt.&quot;, &quot;longitude&quot;:&quot;-79.0553109598523&quot;, &quot;uid&quot;:1986338726, &quot;retailerlinkurl&quot;:null, &quot;hourssat&quot;:&quot;Veuillez appeler le point de dépôt.&quot;, &quot;clientkey&quot;:&quot;155502&quot;, &quot;name&quot;:&quot;Dépôt Kipawa&quot;, &quot;locationlinkurl&quot;:null, &quot;address1&quot;:&quot;15 Rue Principa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Kipawa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38.77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7.290527&quot;, &quot;url&quot;:null, &quot;postalcode&quot;:&quot;J0Z 1G0&quot;, &quot;province&quot;:&quot;QC&quot;, &quot;sustainabilityurl&quot;:null, &quot;hoursmon&quot;:&quot;Veuillez appeler le point de dépôt.&quot;, &quot;longitude&quot;:&quot;-79.327876&quot;, &quot;uid&quot;:1986338663, &quot;retailerlinkurl&quot;:null, &quot;hourssat&quot;:&quot;Veuillez appeler le point de dépôt.&quot;, &quot;clientkey&quot;:&quot;155582&quot;, &quot;name&quot;:&quot;Dépôt Béarn&quot;, &quot;locationlinkurl&quot;:null, &quot;address1&quot;:&quot;4 2ième rue Nord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Béarn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8.2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7.3295261511659&quot;, &quot;url&quot;:null, &quot;postalcode&quot;:&quot;J9V 1A2&quot;, &quot;province&quot;:&quot;QC&quot;, &quot;sustainabilityurl&quot;:null, &quot;hoursmon&quot;:&quot;Veuillez appeler le point de dépôt.&quot;, &quot;longitude&quot;:&quot;-79.4347846046635&quot;, &quot;uid&quot;:1986333495, &quot;retailerlinkurl&quot;:null, &quot;hourssat&quot;:&quot;Veuillez appeler le point de dépôt.&quot;, &quot;clientkey&quot;:&quot;155327&quot;, &quot;name&quot;:&quot;Dépôt Ville-Marie&quot;, &quot;locationlinkurl&quot;:null, &quot;address1&quot;:&quot;21 rue Industriel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Ville-Marie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48.23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6025182&quot;, &quot;url&quot;:null, &quot;postalcode&quot;:&quot;J0Z 1M0&quot;, &quot;province&quot;:&quot;QC&quot;, &quot;sustainabilityurl&quot;:null, &quot;hoursmon&quot;:&quot;Veuillez appeler le point de dépôt.&quot;, &quot;longitude&quot;:&quot;-79.11541&quot;, &quot;uid&quot;:1986338697, &quot;retailerlinkurl&quot;:null, &quot;hourssat&quot;:&quot;Veuillez appeler le point de dépôt.&quot;, &quot;clientkey&quot;:&quot;155304&quot;, &quot;name&quot;:&quot;Dépôt Ste-Germaine-Boulé&quot;, &quot;locationlinkurl&quot;:null, &quot;address1&quot;:&quot;199 Rue Roy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Sainte-Germaine-Boulé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42.29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75043&quot;, &quot;url&quot;:null, &quot;postalcode&quot;:&quot;J0Z 2Z0&quot;, &quot;province&quot;:&quot;QC&quot;, &quot;sustainabilityurl&quot;:null, &quot;hoursmon&quot;:&quot;Veuillez appeler le point de dépôt.&quot;, &quot;longitude&quot;:&quot;-79.00223&quot;, &quot;uid&quot;:1986344650, &quot;retailerlinkurl&quot;:null, &quot;hourssat&quot;:&quot;Veuillez appeler le point de dépôt.&quot;, &quot;clientkey&quot;:&quot;155504&quot;, &quot;name&quot;:&quot;Dépôt Nédélec&quot;, &quot;locationlinkurl&quot;:null, &quot;address1&quot;:&quot;18 Rue Principal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Nédelec&quot;, &quot;singleuse&quot;:&quot;Y&quot;, &quot;fax&quot;:null, &quot;country&quot;:&quot;CA&quot;, &quot;logourl&quot;:&quot;http://www.call2recycle.org/notpress/where2getit/call2recycle.png&quot;, &quot;phone&quot;:&quot;--&quot;, &quot;address2&quot;:null, &quot;locationimageurl&quot;:null, &quot;_distance&quot;:&quot;237.08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80318&quot;, &quot;url&quot;:null, &quot;postalcode&quot;:&quot;J9Z 1M5&quot;, &quot;province&quot;:&quot;QC&quot;, &quot;sustainabilityurl&quot;:null, &quot;hoursmon&quot;:&quot;Veuillez appeler le point de dépôt.&quot;, &quot;longitude&quot;:&quot;-79.2029&quot;, &quot;uid&quot;:157518866, &quot;retailerlinkurl&quot;:null, &quot;hourssat&quot;:&quot;Veuillez appeler le point de dépôt.&quot;, &quot;clientkey&quot;:&quot;158972&quot;, &quot;name&quot;:&quot;Roberge &amp; Fils Inc&quot;, &quot;locationlinkurl&quot;:null, &quot;address1&quot;:&quot;45 7e Avenue 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La Sarre&quot;, &quot;singleuse&quot;:&quot;Y&quot;, &quot;fax&quot;:null, &quot;country&quot;:&quot;CA&quot;, &quot;logourl&quot;:&quot;http://www.call2recycle.org/notpress/where2getit/call2recycle.png&quot;, &quot;phone&quot;:&quot;819-333-5405&quot;, &quot;address2&quot;:null, &quot;locationimageurl&quot;:null, &quot;_distance&quot;:&quot;228.69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48.8053180769231&quot;, &quot;url&quot;:null, &quot;postalcode&quot;:&quot;J9Z 1K9&quot;, &quot;province&quot;:&quot;QC&quot;, &quot;sustainabilityurl&quot;:null, &quot;hoursmon&quot;:&quot;Veuillez appeler le point de dépôt.&quot;, &quot;longitude&quot;:&quot;-79.2010484615385&quot;, &quot;uid&quot;:1986314966, &quot;retailerlinkurl&quot;:null, &quot;hourssat&quot;:&quot;Veuillez appeler le point de dépôt.&quot;, &quot;clientkey&quot;:&quot;155021&quot;, &quot;name&quot;:&quot;Jean Coutu&quot;, &quot;locationlinkurl&quot;:null, &quot;address1&quot;:&quot;84 5e Avenue E&quot;, &quot;icon&quot;:&quot;preferred&quot;, &quot;bho&quot;:null, &quot;_distanceuom&quot;:&quot;mile&quot;, &quot;hourssun&quot;:&quot;Veuillez appeler le point de dépôt.&quot;, &quot;computers&quot;:&quot;N&quot;, &quot;cfl&quot;:&quot;N&quot;, &quot;regionalimageurl&quot;:null, &quot;city&quot;:&quot;La Sarre&quot;, &quot;singleuse&quot;:&quot;Y&quot;, &quot;fax&quot;:null, &quot;country&quot;:&quot;CA&quot;, &quot;logourl&quot;:&quot;http://www.call2recycle.org/notpress/where2getit/call2recycle.png&quot;, &quot;phone&quot;:&quot;819-333-1160&quot;, &quot;address2&quot;:null, &quot;locationimageurl&quot;:null, &quot;_distance&quot;:&quot;228.62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1&quot;"/>
            <x14:filter val="&quot;rechargeable&quot;: &quot;Y&quot;, &quot;nationalimageurl&quot;:null, &quot;glasses&quot;:&quot;N&quot;, &quot;hoursthurs&quot;:&quot;Veuillez appeler le point de dépôt.&quot;, &quot;state&quot;:null, &quot;retailerimageurl&quot;:null, &quot;hoursfri&quot;:&quot;Veuillez appeler le point de dépôt.&quot;, &quot;acceptedmaterialsurl&quot;:null, &quot;latitude&quot;:&quot;52.24531&quot;, &quot;url&quot;:null, &quot;postalcode&quot;:&quot;J0M 1E0&quot;, &quot;province&quot;:&quot;QC&quot;, &quot;sustainabilityurl&quot;:null, &quot;hoursmon&quot;:&quot;Veuillez appeler le point de dépôt.&quot;, &quot;longitude&quot;:&quot;-78.48449&quot;, &quot;uid&quot;:792609484, &quot;retailerlinkurl&quot;:null, &quot;hourssat&quot;:&quot;Veuillez appeler le point de dépôt.&quot;, &quot;clientkey&quot;:&quot;162275&quot;, &quot;name&quot;:&quot;Cree Nation of Chisasibi&quot;, &quot;locationlinkurl&quot;:null, &quot;address1&quot;:&quot;1 Riverside Drive&quot;, &quot;icon&quot;:&quot;normal&quot;, &quot;bho&quot;:null, &quot;_distanceuom&quot;:&quot;mile&quot;, &quot;hourssun&quot;:&quot;Veuillez appeler le point de dépôt.&quot;, &quot;computers&quot;:&quot;N&quot;, &quot;cfl&quot;:&quot;N&quot;, &quot;regionalimageurl&quot;:null, &quot;city&quot;:&quot;Chisasibi&quot;, &quot;singleuse&quot;:&quot;Y&quot;, &quot;fax&quot;:null, &quot;country&quot;:&quot;CA&quot;, &quot;logourl&quot;:&quot;http://www.call2recycle.org/notpress/where2getit/call2recycle.png&quot;, &quot;phone&quot;:&quot;819-855-2878&quot;, &quot;address2&quot;:null, &quot;locationimageurl&quot;:null, &quot;_distance&quot;:&quot;173.81&quot;, &quot;inktoner&quot;:&quot;N&quot;, &quot;nationalinkurl&quot;:null, &quot;regionallinkurl&quot;:null, &quot;cellphones&quot;:&quot;Y&quot;, &quot;hourstues&quot;:&quot;Veuillez appeler le point de dépôt.&quot;, &quot;consumerelectronics&quot;:&quot;N&quot;, &quot;hourswed&quot;:&quot;Veuillez appeler le point de dépôt.&quot;, &quot;rank&quot;:&quot;0&quot;"/>
          </filters>
        </mc:Choice>
        <mc:Fallback>
          <customFilters>
            <customFilter val=""/>
            <customFilter operator="notEqual" val=" "/>
          </customFilters>
        </mc:Fallback>
      </mc:AlternateContent>
    </filterColumn>
  </autoFilter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E-waste</vt:lpstr>
      <vt:lpstr>(RAW)-Ewaste</vt:lpstr>
      <vt:lpstr>Batteries</vt:lpstr>
      <vt:lpstr>Sheet4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2017-05-28T05:43:24Z</dcterms:created>
  <dcterms:modified xsi:type="dcterms:W3CDTF">2017-05-29T22:12:41Z</dcterms:modified>
</cp:coreProperties>
</file>